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slicers/slicer2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stechcloud.sharepoint.com/sites/Financeiro-nstech/Documentos Compartilhados/General/FP&amp;A/Fechamento 2026/P05 2026/Envios/"/>
    </mc:Choice>
  </mc:AlternateContent>
  <xr:revisionPtr revIDLastSave="378" documentId="8_{257F2662-E9DC-4328-BD40-728406205435}" xr6:coauthVersionLast="47" xr6:coauthVersionMax="47" xr10:uidLastSave="{DC863F4C-962D-4F1C-A66D-9BA0BF046676}"/>
  <bookViews>
    <workbookView xWindow="22932" yWindow="-108" windowWidth="30936" windowHeight="16776" firstSheet="3" activeTab="5" xr2:uid="{458723F2-CCD2-42AB-9FA4-60F291A5D9B3}"/>
  </bookViews>
  <sheets>
    <sheet name="Planilha8" sheetId="8" state="hidden" r:id="rId1"/>
    <sheet name="Empillhado" sheetId="12" r:id="rId2"/>
    <sheet name="P&amp;L Contábil" sheetId="9" r:id="rId3"/>
    <sheet name="P&amp;L Contábil (2)" sheetId="13" r:id="rId4"/>
    <sheet name="Painel Resultado (MTD)" sheetId="10" r:id="rId5"/>
    <sheet name="Painel Resultado (YTD)" sheetId="11" r:id="rId6"/>
    <sheet name="Capex (MTD)" sheetId="5" r:id="rId7"/>
    <sheet name="Capex (YTD)" sheetId="6" r:id="rId8"/>
    <sheet name="Não Recorrentes 2025" sheetId="7" r:id="rId9"/>
  </sheets>
  <externalReferences>
    <externalReference r:id="rId10"/>
  </externalReferences>
  <definedNames>
    <definedName name="___________la5" hidden="1">#REF!</definedName>
    <definedName name="___________la6" hidden="1">#REF!</definedName>
    <definedName name="___________la7" hidden="1">#REF!</definedName>
    <definedName name="___________la8" hidden="1">#REF!</definedName>
    <definedName name="___________la9" hidden="1">#REF!</definedName>
    <definedName name="___________lb1" hidden="1">#REF!</definedName>
    <definedName name="___________lb10" hidden="1">#REF!</definedName>
    <definedName name="___________lb11" hidden="1">#REF!</definedName>
    <definedName name="___________lb12" hidden="1">#REF!</definedName>
    <definedName name="___________lb13" hidden="1">#REF!</definedName>
    <definedName name="___________lb14" hidden="1">#REF!</definedName>
    <definedName name="___________lb15" hidden="1">#REF!</definedName>
    <definedName name="___________lb16" hidden="1">#REF!</definedName>
    <definedName name="___________lb17" hidden="1">#REF!</definedName>
    <definedName name="___________lb18" hidden="1">#REF!</definedName>
    <definedName name="___________lb19" hidden="1">#REF!</definedName>
    <definedName name="___________lb2" hidden="1">#REF!</definedName>
    <definedName name="___________lb20" hidden="1">#REF!</definedName>
    <definedName name="___________lb21" hidden="1">#REF!</definedName>
    <definedName name="___________lb22" hidden="1">#REF!</definedName>
    <definedName name="___________lb23" hidden="1">#REF!</definedName>
    <definedName name="___________lb24" hidden="1">#REF!</definedName>
    <definedName name="___________lb25" hidden="1">#REF!</definedName>
    <definedName name="___________lb27" hidden="1">#REF!</definedName>
    <definedName name="___________lb28" hidden="1">#REF!</definedName>
    <definedName name="___________lb29" hidden="1">#REF!</definedName>
    <definedName name="___________lb3" hidden="1">#REF!</definedName>
    <definedName name="___________lb30" hidden="1">#REF!</definedName>
    <definedName name="___________lb31" hidden="1">#REF!</definedName>
    <definedName name="___________lb32" hidden="1">#REF!</definedName>
    <definedName name="___________lb4" hidden="1">#REF!</definedName>
    <definedName name="___________lb5" hidden="1">#REF!</definedName>
    <definedName name="___________lb6" hidden="1">#REF!</definedName>
    <definedName name="___________lb7" hidden="1">#REF!</definedName>
    <definedName name="___________lb8" hidden="1">#REF!</definedName>
    <definedName name="___________lb9" hidden="1">#REF!</definedName>
    <definedName name="___________lbc1" hidden="1">#REF!</definedName>
    <definedName name="___________lbc10" hidden="1">#REF!</definedName>
    <definedName name="___________lbc11" hidden="1">#REF!</definedName>
    <definedName name="___________lbc12" hidden="1">#REF!</definedName>
    <definedName name="___________lbc13" hidden="1">#REF!</definedName>
    <definedName name="___________lbc14" hidden="1">#REF!</definedName>
    <definedName name="___________lbc15" hidden="1">#REF!</definedName>
    <definedName name="___________lbc16" hidden="1">#REF!</definedName>
    <definedName name="___________lbc17" hidden="1">#REF!</definedName>
    <definedName name="___________lbc18" hidden="1">#REF!</definedName>
    <definedName name="___________lbc19" hidden="1">#REF!</definedName>
    <definedName name="___________lbc2" hidden="1">#REF!</definedName>
    <definedName name="___________lbc20" hidden="1">#REF!</definedName>
    <definedName name="___________lbc21" hidden="1">#REF!</definedName>
    <definedName name="___________lbc22" hidden="1">#REF!</definedName>
    <definedName name="___________lbc23" hidden="1">#REF!</definedName>
    <definedName name="___________lbc24" hidden="1">#REF!</definedName>
    <definedName name="___________lbc25" hidden="1">#REF!</definedName>
    <definedName name="___________lbc26" hidden="1">#REF!</definedName>
    <definedName name="___________lbc27" hidden="1">#REF!</definedName>
    <definedName name="___________lbc28" hidden="1">#REF!</definedName>
    <definedName name="___________lbc29" hidden="1">#REF!</definedName>
    <definedName name="___________lbc3" hidden="1">#REF!</definedName>
    <definedName name="___________lbc31" hidden="1">#REF!</definedName>
    <definedName name="___________lbc32" hidden="1">#REF!</definedName>
    <definedName name="___________lbc4" hidden="1">#REF!</definedName>
    <definedName name="___________lbc5" hidden="1">#REF!</definedName>
    <definedName name="___________lbc6" hidden="1">#REF!</definedName>
    <definedName name="___________lbc7" hidden="1">#REF!</definedName>
    <definedName name="___________lbc8" hidden="1">#REF!</definedName>
    <definedName name="___________lbc9" hidden="1">#REF!</definedName>
    <definedName name="___________ld26" hidden="1">#REF!</definedName>
    <definedName name="___________ld31" hidden="1">#REF!</definedName>
    <definedName name="___________le31" hidden="1">#REF!</definedName>
    <definedName name="___________lf31" hidden="1">#REF!</definedName>
    <definedName name="___________x10" hidden="1">#REF!</definedName>
    <definedName name="___________x11" hidden="1">#REF!</definedName>
    <definedName name="___________x12" hidden="1">#REF!</definedName>
    <definedName name="___________x13" hidden="1">#REF!</definedName>
    <definedName name="___________x14" hidden="1">#REF!</definedName>
    <definedName name="___________x15" hidden="1">#REF!</definedName>
    <definedName name="___________x16" hidden="1">#REF!</definedName>
    <definedName name="___________x17" hidden="1">#REF!</definedName>
    <definedName name="___________x18" hidden="1">#REF!</definedName>
    <definedName name="___________x19" hidden="1">#REF!</definedName>
    <definedName name="___________x20" hidden="1">#REF!</definedName>
    <definedName name="___________x21" hidden="1">#REF!</definedName>
    <definedName name="___________x22" hidden="1">#REF!</definedName>
    <definedName name="___________x23" hidden="1">#REF!</definedName>
    <definedName name="___________x24" hidden="1">#REF!</definedName>
    <definedName name="___________x25" hidden="1">#REF!</definedName>
    <definedName name="___________x28" hidden="1">#REF!</definedName>
    <definedName name="___________x29" hidden="1">#REF!</definedName>
    <definedName name="___________x32" hidden="1">#REF!</definedName>
    <definedName name="___________x4" hidden="1">#REF!</definedName>
    <definedName name="___________x5" hidden="1">#REF!</definedName>
    <definedName name="___________x6" hidden="1">#REF!</definedName>
    <definedName name="___________x7" hidden="1">#REF!</definedName>
    <definedName name="___________x8" hidden="1">#REF!</definedName>
    <definedName name="___________x9" hidden="1">#REF!</definedName>
    <definedName name="__________la29" hidden="1">#REF!</definedName>
    <definedName name="__________la3" hidden="1">#REF!</definedName>
    <definedName name="__________la31" hidden="1">#REF!</definedName>
    <definedName name="__________la32" hidden="1">#REF!</definedName>
    <definedName name="__________la4" hidden="1">#REF!</definedName>
    <definedName name="__________la5" hidden="1">#REF!</definedName>
    <definedName name="__________la6" hidden="1">#REF!</definedName>
    <definedName name="__________la7" hidden="1">#REF!</definedName>
    <definedName name="__________la8" hidden="1">#REF!</definedName>
    <definedName name="__________la9" hidden="1">#REF!</definedName>
    <definedName name="__________lb1" hidden="1">#REF!</definedName>
    <definedName name="__________lb10" hidden="1">#REF!</definedName>
    <definedName name="__________lb11" hidden="1">#REF!</definedName>
    <definedName name="__________lb12" hidden="1">#REF!</definedName>
    <definedName name="__________lb13" hidden="1">#REF!</definedName>
    <definedName name="__________lb14" hidden="1">#REF!</definedName>
    <definedName name="__________lb15" hidden="1">#REF!</definedName>
    <definedName name="__________lb16" hidden="1">#REF!</definedName>
    <definedName name="__________lb17" hidden="1">#REF!</definedName>
    <definedName name="__________lb18" hidden="1">#REF!</definedName>
    <definedName name="__________lb19" hidden="1">#REF!</definedName>
    <definedName name="__________lb2" hidden="1">#REF!</definedName>
    <definedName name="__________lb20" hidden="1">#REF!</definedName>
    <definedName name="__________lb21" hidden="1">#REF!</definedName>
    <definedName name="__________lb22" hidden="1">#REF!</definedName>
    <definedName name="__________lb23" hidden="1">#REF!</definedName>
    <definedName name="__________lb24" hidden="1">#REF!</definedName>
    <definedName name="__________lb25" hidden="1">#REF!</definedName>
    <definedName name="__________lb27" hidden="1">#REF!</definedName>
    <definedName name="__________lb28" hidden="1">#REF!</definedName>
    <definedName name="__________lb29" hidden="1">#REF!</definedName>
    <definedName name="__________lb3" hidden="1">#REF!</definedName>
    <definedName name="__________lb30" hidden="1">#REF!</definedName>
    <definedName name="__________lb31" hidden="1">#REF!</definedName>
    <definedName name="__________lb32" hidden="1">#REF!</definedName>
    <definedName name="__________lb4" hidden="1">#REF!</definedName>
    <definedName name="__________lb5" hidden="1">#REF!</definedName>
    <definedName name="__________lb6" hidden="1">#REF!</definedName>
    <definedName name="__________lb7" hidden="1">#REF!</definedName>
    <definedName name="__________lb8" hidden="1">#REF!</definedName>
    <definedName name="__________lb9" hidden="1">#REF!</definedName>
    <definedName name="__________lbc1" hidden="1">#REF!</definedName>
    <definedName name="__________lbc10" hidden="1">#REF!</definedName>
    <definedName name="__________lbc11" hidden="1">#REF!</definedName>
    <definedName name="__________lbc12" hidden="1">#REF!</definedName>
    <definedName name="__________lbc13" hidden="1">#REF!</definedName>
    <definedName name="__________lbc14" hidden="1">#REF!</definedName>
    <definedName name="__________lbc15" hidden="1">#REF!</definedName>
    <definedName name="__________lbc16" hidden="1">#REF!</definedName>
    <definedName name="__________lbc17" hidden="1">#REF!</definedName>
    <definedName name="__________lbc18" hidden="1">#REF!</definedName>
    <definedName name="__________lbc19" hidden="1">#REF!</definedName>
    <definedName name="__________lbc2" hidden="1">#REF!</definedName>
    <definedName name="__________lbc20" hidden="1">#REF!</definedName>
    <definedName name="__________lbc21" hidden="1">#REF!</definedName>
    <definedName name="__________lbc22" hidden="1">#REF!</definedName>
    <definedName name="__________lbc23" hidden="1">#REF!</definedName>
    <definedName name="__________lbc24" hidden="1">#REF!</definedName>
    <definedName name="__________lbc25" hidden="1">#REF!</definedName>
    <definedName name="__________lbc26" hidden="1">#REF!</definedName>
    <definedName name="__________lbc27" hidden="1">#REF!</definedName>
    <definedName name="__________lbc28" hidden="1">#REF!</definedName>
    <definedName name="__________lbc29" hidden="1">#REF!</definedName>
    <definedName name="__________lbc3" hidden="1">#REF!</definedName>
    <definedName name="__________lbc31" hidden="1">#REF!</definedName>
    <definedName name="__________lbc32" hidden="1">#REF!</definedName>
    <definedName name="__________lbc4" hidden="1">#REF!</definedName>
    <definedName name="__________lbc5" hidden="1">#REF!</definedName>
    <definedName name="__________lbc6" hidden="1">#REF!</definedName>
    <definedName name="__________lbc7" hidden="1">#REF!</definedName>
    <definedName name="__________lbc8" hidden="1">#REF!</definedName>
    <definedName name="__________lbc9" hidden="1">#REF!</definedName>
    <definedName name="__________ld26" hidden="1">#REF!</definedName>
    <definedName name="__________ld31" hidden="1">#REF!</definedName>
    <definedName name="__________le31" hidden="1">#REF!</definedName>
    <definedName name="__________lf31" hidden="1">#REF!</definedName>
    <definedName name="__________x10" hidden="1">#REF!</definedName>
    <definedName name="__________x11" hidden="1">#REF!</definedName>
    <definedName name="__________x12" hidden="1">#REF!</definedName>
    <definedName name="__________x13" hidden="1">#REF!</definedName>
    <definedName name="__________x14" hidden="1">#REF!</definedName>
    <definedName name="__________x15" hidden="1">#REF!</definedName>
    <definedName name="__________x16" hidden="1">#REF!</definedName>
    <definedName name="__________x17" hidden="1">#REF!</definedName>
    <definedName name="__________x18" hidden="1">#REF!</definedName>
    <definedName name="__________x19" hidden="1">#REF!</definedName>
    <definedName name="__________x20" hidden="1">#REF!</definedName>
    <definedName name="__________x21" hidden="1">#REF!</definedName>
    <definedName name="__________x22" hidden="1">#REF!</definedName>
    <definedName name="__________x23" hidden="1">#REF!</definedName>
    <definedName name="__________x24" hidden="1">#REF!</definedName>
    <definedName name="__________x25" hidden="1">#REF!</definedName>
    <definedName name="__________x28" hidden="1">#REF!</definedName>
    <definedName name="__________x29" hidden="1">#REF!</definedName>
    <definedName name="__________x32" hidden="1">#REF!</definedName>
    <definedName name="__________x4" hidden="1">#REF!</definedName>
    <definedName name="__________x5" hidden="1">#REF!</definedName>
    <definedName name="__________x6" hidden="1">#REF!</definedName>
    <definedName name="__________x7" hidden="1">#REF!</definedName>
    <definedName name="__________x8" hidden="1">#REF!</definedName>
    <definedName name="__________x9" hidden="1">#REF!</definedName>
    <definedName name="_________la29" hidden="1">#REF!</definedName>
    <definedName name="_________la3" hidden="1">#REF!</definedName>
    <definedName name="_________la31" hidden="1">#REF!</definedName>
    <definedName name="_________la32" hidden="1">#REF!</definedName>
    <definedName name="_________la4" hidden="1">#REF!</definedName>
    <definedName name="_________la5" hidden="1">#REF!</definedName>
    <definedName name="_________la6" hidden="1">#REF!</definedName>
    <definedName name="_________la7" hidden="1">#REF!</definedName>
    <definedName name="_________la8" hidden="1">#REF!</definedName>
    <definedName name="_________la9" hidden="1">#REF!</definedName>
    <definedName name="_________lb1" hidden="1">#REF!</definedName>
    <definedName name="_________lb10" hidden="1">#REF!</definedName>
    <definedName name="_________lb11" hidden="1">#REF!</definedName>
    <definedName name="_________lb12" hidden="1">#REF!</definedName>
    <definedName name="_________lb13" hidden="1">#REF!</definedName>
    <definedName name="_________lb14" hidden="1">#REF!</definedName>
    <definedName name="_________lb15" hidden="1">#REF!</definedName>
    <definedName name="_________lb16" hidden="1">#REF!</definedName>
    <definedName name="_________lb17" hidden="1">#REF!</definedName>
    <definedName name="_________lb18" hidden="1">#REF!</definedName>
    <definedName name="_________lb19" hidden="1">#REF!</definedName>
    <definedName name="_________lb2" hidden="1">#REF!</definedName>
    <definedName name="_________lb20" hidden="1">#REF!</definedName>
    <definedName name="_________lb21" hidden="1">#REF!</definedName>
    <definedName name="_________lb22" hidden="1">#REF!</definedName>
    <definedName name="_________lb23" hidden="1">#REF!</definedName>
    <definedName name="_________lb24" hidden="1">#REF!</definedName>
    <definedName name="_________lb25" hidden="1">#REF!</definedName>
    <definedName name="_________lb27" hidden="1">#REF!</definedName>
    <definedName name="_________lb28" hidden="1">#REF!</definedName>
    <definedName name="_________lb29" hidden="1">#REF!</definedName>
    <definedName name="_________lb3" hidden="1">#REF!</definedName>
    <definedName name="_________lb30" hidden="1">#REF!</definedName>
    <definedName name="_________lb31" hidden="1">#REF!</definedName>
    <definedName name="_________lb32" hidden="1">#REF!</definedName>
    <definedName name="_________lb4" hidden="1">#REF!</definedName>
    <definedName name="_________lb5" hidden="1">#REF!</definedName>
    <definedName name="_________lb6" hidden="1">#REF!</definedName>
    <definedName name="_________lb7" hidden="1">#REF!</definedName>
    <definedName name="_________lb8" hidden="1">#REF!</definedName>
    <definedName name="_________lb9" hidden="1">#REF!</definedName>
    <definedName name="_________lbc1" hidden="1">#REF!</definedName>
    <definedName name="_________lbc10" hidden="1">#REF!</definedName>
    <definedName name="_________lbc11" hidden="1">#REF!</definedName>
    <definedName name="_________lbc12" hidden="1">#REF!</definedName>
    <definedName name="_________lbc13" hidden="1">#REF!</definedName>
    <definedName name="_________lbc14" hidden="1">#REF!</definedName>
    <definedName name="_________lbc15" hidden="1">#REF!</definedName>
    <definedName name="_________lbc16" hidden="1">#REF!</definedName>
    <definedName name="_________lbc17" hidden="1">#REF!</definedName>
    <definedName name="_________lbc18" hidden="1">#REF!</definedName>
    <definedName name="_________lbc19" hidden="1">#REF!</definedName>
    <definedName name="_________lbc2" hidden="1">#REF!</definedName>
    <definedName name="_________lbc20" hidden="1">#REF!</definedName>
    <definedName name="_________lbc21" hidden="1">#REF!</definedName>
    <definedName name="_________lbc22" hidden="1">#REF!</definedName>
    <definedName name="_________lbc23" hidden="1">#REF!</definedName>
    <definedName name="_________lbc24" hidden="1">#REF!</definedName>
    <definedName name="_________lbc25" hidden="1">#REF!</definedName>
    <definedName name="_________lbc26" hidden="1">#REF!</definedName>
    <definedName name="_________lbc27" hidden="1">#REF!</definedName>
    <definedName name="_________lbc28" hidden="1">#REF!</definedName>
    <definedName name="_________lbc29" hidden="1">#REF!</definedName>
    <definedName name="_________lbc3" hidden="1">#REF!</definedName>
    <definedName name="_________lbc31" hidden="1">#REF!</definedName>
    <definedName name="_________lbc32" hidden="1">#REF!</definedName>
    <definedName name="_________lbc4" hidden="1">#REF!</definedName>
    <definedName name="_________lbc5" hidden="1">#REF!</definedName>
    <definedName name="_________lbc6" hidden="1">#REF!</definedName>
    <definedName name="_________lbc7" hidden="1">#REF!</definedName>
    <definedName name="_________lbc8" hidden="1">#REF!</definedName>
    <definedName name="_________lbc9" hidden="1">#REF!</definedName>
    <definedName name="_________ld26" hidden="1">#REF!</definedName>
    <definedName name="_________ld31" hidden="1">#REF!</definedName>
    <definedName name="_________le31" hidden="1">#REF!</definedName>
    <definedName name="_________lf31" hidden="1">#REF!</definedName>
    <definedName name="_________x10" hidden="1">#REF!</definedName>
    <definedName name="_________x11" hidden="1">#REF!</definedName>
    <definedName name="_________x12" hidden="1">#REF!</definedName>
    <definedName name="_________x13" hidden="1">#REF!</definedName>
    <definedName name="_________x14" hidden="1">#REF!</definedName>
    <definedName name="_________x15" hidden="1">#REF!</definedName>
    <definedName name="_________x16" hidden="1">#REF!</definedName>
    <definedName name="_________x17" hidden="1">#REF!</definedName>
    <definedName name="_________x18" hidden="1">#REF!</definedName>
    <definedName name="_________x19" hidden="1">#REF!</definedName>
    <definedName name="_________x20" hidden="1">#REF!</definedName>
    <definedName name="_________x21" hidden="1">#REF!</definedName>
    <definedName name="_________x22" hidden="1">#REF!</definedName>
    <definedName name="_________x23" hidden="1">#REF!</definedName>
    <definedName name="_________x24" hidden="1">#REF!</definedName>
    <definedName name="_________x25" hidden="1">#REF!</definedName>
    <definedName name="_________x28" hidden="1">#REF!</definedName>
    <definedName name="_________x29" hidden="1">#REF!</definedName>
    <definedName name="_________x32" hidden="1">#REF!</definedName>
    <definedName name="_________x4" hidden="1">#REF!</definedName>
    <definedName name="_________x5" hidden="1">#REF!</definedName>
    <definedName name="_________x6" hidden="1">#REF!</definedName>
    <definedName name="_________x7" hidden="1">#REF!</definedName>
    <definedName name="_________x8" hidden="1">#REF!</definedName>
    <definedName name="_________x9" hidden="1">#REF!</definedName>
    <definedName name="________la29" hidden="1">#REF!</definedName>
    <definedName name="________la3" hidden="1">#REF!</definedName>
    <definedName name="________la31" hidden="1">#REF!</definedName>
    <definedName name="________la32" hidden="1">#REF!</definedName>
    <definedName name="________la4" hidden="1">#REF!</definedName>
    <definedName name="________la5" hidden="1">#REF!</definedName>
    <definedName name="________la6" hidden="1">#REF!</definedName>
    <definedName name="________la7" hidden="1">#REF!</definedName>
    <definedName name="________la8" hidden="1">#REF!</definedName>
    <definedName name="________la9" hidden="1">#REF!</definedName>
    <definedName name="________lb1" hidden="1">#REF!</definedName>
    <definedName name="________lb10" localSheetId="1" hidden="1">#REF!</definedName>
    <definedName name="________lb10" hidden="1">#REF!</definedName>
    <definedName name="________lb11" hidden="1">#REF!</definedName>
    <definedName name="________lb12" hidden="1">#REF!</definedName>
    <definedName name="________lb13" hidden="1">#REF!</definedName>
    <definedName name="________lb14" hidden="1">#REF!</definedName>
    <definedName name="________lb15" hidden="1">#REF!</definedName>
    <definedName name="________lb16" hidden="1">#REF!</definedName>
    <definedName name="________lb17" hidden="1">#REF!</definedName>
    <definedName name="________lb18" hidden="1">#REF!</definedName>
    <definedName name="________lb19" hidden="1">#REF!</definedName>
    <definedName name="________lb2" hidden="1">#REF!</definedName>
    <definedName name="________lb20" hidden="1">#REF!</definedName>
    <definedName name="________lb21" hidden="1">#REF!</definedName>
    <definedName name="________lb22" hidden="1">#REF!</definedName>
    <definedName name="________lb23" hidden="1">#REF!</definedName>
    <definedName name="________lb24" hidden="1">#REF!</definedName>
    <definedName name="________lb25" hidden="1">#REF!</definedName>
    <definedName name="________lb27" hidden="1">#REF!</definedName>
    <definedName name="________lb28" hidden="1">#REF!</definedName>
    <definedName name="________lb29" hidden="1">#REF!</definedName>
    <definedName name="________lb3" hidden="1">#REF!</definedName>
    <definedName name="________lb30" hidden="1">#REF!</definedName>
    <definedName name="________lb31" hidden="1">#REF!</definedName>
    <definedName name="________lb32" hidden="1">#REF!</definedName>
    <definedName name="________lb4" hidden="1">#REF!</definedName>
    <definedName name="________lb5" hidden="1">#REF!</definedName>
    <definedName name="________lb6" hidden="1">#REF!</definedName>
    <definedName name="________lb7" hidden="1">#REF!</definedName>
    <definedName name="________lb8" hidden="1">#REF!</definedName>
    <definedName name="________lb9" hidden="1">#REF!</definedName>
    <definedName name="________lbc1" hidden="1">#REF!</definedName>
    <definedName name="________lbc10" hidden="1">#REF!</definedName>
    <definedName name="________lbc11" hidden="1">#REF!</definedName>
    <definedName name="________lbc12" hidden="1">#REF!</definedName>
    <definedName name="________lbc13" hidden="1">#REF!</definedName>
    <definedName name="________lbc14" hidden="1">#REF!</definedName>
    <definedName name="________lbc15" hidden="1">#REF!</definedName>
    <definedName name="________lbc16" hidden="1">#REF!</definedName>
    <definedName name="________lbc17" hidden="1">#REF!</definedName>
    <definedName name="________lbc18" hidden="1">#REF!</definedName>
    <definedName name="________lbc19" hidden="1">#REF!</definedName>
    <definedName name="________lbc2" hidden="1">#REF!</definedName>
    <definedName name="________lbc20" hidden="1">#REF!</definedName>
    <definedName name="________lbc21" hidden="1">#REF!</definedName>
    <definedName name="________lbc22" hidden="1">#REF!</definedName>
    <definedName name="________lbc23" hidden="1">#REF!</definedName>
    <definedName name="________lbc24" hidden="1">#REF!</definedName>
    <definedName name="________lbc25" hidden="1">#REF!</definedName>
    <definedName name="________lbc26" hidden="1">#REF!</definedName>
    <definedName name="________lbc27" hidden="1">#REF!</definedName>
    <definedName name="________lbc28" hidden="1">#REF!</definedName>
    <definedName name="________lbc29" hidden="1">#REF!</definedName>
    <definedName name="________lbc3" hidden="1">#REF!</definedName>
    <definedName name="________lbc31" hidden="1">#REF!</definedName>
    <definedName name="________lbc32" hidden="1">#REF!</definedName>
    <definedName name="________lbc4" hidden="1">#REF!</definedName>
    <definedName name="________lbc5" hidden="1">#REF!</definedName>
    <definedName name="________lbc6" hidden="1">#REF!</definedName>
    <definedName name="________lbc7" hidden="1">#REF!</definedName>
    <definedName name="________lbc8" hidden="1">#REF!</definedName>
    <definedName name="________lbc9" hidden="1">#REF!</definedName>
    <definedName name="________ld26" hidden="1">#REF!</definedName>
    <definedName name="________ld31" hidden="1">#REF!</definedName>
    <definedName name="________le31" hidden="1">#REF!</definedName>
    <definedName name="________lf31" hidden="1">#REF!</definedName>
    <definedName name="________x10" hidden="1">#REF!</definedName>
    <definedName name="________x11" hidden="1">#REF!</definedName>
    <definedName name="________x12" hidden="1">#REF!</definedName>
    <definedName name="________x13" hidden="1">#REF!</definedName>
    <definedName name="________x14" hidden="1">#REF!</definedName>
    <definedName name="________x15" hidden="1">#REF!</definedName>
    <definedName name="________x16" hidden="1">#REF!</definedName>
    <definedName name="________x17" hidden="1">#REF!</definedName>
    <definedName name="________x18" hidden="1">#REF!</definedName>
    <definedName name="________x19" hidden="1">#REF!</definedName>
    <definedName name="________x20" hidden="1">#REF!</definedName>
    <definedName name="________x21" localSheetId="1" hidden="1">#REF!</definedName>
    <definedName name="________x21" hidden="1">#REF!</definedName>
    <definedName name="________x22" hidden="1">#REF!</definedName>
    <definedName name="________x23" hidden="1">#REF!</definedName>
    <definedName name="________x24" hidden="1">#REF!</definedName>
    <definedName name="________x25" hidden="1">#REF!</definedName>
    <definedName name="________x28" hidden="1">#REF!</definedName>
    <definedName name="________x29" hidden="1">#REF!</definedName>
    <definedName name="________x32" hidden="1">#REF!</definedName>
    <definedName name="________x4" hidden="1">#REF!</definedName>
    <definedName name="________x5" hidden="1">#REF!</definedName>
    <definedName name="________x6" hidden="1">#REF!</definedName>
    <definedName name="________x7" hidden="1">#REF!</definedName>
    <definedName name="________x8" hidden="1">#REF!</definedName>
    <definedName name="________x9" hidden="1">#REF!</definedName>
    <definedName name="_______JAN02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__JAN02" localSheetId="8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__JAN02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__JAN02" localSheetId="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__la29" localSheetId="8" hidden="1">#REF!</definedName>
    <definedName name="_______la29" hidden="1">#REF!</definedName>
    <definedName name="_______la3" localSheetId="1" hidden="1">#REF!</definedName>
    <definedName name="_______la3" localSheetId="8" hidden="1">#REF!</definedName>
    <definedName name="_______la3" hidden="1">#REF!</definedName>
    <definedName name="_______la31" localSheetId="1" hidden="1">#REF!</definedName>
    <definedName name="_______la31" hidden="1">#REF!</definedName>
    <definedName name="_______la32" hidden="1">#REF!</definedName>
    <definedName name="_______la4" hidden="1">#REF!</definedName>
    <definedName name="_______x1" localSheetId="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___x1" localSheetId="8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___x1" localSheetId="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___x1" localSheetId="3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__JAN02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_JAN02" localSheetId="8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_JAN02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_JAN02" localSheetId="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_x1" localSheetId="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__x1" localSheetId="8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__x1" localSheetId="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__x1" localSheetId="3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_JAN02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" localSheetId="8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" localSheetId="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x1" localSheetId="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_x1" localSheetId="8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_x1" localSheetId="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_x1" localSheetId="3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JAN02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JAN02" localSheetId="8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JAN02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JAN02" localSheetId="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x1" localSheetId="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" localSheetId="8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" localSheetId="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" localSheetId="3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JAN02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" localSheetId="8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" localSheetId="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la29" localSheetId="8" hidden="1">#REF!</definedName>
    <definedName name="___la29" hidden="1">#REF!</definedName>
    <definedName name="___la3" localSheetId="1" hidden="1">#REF!</definedName>
    <definedName name="___la3" localSheetId="8" hidden="1">#REF!</definedName>
    <definedName name="___la3" hidden="1">#REF!</definedName>
    <definedName name="___la31" localSheetId="1" hidden="1">#REF!</definedName>
    <definedName name="___la31" hidden="1">#REF!</definedName>
    <definedName name="___la32" hidden="1">#REF!</definedName>
    <definedName name="___la4" hidden="1">#REF!</definedName>
    <definedName name="___la5" hidden="1">#REF!</definedName>
    <definedName name="___la6" hidden="1">#REF!</definedName>
    <definedName name="___la7" hidden="1">#REF!</definedName>
    <definedName name="___la8" hidden="1">#REF!</definedName>
    <definedName name="___la9" hidden="1">#REF!</definedName>
    <definedName name="___lb1" hidden="1">#REF!</definedName>
    <definedName name="___lb10" localSheetId="1" hidden="1">#REF!</definedName>
    <definedName name="___lb10" hidden="1">#REF!</definedName>
    <definedName name="___lb11" hidden="1">#REF!</definedName>
    <definedName name="___lb12" hidden="1">#REF!</definedName>
    <definedName name="___lb13" hidden="1">#REF!</definedName>
    <definedName name="___lb14" hidden="1">#REF!</definedName>
    <definedName name="___lb15" hidden="1">#REF!</definedName>
    <definedName name="___lb16" hidden="1">#REF!</definedName>
    <definedName name="___lb17" hidden="1">#REF!</definedName>
    <definedName name="___lb18" hidden="1">#REF!</definedName>
    <definedName name="___lb19" hidden="1">#REF!</definedName>
    <definedName name="___lb2" hidden="1">#REF!</definedName>
    <definedName name="___lb20" hidden="1">#REF!</definedName>
    <definedName name="___lb21" hidden="1">#REF!</definedName>
    <definedName name="___lb22" hidden="1">#REF!</definedName>
    <definedName name="___lb23" hidden="1">#REF!</definedName>
    <definedName name="___lb24" hidden="1">#REF!</definedName>
    <definedName name="___lb25" hidden="1">#REF!</definedName>
    <definedName name="___lb27" hidden="1">#REF!</definedName>
    <definedName name="___lb28" hidden="1">#REF!</definedName>
    <definedName name="___lb29" hidden="1">#REF!</definedName>
    <definedName name="___lb3" hidden="1">#REF!</definedName>
    <definedName name="___lb30" hidden="1">#REF!</definedName>
    <definedName name="___lb31" hidden="1">#REF!</definedName>
    <definedName name="___lb32" hidden="1">#REF!</definedName>
    <definedName name="___lb4" hidden="1">#REF!</definedName>
    <definedName name="___lb5" hidden="1">#REF!</definedName>
    <definedName name="___lb6" hidden="1">#REF!</definedName>
    <definedName name="___lb7" hidden="1">#REF!</definedName>
    <definedName name="___lb8" hidden="1">#REF!</definedName>
    <definedName name="___lb9" hidden="1">#REF!</definedName>
    <definedName name="___lbc1" hidden="1">#REF!</definedName>
    <definedName name="___lbc10" hidden="1">#REF!</definedName>
    <definedName name="___lbc11" hidden="1">#REF!</definedName>
    <definedName name="___lbc12" hidden="1">#REF!</definedName>
    <definedName name="___lbc13" hidden="1">#REF!</definedName>
    <definedName name="___lbc14" hidden="1">#REF!</definedName>
    <definedName name="___lbc15" hidden="1">#REF!</definedName>
    <definedName name="___lbc16" hidden="1">#REF!</definedName>
    <definedName name="___lbc17" hidden="1">#REF!</definedName>
    <definedName name="___lbc18" hidden="1">#REF!</definedName>
    <definedName name="___lbc19" hidden="1">#REF!</definedName>
    <definedName name="___lbc2" hidden="1">#REF!</definedName>
    <definedName name="___lbc20" hidden="1">#REF!</definedName>
    <definedName name="___lbc21" hidden="1">#REF!</definedName>
    <definedName name="___lbc22" hidden="1">#REF!</definedName>
    <definedName name="___lbc23" hidden="1">#REF!</definedName>
    <definedName name="___lbc24" hidden="1">#REF!</definedName>
    <definedName name="___lbc25" hidden="1">#REF!</definedName>
    <definedName name="___lbc26" hidden="1">#REF!</definedName>
    <definedName name="___lbc27" hidden="1">#REF!</definedName>
    <definedName name="___lbc28" hidden="1">#REF!</definedName>
    <definedName name="___lbc29" hidden="1">#REF!</definedName>
    <definedName name="___lbc3" hidden="1">#REF!</definedName>
    <definedName name="___lbc31" hidden="1">#REF!</definedName>
    <definedName name="___lbc32" hidden="1">#REF!</definedName>
    <definedName name="___lbc4" localSheetId="1" hidden="1">#REF!</definedName>
    <definedName name="___lbc4" hidden="1">#REF!</definedName>
    <definedName name="___lbc5" hidden="1">#REF!</definedName>
    <definedName name="___lbc6" hidden="1">#REF!</definedName>
    <definedName name="___lbc7" hidden="1">#REF!</definedName>
    <definedName name="___lbc8" hidden="1">#REF!</definedName>
    <definedName name="___lbc9" hidden="1">#REF!</definedName>
    <definedName name="___ld26" hidden="1">#REF!</definedName>
    <definedName name="___ld31" hidden="1">#REF!</definedName>
    <definedName name="___le31" hidden="1">#REF!</definedName>
    <definedName name="___lf31" hidden="1">#REF!</definedName>
    <definedName name="___x1" localSheetId="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" localSheetId="8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" localSheetId="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" localSheetId="3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0" localSheetId="1" hidden="1">#REF!</definedName>
    <definedName name="___x10" localSheetId="8" hidden="1">#REF!</definedName>
    <definedName name="___x10" hidden="1">#REF!</definedName>
    <definedName name="___x11" localSheetId="1" hidden="1">#REF!</definedName>
    <definedName name="___x11" localSheetId="8" hidden="1">#REF!</definedName>
    <definedName name="___x11" hidden="1">#REF!</definedName>
    <definedName name="___x12" localSheetId="1" hidden="1">#REF!</definedName>
    <definedName name="___x12" hidden="1">#REF!</definedName>
    <definedName name="___x13" localSheetId="1" hidden="1">#REF!</definedName>
    <definedName name="___x13" hidden="1">#REF!</definedName>
    <definedName name="___x14" hidden="1">#REF!</definedName>
    <definedName name="___x15" localSheetId="1" hidden="1">#REF!</definedName>
    <definedName name="___x15" hidden="1">#REF!</definedName>
    <definedName name="___x16" hidden="1">#REF!</definedName>
    <definedName name="___x17" localSheetId="1" hidden="1">#REF!</definedName>
    <definedName name="___x17" hidden="1">#REF!</definedName>
    <definedName name="___x18" hidden="1">#REF!</definedName>
    <definedName name="___x19" hidden="1">#REF!</definedName>
    <definedName name="___x20" hidden="1">#REF!</definedName>
    <definedName name="___x21" localSheetId="1" hidden="1">#REF!</definedName>
    <definedName name="___x21" hidden="1">#REF!</definedName>
    <definedName name="___x22" localSheetId="1" hidden="1">#REF!</definedName>
    <definedName name="___x22" hidden="1">#REF!</definedName>
    <definedName name="___x23" hidden="1">#REF!</definedName>
    <definedName name="___x24" hidden="1">#REF!</definedName>
    <definedName name="___x25" hidden="1">#REF!</definedName>
    <definedName name="___x28" hidden="1">#REF!</definedName>
    <definedName name="___x29" hidden="1">#REF!</definedName>
    <definedName name="___x32" localSheetId="1" hidden="1">#REF!</definedName>
    <definedName name="___x32" hidden="1">#REF!</definedName>
    <definedName name="___x4" hidden="1">#REF!</definedName>
    <definedName name="___x5" hidden="1">#REF!</definedName>
    <definedName name="___x6" hidden="1">#REF!</definedName>
    <definedName name="___x7" hidden="1">#REF!</definedName>
    <definedName name="___x8" hidden="1">#REF!</definedName>
    <definedName name="___x9" hidden="1">#REF!</definedName>
    <definedName name="__123Graph_A" localSheetId="1" hidden="1">#REF!</definedName>
    <definedName name="__123Graph_A" hidden="1">#REF!</definedName>
    <definedName name="__123Graph_ASIDECO" hidden="1">#REF!</definedName>
    <definedName name="__123Graph_B" hidden="1">#REF!</definedName>
    <definedName name="__123Graph_BSIDECO" hidden="1">#REF!</definedName>
    <definedName name="__123Graph_CSIDECO" hidden="1">#REF!</definedName>
    <definedName name="__123Graph_X" localSheetId="1" hidden="1">#REF!</definedName>
    <definedName name="__123Graph_X" hidden="1">#REF!</definedName>
    <definedName name="__123Graph_XCAPACITY" hidden="1">#REF!</definedName>
    <definedName name="__123Graph_XSIDECO" hidden="1">#REF!</definedName>
    <definedName name="__3__123Graph_XCHART_1" localSheetId="1" hidden="1">#REF!</definedName>
    <definedName name="__3__123Graph_XCHART_1" hidden="1">#REF!</definedName>
    <definedName name="__a3" hidden="1">#N/A</definedName>
    <definedName name="__a4" hidden="1">#N/A</definedName>
    <definedName name="__FDS_HYPERLINK_TOGGLE_STATE__" hidden="1">"ON"</definedName>
    <definedName name="__IntlFixup" hidden="1">TRUE</definedName>
    <definedName name="__la29" localSheetId="8" hidden="1">#REF!</definedName>
    <definedName name="__la29" hidden="1">#REF!</definedName>
    <definedName name="__la3" localSheetId="8" hidden="1">#REF!</definedName>
    <definedName name="__la3" hidden="1">#REF!</definedName>
    <definedName name="__la31" localSheetId="8" hidden="1">#REF!</definedName>
    <definedName name="__la31" hidden="1">#REF!</definedName>
    <definedName name="__la32" hidden="1">#REF!</definedName>
    <definedName name="__la4" hidden="1">#REF!</definedName>
    <definedName name="__la5" hidden="1">#REF!</definedName>
    <definedName name="__la6" hidden="1">#REF!</definedName>
    <definedName name="__la7" hidden="1">#REF!</definedName>
    <definedName name="__la8" hidden="1">#REF!</definedName>
    <definedName name="__la9" hidden="1">#REF!</definedName>
    <definedName name="__lb1" hidden="1">#REF!</definedName>
    <definedName name="__lb10" hidden="1">#REF!</definedName>
    <definedName name="__lb11" hidden="1">#REF!</definedName>
    <definedName name="__lb12" hidden="1">#REF!</definedName>
    <definedName name="__lb13" hidden="1">#REF!</definedName>
    <definedName name="__lb14" hidden="1">#REF!</definedName>
    <definedName name="__lb15" hidden="1">#REF!</definedName>
    <definedName name="__lb16" hidden="1">#REF!</definedName>
    <definedName name="__lb17" localSheetId="1" hidden="1">#REF!</definedName>
    <definedName name="__lb17" hidden="1">#REF!</definedName>
    <definedName name="__lb18" hidden="1">#REF!</definedName>
    <definedName name="__lb19" hidden="1">#REF!</definedName>
    <definedName name="__lb2" hidden="1">#REF!</definedName>
    <definedName name="__lb20" hidden="1">#REF!</definedName>
    <definedName name="__lb21" hidden="1">#REF!</definedName>
    <definedName name="__lb22" hidden="1">#REF!</definedName>
    <definedName name="__lb23" hidden="1">#REF!</definedName>
    <definedName name="__lb24" hidden="1">#REF!</definedName>
    <definedName name="__lb25" hidden="1">#REF!</definedName>
    <definedName name="__lb27" hidden="1">#REF!</definedName>
    <definedName name="__lb28" hidden="1">#REF!</definedName>
    <definedName name="__lb29" hidden="1">#REF!</definedName>
    <definedName name="__lb3" hidden="1">#REF!</definedName>
    <definedName name="__lb30" hidden="1">#REF!</definedName>
    <definedName name="__lb31" hidden="1">#REF!</definedName>
    <definedName name="__lb32" hidden="1">#REF!</definedName>
    <definedName name="__lb4" hidden="1">#REF!</definedName>
    <definedName name="__lb5" hidden="1">#REF!</definedName>
    <definedName name="__lb6" hidden="1">#REF!</definedName>
    <definedName name="__lb7" hidden="1">#REF!</definedName>
    <definedName name="__lb8" hidden="1">#REF!</definedName>
    <definedName name="__lb9" hidden="1">#REF!</definedName>
    <definedName name="__lbc1" hidden="1">#REF!</definedName>
    <definedName name="__lbc10" hidden="1">#REF!</definedName>
    <definedName name="__lbc11" hidden="1">#REF!</definedName>
    <definedName name="__lbc12" hidden="1">#REF!</definedName>
    <definedName name="__lbc13" hidden="1">#REF!</definedName>
    <definedName name="__lbc14" hidden="1">#REF!</definedName>
    <definedName name="__lbc15" hidden="1">#REF!</definedName>
    <definedName name="__lbc16" hidden="1">#REF!</definedName>
    <definedName name="__lbc17" hidden="1">#REF!</definedName>
    <definedName name="__lbc18" hidden="1">#REF!</definedName>
    <definedName name="__lbc19" hidden="1">#REF!</definedName>
    <definedName name="__lbc2" hidden="1">#REF!</definedName>
    <definedName name="__lbc20" hidden="1">#REF!</definedName>
    <definedName name="__lbc21" hidden="1">#REF!</definedName>
    <definedName name="__lbc22" hidden="1">#REF!</definedName>
    <definedName name="__lbc23" hidden="1">#REF!</definedName>
    <definedName name="__lbc24" hidden="1">#REF!</definedName>
    <definedName name="__lbc25" hidden="1">#REF!</definedName>
    <definedName name="__lbc26" hidden="1">#REF!</definedName>
    <definedName name="__lbc27" hidden="1">#REF!</definedName>
    <definedName name="__lbc28" hidden="1">#REF!</definedName>
    <definedName name="__lbc29" hidden="1">#REF!</definedName>
    <definedName name="__lbc3" hidden="1">#REF!</definedName>
    <definedName name="__lbc31" hidden="1">#REF!</definedName>
    <definedName name="__lbc32" hidden="1">#REF!</definedName>
    <definedName name="__lbc4" hidden="1">#REF!</definedName>
    <definedName name="__lbc5" hidden="1">#REF!</definedName>
    <definedName name="__lbc6" hidden="1">#REF!</definedName>
    <definedName name="__lbc7" hidden="1">#REF!</definedName>
    <definedName name="__lbc8" hidden="1">#REF!</definedName>
    <definedName name="__lbc9" hidden="1">#REF!</definedName>
    <definedName name="__ld26" hidden="1">#REF!</definedName>
    <definedName name="__ld31" hidden="1">#REF!</definedName>
    <definedName name="__le31" hidden="1">#REF!</definedName>
    <definedName name="__lf31" hidden="1">#REF!</definedName>
    <definedName name="__x10" localSheetId="8" hidden="1">#REF!</definedName>
    <definedName name="__x10" hidden="1">#REF!</definedName>
    <definedName name="__x11" localSheetId="8" hidden="1">#REF!</definedName>
    <definedName name="__x11" hidden="1">#REF!</definedName>
    <definedName name="__x12" localSheetId="8" hidden="1">#REF!</definedName>
    <definedName name="__x12" hidden="1">#REF!</definedName>
    <definedName name="__x13" hidden="1">#REF!</definedName>
    <definedName name="__x14" hidden="1">#REF!</definedName>
    <definedName name="__x15" hidden="1">#REF!</definedName>
    <definedName name="__x16" hidden="1">#REF!</definedName>
    <definedName name="__x17" hidden="1">#REF!</definedName>
    <definedName name="__x18" hidden="1">#REF!</definedName>
    <definedName name="__x19" hidden="1">#REF!</definedName>
    <definedName name="__x20" hidden="1">#REF!</definedName>
    <definedName name="__x21" hidden="1">#REF!</definedName>
    <definedName name="__x22" hidden="1">#REF!</definedName>
    <definedName name="__x23" hidden="1">#REF!</definedName>
    <definedName name="__x24" hidden="1">#REF!</definedName>
    <definedName name="__x25" hidden="1">#REF!</definedName>
    <definedName name="__x28" hidden="1">#REF!</definedName>
    <definedName name="__x29" hidden="1">#REF!</definedName>
    <definedName name="__x32" hidden="1">#REF!</definedName>
    <definedName name="__x4" hidden="1">#REF!</definedName>
    <definedName name="__x5" hidden="1">#REF!</definedName>
    <definedName name="__x6" hidden="1">#REF!</definedName>
    <definedName name="__x7" hidden="1">#REF!</definedName>
    <definedName name="__x8" hidden="1">#REF!</definedName>
    <definedName name="__x9" hidden="1">#REF!</definedName>
    <definedName name="_1__123Graph_BCHART_1" hidden="1">#REF!</definedName>
    <definedName name="_1__123Graph_BGrßfico_10C" hidden="1">#REF!</definedName>
    <definedName name="_1__123Graph_XCAP_COMPONENTS" hidden="1">#REF!</definedName>
    <definedName name="_100__123Graph_XCHART_23" localSheetId="1" hidden="1">#REF!</definedName>
    <definedName name="_100__123Graph_XCHART_23" localSheetId="8" hidden="1">#REF!</definedName>
    <definedName name="_100__123Graph_XCHART_23" hidden="1">#REF!</definedName>
    <definedName name="_101__123Graph_XChart_3" localSheetId="8" hidden="1">#REF!</definedName>
    <definedName name="_101__123Graph_XChart_3" hidden="1">#REF!</definedName>
    <definedName name="_102__123Graph_XChart_4" localSheetId="1" hidden="1">#REF!</definedName>
    <definedName name="_102__123Graph_XChart_4" localSheetId="8" hidden="1">#REF!</definedName>
    <definedName name="_102__123Graph_XChart_4" hidden="1">#REF!</definedName>
    <definedName name="_103__123Graph_XChart_5" localSheetId="8" hidden="1">#REF!</definedName>
    <definedName name="_103__123Graph_XChart_5" hidden="1">#REF!</definedName>
    <definedName name="_104__123Graph_XChart_6" localSheetId="8" hidden="1">#REF!</definedName>
    <definedName name="_104__123Graph_XChart_6" hidden="1">#REF!</definedName>
    <definedName name="_2__123Graph_CCHART_1" hidden="1">#REF!</definedName>
    <definedName name="_25__123Graph_A_Chart_1A" hidden="1">#REF!</definedName>
    <definedName name="_26__123Graph_AChart_1" hidden="1">#REF!</definedName>
    <definedName name="_27__123Graph_ACHART_19" hidden="1">#REF!</definedName>
    <definedName name="_28__123Graph_AChart_2" hidden="1">#REF!</definedName>
    <definedName name="_29__123Graph_ACHART_20" hidden="1">#REF!</definedName>
    <definedName name="_3__123Graph_DCHART_1" hidden="1">#REF!</definedName>
    <definedName name="_30__123Graph_ACHART_22" hidden="1">#REF!</definedName>
    <definedName name="_31__123Graph_ACHART_23" hidden="1">#REF!</definedName>
    <definedName name="_32__123Graph_AChart_3" hidden="1">#REF!</definedName>
    <definedName name="_33__123Graph_AChart_4" hidden="1">#REF!</definedName>
    <definedName name="_34__123Graph_AChart_5" hidden="1">#REF!</definedName>
    <definedName name="_35__123Graph_AChart_6" hidden="1">#REF!</definedName>
    <definedName name="_36__123Graph_B_Chart_1A" hidden="1">#REF!</definedName>
    <definedName name="_37__123Graph_BCHART_12" hidden="1">#REF!</definedName>
    <definedName name="_38__123Graph_C_Chart_1A" hidden="1">#REF!</definedName>
    <definedName name="_39__123Graph_CCHART_10" hidden="1">#REF!</definedName>
    <definedName name="_4__123Graph_ECHART_1" hidden="1">#REF!</definedName>
    <definedName name="_40__123Graph_CCHART_11" hidden="1">#REF!</definedName>
    <definedName name="_41__123Graph_CCHART_12" hidden="1">#REF!</definedName>
    <definedName name="_42__123Graph_CCHART_13" hidden="1">#REF!</definedName>
    <definedName name="_43__123Graph_CCHART_14" hidden="1">#REF!</definedName>
    <definedName name="_44__123Graph_CCHART_15" hidden="1">#REF!</definedName>
    <definedName name="_45__123Graph_CCHART_16" hidden="1">#REF!</definedName>
    <definedName name="_46__123Graph_CCHART_17" hidden="1">#REF!</definedName>
    <definedName name="_47__123Graph_CCHART_18" hidden="1">#REF!</definedName>
    <definedName name="_48__123Graph_CCHART_4" hidden="1">#REF!</definedName>
    <definedName name="_49__123Graph_CCHART_6" hidden="1">#REF!</definedName>
    <definedName name="_5__123Graph_FCHART_1" hidden="1">#REF!</definedName>
    <definedName name="_50__123Graph_CCHART_7" hidden="1">#REF!</definedName>
    <definedName name="_51__123Graph_CCHART_8" hidden="1">#REF!</definedName>
    <definedName name="_52__123Graph_CCHART_9" hidden="1">#REF!</definedName>
    <definedName name="_53__123Graph_D_Chart_1A" hidden="1">#REF!</definedName>
    <definedName name="_54__123Graph_DCHART_10" hidden="1">#REF!</definedName>
    <definedName name="_55__123Graph_DCHART_11" hidden="1">#REF!</definedName>
    <definedName name="_56__123Graph_DCHART_12" hidden="1">#REF!</definedName>
    <definedName name="_57__123Graph_DCHART_13" hidden="1">#REF!</definedName>
    <definedName name="_58__123Graph_DCHART_14" hidden="1">#REF!</definedName>
    <definedName name="_59__123Graph_DCHART_15" hidden="1">#REF!</definedName>
    <definedName name="_60__123Graph_DCHART_16" hidden="1">#REF!</definedName>
    <definedName name="_61__123Graph_DCHART_17" hidden="1">#REF!</definedName>
    <definedName name="_62__123Graph_DCHART_18" hidden="1">#REF!</definedName>
    <definedName name="_63__123Graph_DCHART_4" hidden="1">#REF!</definedName>
    <definedName name="_64__123Graph_DCHART_6" hidden="1">#REF!</definedName>
    <definedName name="_65__123Graph_DCHART_7" hidden="1">#REF!</definedName>
    <definedName name="_66__123Graph_DCHART_8" hidden="1">#REF!</definedName>
    <definedName name="_67__123Graph_DCHART_9" hidden="1">#REF!</definedName>
    <definedName name="_68__123Graph_E_Chart_1A" hidden="1">#REF!</definedName>
    <definedName name="_69__123Graph_ECHART_10" hidden="1">#REF!</definedName>
    <definedName name="_7__123Graph_ACHART_1" hidden="1">#REF!</definedName>
    <definedName name="_70__123Graph_ECHART_11" hidden="1">#REF!</definedName>
    <definedName name="_71__123Graph_ECHART_12" hidden="1">#REF!</definedName>
    <definedName name="_72__123Graph_ECHART_13" hidden="1">#REF!</definedName>
    <definedName name="_73__123Graph_ECHART_14" hidden="1">#REF!</definedName>
    <definedName name="_74__123Graph_ECHART_15" hidden="1">#REF!</definedName>
    <definedName name="_75__123Graph_ECHART_16" hidden="1">#REF!</definedName>
    <definedName name="_76__123Graph_ECHART_17" hidden="1">#REF!</definedName>
    <definedName name="_77__123Graph_ECHART_18" hidden="1">#REF!</definedName>
    <definedName name="_78__123Graph_ECHART_4" hidden="1">#REF!</definedName>
    <definedName name="_79__123Graph_ECHART_6" hidden="1">#REF!</definedName>
    <definedName name="_80__123Graph_ECHART_7" hidden="1">#REF!</definedName>
    <definedName name="_81__123Graph_ECHART_8" hidden="1">#REF!</definedName>
    <definedName name="_82__123Graph_ECHART_9" hidden="1">#REF!</definedName>
    <definedName name="_83__123Graph_F_Chart_1A" hidden="1">#REF!</definedName>
    <definedName name="_84__123Graph_FCHART_10" hidden="1">#REF!</definedName>
    <definedName name="_85__123Graph_FCHART_11" hidden="1">#REF!</definedName>
    <definedName name="_86__123Graph_FCHART_12" hidden="1">#REF!</definedName>
    <definedName name="_87__123Graph_FCHART_13" hidden="1">#REF!</definedName>
    <definedName name="_88__123Graph_FCHART_14" hidden="1">#REF!</definedName>
    <definedName name="_89__123Graph_FCHART_15" hidden="1">#REF!</definedName>
    <definedName name="_90__123Graph_FCHART_16" hidden="1">#REF!</definedName>
    <definedName name="_91__123Graph_FCHART_4" hidden="1">#REF!</definedName>
    <definedName name="_92__123Graph_FCHART_6" hidden="1">#REF!</definedName>
    <definedName name="_93__123Graph_FCHART_7" hidden="1">#REF!</definedName>
    <definedName name="_94__123Graph_FCHART_8" hidden="1">#REF!</definedName>
    <definedName name="_95__123Graph_FCHART_9" hidden="1">#REF!</definedName>
    <definedName name="_96__123Graph_X_Chart_1A" hidden="1">#REF!</definedName>
    <definedName name="_97__123Graph_XChart_1" hidden="1">#REF!</definedName>
    <definedName name="_98__123Graph_XChart_2" hidden="1">#REF!</definedName>
    <definedName name="_99__123Graph_XCHART_20" hidden="1">#REF!</definedName>
    <definedName name="_a7" localSheetId="1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a7" localSheetId="8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a7" localSheetId="2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a7" localSheetId="3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4</definedName>
    <definedName name="_AtRisk_SimSetting_MultipleCPUMode" hidden="1">2</definedName>
    <definedName name="_AtRisk_SimSetting_RandomNumberGenerator" hidden="1">0</definedName>
    <definedName name="_AtRisk_SimSetting_ReportOptionCustomItemsCount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32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2" localSheetId="1" hidden="1">{"PVGraph2",#N/A,FALSE,"PV Data"}</definedName>
    <definedName name="_b2" localSheetId="8" hidden="1">{"PVGraph2",#N/A,FALSE,"PV Data"}</definedName>
    <definedName name="_b2" localSheetId="2" hidden="1">{"PVGraph2",#N/A,FALSE,"PV Data"}</definedName>
    <definedName name="_b2" localSheetId="3" hidden="1">{"PVGraph2",#N/A,FALSE,"PV Data"}</definedName>
    <definedName name="_bdm.0b4f48fb0b5e40e48f59b5ae736330bd.edm" hidden="1">#REF!</definedName>
    <definedName name="_bdm.5de05960c7da43fab9815b1d70ca999b.edm" localSheetId="8" hidden="1">#REF!</definedName>
    <definedName name="_bdm.5de05960c7da43fab9815b1d70ca999b.edm" hidden="1">#REF!</definedName>
    <definedName name="_bdm.65d2e5e350a14a778e732e0f4a668212.edm" localSheetId="8" hidden="1">#REF!</definedName>
    <definedName name="_bdm.65d2e5e350a14a778e732e0f4a668212.edm" hidden="1">#REF!</definedName>
    <definedName name="_bdm.7bd060d3be164769a4dbeb7e916719fc.edm" hidden="1">#REF!</definedName>
    <definedName name="_bdm.b8b0174a5335478992d6fab6a8880b28.edm" hidden="1">#REF!</definedName>
    <definedName name="_bdm.ed82e2239aa94a7d87a7393158752f48.edm" hidden="1">#REF!</definedName>
    <definedName name="_bdm.fbdc1dd7d510485b830cba9b970fa671.edm" hidden="1">#REF!</definedName>
    <definedName name="_bdm.fcc48c0c34a144f289abf7c477ac4001.edm" hidden="1">#REF!</definedName>
    <definedName name="_DFG4" localSheetId="1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DFG4" localSheetId="8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DFG4" localSheetId="2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DFG4" localSheetId="3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E1" localSheetId="8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E21" localSheetId="1" hidden="1">{"Despesas Diferidas Indedutíveis de 1998",#N/A,FALSE,"Impressão"}</definedName>
    <definedName name="_E21" localSheetId="8" hidden="1">{"Despesas Diferidas Indedutíveis de 1998",#N/A,FALSE,"Impressão"}</definedName>
    <definedName name="_E21" localSheetId="2" hidden="1">{"Despesas Diferidas Indedutíveis de 1998",#N/A,FALSE,"Impressão"}</definedName>
    <definedName name="_E21" localSheetId="3" hidden="1">{"Despesas Diferidas Indedutíveis de 1998",#N/A,FALSE,"Impressão"}</definedName>
    <definedName name="_Fill" hidden="1">#REF!</definedName>
    <definedName name="_xlnm._FilterDatabase" localSheetId="8" hidden="1">'Não Recorrentes 2025'!$C$3:$R$33</definedName>
    <definedName name="_xlnm._FilterDatabase" hidden="1">#REF!</definedName>
    <definedName name="_I2" localSheetId="1" hidden="1">{"PVGraph2",#N/A,FALSE,"PV Data"}</definedName>
    <definedName name="_I2" localSheetId="8" hidden="1">{"PVGraph2",#N/A,FALSE,"PV Data"}</definedName>
    <definedName name="_I2" localSheetId="2" hidden="1">{"PVGraph2",#N/A,FALSE,"PV Data"}</definedName>
    <definedName name="_I2" localSheetId="3" hidden="1">{"PVGraph2",#N/A,FALSE,"PV Data"}</definedName>
    <definedName name="_I22" localSheetId="1" hidden="1">{"PVGraph2",#N/A,FALSE,"PV Data"}</definedName>
    <definedName name="_I22" localSheetId="8" hidden="1">{"PVGraph2",#N/A,FALSE,"PV Data"}</definedName>
    <definedName name="_I22" localSheetId="2" hidden="1">{"PVGraph2",#N/A,FALSE,"PV Data"}</definedName>
    <definedName name="_I22" localSheetId="3" hidden="1">{"PVGraph2",#N/A,FALSE,"PV Data"}</definedName>
    <definedName name="_I3" localSheetId="1" hidden="1">{"PVGraph2",#N/A,FALSE,"PV Data"}</definedName>
    <definedName name="_I3" localSheetId="8" hidden="1">{"PVGraph2",#N/A,FALSE,"PV Data"}</definedName>
    <definedName name="_I3" localSheetId="2" hidden="1">{"PVGraph2",#N/A,FALSE,"PV Data"}</definedName>
    <definedName name="_I3" localSheetId="3" hidden="1">{"PVGraph2",#N/A,FALSE,"PV Data"}</definedName>
    <definedName name="_II2" localSheetId="1" hidden="1">{"PVGraph2",#N/A,FALSE,"PV Data"}</definedName>
    <definedName name="_II2" localSheetId="8" hidden="1">{"PVGraph2",#N/A,FALSE,"PV Data"}</definedName>
    <definedName name="_II2" localSheetId="2" hidden="1">{"PVGraph2",#N/A,FALSE,"PV Data"}</definedName>
    <definedName name="_II2" localSheetId="3" hidden="1">{"PVGraph2",#N/A,FALSE,"PV Data"}</definedName>
    <definedName name="_jkhjk" localSheetId="1" hidden="1">{#N/A,#N/A,FALSE,"Bericht 2";#N/A,#N/A,FALSE,"Bericht 3";#N/A,#N/A,FALSE,"Bericht 1"}</definedName>
    <definedName name="_jkhjk" localSheetId="8" hidden="1">{#N/A,#N/A,FALSE,"Bericht 2";#N/A,#N/A,FALSE,"Bericht 3";#N/A,#N/A,FALSE,"Bericht 1"}</definedName>
    <definedName name="_jkhjk" localSheetId="2" hidden="1">{#N/A,#N/A,FALSE,"Bericht 2";#N/A,#N/A,FALSE,"Bericht 3";#N/A,#N/A,FALSE,"Bericht 1"}</definedName>
    <definedName name="_jkhjk" localSheetId="3" hidden="1">{#N/A,#N/A,FALSE,"Bericht 2";#N/A,#N/A,FALSE,"Bericht 3";#N/A,#N/A,FALSE,"Bericht 1"}</definedName>
    <definedName name="_jkhjk1" localSheetId="1" hidden="1">{#N/A,#N/A,FALSE,"Bericht 2";#N/A,#N/A,FALSE,"Bericht 3";#N/A,#N/A,FALSE,"Bericht 1"}</definedName>
    <definedName name="_jkhjk1" localSheetId="8" hidden="1">{#N/A,#N/A,FALSE,"Bericht 2";#N/A,#N/A,FALSE,"Bericht 3";#N/A,#N/A,FALSE,"Bericht 1"}</definedName>
    <definedName name="_jkhjk1" localSheetId="2" hidden="1">{#N/A,#N/A,FALSE,"Bericht 2";#N/A,#N/A,FALSE,"Bericht 3";#N/A,#N/A,FALSE,"Bericht 1"}</definedName>
    <definedName name="_jkhjk1" localSheetId="3" hidden="1">{#N/A,#N/A,FALSE,"Bericht 2";#N/A,#N/A,FALSE,"Bericht 3";#N/A,#N/A,FALSE,"Bericht 1"}</definedName>
    <definedName name="_JU7" localSheetId="1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JU7" localSheetId="8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JU7" localSheetId="2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JU7" localSheetId="3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ey1" hidden="1">#REF!</definedName>
    <definedName name="_Key2" hidden="1">#REF!</definedName>
    <definedName name="_kj14" localSheetId="1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j14" localSheetId="8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j14" localSheetId="2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j14" localSheetId="3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j16" localSheetId="1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j16" localSheetId="8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j16" localSheetId="2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j16" localSheetId="3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j4" localSheetId="1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j4" localSheetId="8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j4" localSheetId="2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j4" localSheetId="3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j8" localSheetId="1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j8" localSheetId="8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j8" localSheetId="2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j8" localSheetId="3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la29" localSheetId="8" hidden="1">#REF!</definedName>
    <definedName name="_la29" hidden="1">#REF!</definedName>
    <definedName name="_la3" localSheetId="1" hidden="1">#REF!</definedName>
    <definedName name="_la3" localSheetId="8" hidden="1">#REF!</definedName>
    <definedName name="_la3" hidden="1">#REF!</definedName>
    <definedName name="_la31" localSheetId="1" hidden="1">#REF!</definedName>
    <definedName name="_la31" hidden="1">#REF!</definedName>
    <definedName name="_la32" hidden="1">#REF!</definedName>
    <definedName name="_la4" hidden="1">#REF!</definedName>
    <definedName name="_la5" hidden="1">#REF!</definedName>
    <definedName name="_la6" hidden="1">#REF!</definedName>
    <definedName name="_la7" hidden="1">#REF!</definedName>
    <definedName name="_la8" hidden="1">#REF!</definedName>
    <definedName name="_la9" hidden="1">#REF!</definedName>
    <definedName name="_lb1" hidden="1">#REF!</definedName>
    <definedName name="_lb10" hidden="1">#REF!</definedName>
    <definedName name="_lb11" hidden="1">#REF!</definedName>
    <definedName name="_lb12" hidden="1">#REF!</definedName>
    <definedName name="_lb13" hidden="1">#REF!</definedName>
    <definedName name="_lb14" hidden="1">#REF!</definedName>
    <definedName name="_lb15" hidden="1">#REF!</definedName>
    <definedName name="_lb16" hidden="1">#REF!</definedName>
    <definedName name="_lb17" hidden="1">#REF!</definedName>
    <definedName name="_lb18" hidden="1">#REF!</definedName>
    <definedName name="_lb19" hidden="1">#REF!</definedName>
    <definedName name="_lb2" hidden="1">#REF!</definedName>
    <definedName name="_lb20" hidden="1">#REF!</definedName>
    <definedName name="_lb21" hidden="1">#REF!</definedName>
    <definedName name="_lb22" hidden="1">#REF!</definedName>
    <definedName name="_lb23" hidden="1">#REF!</definedName>
    <definedName name="_lb24" hidden="1">#REF!</definedName>
    <definedName name="_lb25" hidden="1">#REF!</definedName>
    <definedName name="_lb27" hidden="1">#REF!</definedName>
    <definedName name="_lb28" hidden="1">#REF!</definedName>
    <definedName name="_lb29" hidden="1">#REF!</definedName>
    <definedName name="_lb3" hidden="1">#REF!</definedName>
    <definedName name="_lb30" hidden="1">#REF!</definedName>
    <definedName name="_lb31" hidden="1">#REF!</definedName>
    <definedName name="_lb32" hidden="1">#REF!</definedName>
    <definedName name="_lb4" hidden="1">#REF!</definedName>
    <definedName name="_lb5" hidden="1">#REF!</definedName>
    <definedName name="_lb6" hidden="1">#REF!</definedName>
    <definedName name="_lb7" hidden="1">#REF!</definedName>
    <definedName name="_lb8" hidden="1">#REF!</definedName>
    <definedName name="_lb9" hidden="1">#REF!</definedName>
    <definedName name="_lbc1" hidden="1">#REF!</definedName>
    <definedName name="_lbc10" hidden="1">#REF!</definedName>
    <definedName name="_lbc11" hidden="1">#REF!</definedName>
    <definedName name="_lbc12" hidden="1">#REF!</definedName>
    <definedName name="_lbc13" hidden="1">#REF!</definedName>
    <definedName name="_lbc14" hidden="1">#REF!</definedName>
    <definedName name="_lbc15" hidden="1">#REF!</definedName>
    <definedName name="_lbc16" hidden="1">#REF!</definedName>
    <definedName name="_lbc17" hidden="1">#REF!</definedName>
    <definedName name="_lbc18" hidden="1">#REF!</definedName>
    <definedName name="_lbc19" hidden="1">#REF!</definedName>
    <definedName name="_lbc2" hidden="1">#REF!</definedName>
    <definedName name="_lbc20" hidden="1">#REF!</definedName>
    <definedName name="_lbc21" hidden="1">#REF!</definedName>
    <definedName name="_lbc22" hidden="1">#REF!</definedName>
    <definedName name="_lbc23" hidden="1">#REF!</definedName>
    <definedName name="_lbc24" hidden="1">#REF!</definedName>
    <definedName name="_lbc25" hidden="1">#REF!</definedName>
    <definedName name="_lbc26" hidden="1">#REF!</definedName>
    <definedName name="_lbc27" hidden="1">#REF!</definedName>
    <definedName name="_lbc28" hidden="1">#REF!</definedName>
    <definedName name="_lbc29" hidden="1">#REF!</definedName>
    <definedName name="_lbc3" hidden="1">#REF!</definedName>
    <definedName name="_lbc31" hidden="1">#REF!</definedName>
    <definedName name="_lbc32" hidden="1">#REF!</definedName>
    <definedName name="_lbc4" hidden="1">#REF!</definedName>
    <definedName name="_lbc5" hidden="1">#REF!</definedName>
    <definedName name="_lbc6" hidden="1">#REF!</definedName>
    <definedName name="_lbc7" hidden="1">#REF!</definedName>
    <definedName name="_lbc8" hidden="1">#REF!</definedName>
    <definedName name="_lbc9" hidden="1">#REF!</definedName>
    <definedName name="_ld26" hidden="1">#REF!</definedName>
    <definedName name="_ld31" hidden="1">#REF!</definedName>
    <definedName name="_le31" hidden="1">#REF!</definedName>
    <definedName name="_lf31" hidden="1">#REF!</definedName>
    <definedName name="_MatMult_A" hidden="1">#REF!</definedName>
    <definedName name="_Order1" hidden="1">255</definedName>
    <definedName name="_Order2" hidden="1">255</definedName>
    <definedName name="_q234" hidden="1">#REF!</definedName>
    <definedName name="_rafael" hidden="1">#REF!</definedName>
    <definedName name="_Regression_Int" hidden="1">1</definedName>
    <definedName name="_s1" hidden="1">#REF!</definedName>
    <definedName name="_s2" hidden="1">#REF!</definedName>
    <definedName name="_s3" hidden="1">#REF!</definedName>
    <definedName name="_s4" hidden="1">#REF!</definedName>
    <definedName name="_s5" hidden="1">#REF!</definedName>
    <definedName name="_s6" hidden="1">#REF!</definedName>
    <definedName name="_Sort" hidden="1">#REF!</definedName>
    <definedName name="_tabel1_outx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avel2_outx" hidden="1">#REF!</definedName>
    <definedName name="_w1" localSheetId="1" hidden="1">{"PVGraph2",#N/A,FALSE,"PV Data"}</definedName>
    <definedName name="_w1" localSheetId="8" hidden="1">{"PVGraph2",#N/A,FALSE,"PV Data"}</definedName>
    <definedName name="_w1" localSheetId="2" hidden="1">{"PVGraph2",#N/A,FALSE,"PV Data"}</definedName>
    <definedName name="_w1" localSheetId="3" hidden="1">{"PVGraph2",#N/A,FALSE,"PV Data"}</definedName>
    <definedName name="_w2" localSheetId="1" hidden="1">{"PVGraph2",#N/A,FALSE,"PV Data"}</definedName>
    <definedName name="_w2" localSheetId="8" hidden="1">{"PVGraph2",#N/A,FALSE,"PV Data"}</definedName>
    <definedName name="_w2" localSheetId="2" hidden="1">{"PVGraph2",#N/A,FALSE,"PV Data"}</definedName>
    <definedName name="_w2" localSheetId="3" hidden="1">{"PVGraph2",#N/A,FALSE,"PV Data"}</definedName>
    <definedName name="_w3" localSheetId="1" hidden="1">{"PVGraph2",#N/A,FALSE,"PV Data"}</definedName>
    <definedName name="_w3" localSheetId="8" hidden="1">{"PVGraph2",#N/A,FALSE,"PV Data"}</definedName>
    <definedName name="_w3" localSheetId="2" hidden="1">{"PVGraph2",#N/A,FALSE,"PV Data"}</definedName>
    <definedName name="_w3" localSheetId="3" hidden="1">{"PVGraph2",#N/A,FALSE,"PV Data"}</definedName>
    <definedName name="_w9" localSheetId="1" hidden="1">{"PVGraph2",#N/A,FALSE,"PV Data"}</definedName>
    <definedName name="_w9" localSheetId="8" hidden="1">{"PVGraph2",#N/A,FALSE,"PV Data"}</definedName>
    <definedName name="_w9" localSheetId="2" hidden="1">{"PVGraph2",#N/A,FALSE,"PV Data"}</definedName>
    <definedName name="_w9" localSheetId="3" hidden="1">{"PVGraph2",#N/A,FALSE,"PV Data"}</definedName>
    <definedName name="_x10" localSheetId="1" hidden="1">#REF!</definedName>
    <definedName name="_x10" hidden="1">#REF!</definedName>
    <definedName name="_x11" hidden="1">#REF!</definedName>
    <definedName name="_x12" hidden="1">#REF!</definedName>
    <definedName name="_x13" hidden="1">#REF!</definedName>
    <definedName name="_x14" hidden="1">#REF!</definedName>
    <definedName name="_x15" hidden="1">#REF!</definedName>
    <definedName name="_x16" hidden="1">#REF!</definedName>
    <definedName name="_x17" hidden="1">#REF!</definedName>
    <definedName name="_x18" hidden="1">#REF!</definedName>
    <definedName name="_x19" hidden="1">#REF!</definedName>
    <definedName name="_x2" localSheetId="1" hidden="1">{"PVGraph2",#N/A,FALSE,"PV Data"}</definedName>
    <definedName name="_x2" localSheetId="8" hidden="1">{"PVGraph2",#N/A,FALSE,"PV Data"}</definedName>
    <definedName name="_x2" localSheetId="2" hidden="1">{"PVGraph2",#N/A,FALSE,"PV Data"}</definedName>
    <definedName name="_x2" localSheetId="3" hidden="1">{"PVGraph2",#N/A,FALSE,"PV Data"}</definedName>
    <definedName name="_x20" localSheetId="8" hidden="1">#REF!</definedName>
    <definedName name="_x20" hidden="1">#REF!</definedName>
    <definedName name="_x21" localSheetId="1" hidden="1">#REF!</definedName>
    <definedName name="_x21" localSheetId="8" hidden="1">#REF!</definedName>
    <definedName name="_x21" hidden="1">#REF!</definedName>
    <definedName name="_x22" localSheetId="1" hidden="1">#REF!</definedName>
    <definedName name="_x22" hidden="1">#REF!</definedName>
    <definedName name="_x23" hidden="1">#REF!</definedName>
    <definedName name="_x24" hidden="1">#REF!</definedName>
    <definedName name="_x25" hidden="1">#REF!</definedName>
    <definedName name="_x28" hidden="1">#REF!</definedName>
    <definedName name="_x29" hidden="1">#REF!</definedName>
    <definedName name="_x32" hidden="1">#REF!</definedName>
    <definedName name="_x4" hidden="1">#REF!</definedName>
    <definedName name="_x5" hidden="1">#REF!</definedName>
    <definedName name="_x6" hidden="1">#REF!</definedName>
    <definedName name="_x7" hidden="1">#REF!</definedName>
    <definedName name="_x8" hidden="1">#REF!</definedName>
    <definedName name="_x9" hidden="1">#REF!</definedName>
    <definedName name="_y2" localSheetId="1" hidden="1">{"PVGraph2",#N/A,FALSE,"PV Data"}</definedName>
    <definedName name="_y2" localSheetId="8" hidden="1">{"PVGraph2",#N/A,FALSE,"PV Data"}</definedName>
    <definedName name="_y2" localSheetId="2" hidden="1">{"PVGraph2",#N/A,FALSE,"PV Data"}</definedName>
    <definedName name="_y2" localSheetId="3" hidden="1">{"PVGraph2",#N/A,FALSE,"PV Data"}</definedName>
    <definedName name="a" localSheetId="1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a" localSheetId="8" hidden="1">{"ASSETS",#N/A,TRUE,"Assets";"LIABILITIES",#N/A,TRUE,"Liab&amp;Equity";"INCOME STATEMENT",#N/A,TRUE,"IncStatement"}</definedName>
    <definedName name="a" localSheetId="2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a" localSheetId="3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aa" localSheetId="1" hidden="1">#REF!</definedName>
    <definedName name="aa" localSheetId="8" hidden="1">{"Schedule A 1",#N/A,FALSE,"Schedule A-1";"Schedule A 2",#N/A,FALSE,"Schedule A-2";"Schedule A 3",#N/A,FALSE,"Schedule A-3";"Schedule A 4",#N/A,FALSE,"Schedule A-4";"Schedule A 5",#N/A,FALSE,"Schedule A-5";"Schedule L-1",#N/A,FALSE,"Schedule L-1";"Schedule A 6",#N/A,FALSE,"Schedule A-6";"Schedule L-2",#N/A,FALSE,"Schedule L-2";"Schedule L 3 (1)",#N/A,FALSE,"Schedule L-3 (1)";"Schedule L 3 (2)",#N/A,FALSE,"Schedule L-3 (2)";"Schedule L 3 (3)",#N/A,FALSE,"Schedule L-3 (3)";"Schedule L 3 (4)",#N/A,FALSE,"Schedule L-3 (4)";"Schedule L 3 (5)",#N/A,FALSE,"Schedule L-3 (5)";"Schedule l 1",#N/A,FALSE,"Schedule I-1";"Schedule l 2",#N/A,FALSE,"Schedule I-2";"Schedule l 3",#N/A,FALSE,"Schedule I-3";"Schedule l 4",#N/A,FALSE,"Schedule I-4";"Schedule L-4",#N/A,FALSE,"Schedule L-4";"Schedule l-5",#N/A,FALSE,"Anex 1"}</definedName>
    <definedName name="aa" hidden="1">#REF!</definedName>
    <definedName name="aaa" localSheetId="1" hidden="1">{#N/A,#N/A,FALSE,"Aging Summary";#N/A,#N/A,FALSE,"Ratio Analysis";#N/A,#N/A,FALSE,"Test 120 Day Accts";#N/A,#N/A,FALSE,"Tickmarks"}</definedName>
    <definedName name="aaa" localSheetId="8" hidden="1">{"Schedule A 1",#N/A,FALSE,"Schedule A-1";"Schedule A 2",#N/A,FALSE,"Schedule A-2";"Schedule A 3",#N/A,FALSE,"Schedule A-3";"Schedule A 4",#N/A,FALSE,"Schedule A-4";"Schedule A 5",#N/A,FALSE,"Schedule A-5";"Schedule L-1",#N/A,FALSE,"Schedule L-1";"Schedule A 6",#N/A,FALSE,"Schedule A-6";"Schedule L-2",#N/A,FALSE,"Schedule L-2";"Schedule L 3 (1)",#N/A,FALSE,"Schedule L-3 (1)";"Schedule L 3 (2)",#N/A,FALSE,"Schedule L-3 (2)";"Schedule L 3 (3)",#N/A,FALSE,"Schedule L-3 (3)";"Schedule L 3 (4)",#N/A,FALSE,"Schedule L-3 (4)";"Schedule L 3 (5)",#N/A,FALSE,"Schedule L-3 (5)";"Schedule l 1",#N/A,FALSE,"Schedule I-1";"Schedule l 2",#N/A,FALSE,"Schedule I-2";"Schedule l 3",#N/A,FALSE,"Schedule I-3";"Schedule l 4",#N/A,FALSE,"Schedule I-4";"Schedule L-4",#N/A,FALSE,"Schedule L-4";"Schedule l-5",#N/A,FALSE,"Anex 1"}</definedName>
    <definedName name="aaa" localSheetId="2" hidden="1">{#N/A,#N/A,FALSE,"Aging Summary";#N/A,#N/A,FALSE,"Ratio Analysis";#N/A,#N/A,FALSE,"Test 120 Day Accts";#N/A,#N/A,FALSE,"Tickmarks"}</definedName>
    <definedName name="aaa" localSheetId="3" hidden="1">{#N/A,#N/A,FALSE,"Aging Summary";#N/A,#N/A,FALSE,"Ratio Analysis";#N/A,#N/A,FALSE,"Test 120 Day Accts";#N/A,#N/A,FALSE,"Tickmarks"}</definedName>
    <definedName name="aaaa" localSheetId="8" hidden="1">#REF!</definedName>
    <definedName name="aaaa" hidden="1">#REF!</definedName>
    <definedName name="aaaaa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" localSheetId="8" hidden="1">#REF!</definedName>
    <definedName name="aaaaa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" localSheetId="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a" localSheetId="1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aaaaaa" localSheetId="8" hidden="1">#REF!</definedName>
    <definedName name="aaaaaa" localSheetId="2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aaaaaa" localSheetId="3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aaaaaaa" hidden="1">#N/A</definedName>
    <definedName name="aaaaaaaaa" localSheetId="1" hidden="1">#REF!</definedName>
    <definedName name="aaaaaaaaa" localSheetId="8" hidden="1">#REF!</definedName>
    <definedName name="aaaaaaaaa" hidden="1">#REF!</definedName>
    <definedName name="aaaaaaaaaa" localSheetId="1" hidden="1">{#N/A,#N/A,FALSE,"Plan1";#N/A,#N/A,FALSE,"Plan2"}</definedName>
    <definedName name="aaaaaaaaaa" localSheetId="8" hidden="1">{#N/A,#N/A,FALSE,"Plan1";#N/A,#N/A,FALSE,"Plan2"}</definedName>
    <definedName name="aaaaaaaaaa" localSheetId="2" hidden="1">{#N/A,#N/A,FALSE,"Plan1";#N/A,#N/A,FALSE,"Plan2"}</definedName>
    <definedName name="aaaaaaaaaa" localSheetId="3" hidden="1">{#N/A,#N/A,FALSE,"Plan1";#N/A,#N/A,FALSE,"Plan2"}</definedName>
    <definedName name="aaaaaaaaaaaa" localSheetId="6" hidden="1">{"Schedule A 1",#N/A,FALSE,"Schedule A-1";"Schedule A 2",#N/A,FALSE,"Schedule A-2";"Schedule A 3",#N/A,FALSE,"Schedule A-3";"Schedule A 4",#N/A,FALSE,"Schedule A-4";"Schedule A 5",#N/A,FALSE,"Schedule A-5";"Schedule L-1",#N/A,FALSE,"Schedule L-1";"Schedule A 6",#N/A,FALSE,"Schedule A-6";"Schedule L-2",#N/A,FALSE,"Schedule L-2";"Schedule L 3 (1)",#N/A,FALSE,"Schedule L-3 (1)";"Schedule L 3 (2)",#N/A,FALSE,"Schedule L-3 (2)";"Schedule L 3 (3)",#N/A,FALSE,"Schedule L-3 (3)";"Schedule L 3 (4)",#N/A,FALSE,"Schedule L-3 (4)";"Schedule L 3 (5)",#N/A,FALSE,"Schedule L-3 (5)";"Schedule l 1",#N/A,FALSE,"Schedule I-1";"Schedule l 2",#N/A,FALSE,"Schedule I-2";"Schedule l 3",#N/A,FALSE,"Schedule I-3";"Schedule l 4",#N/A,FALSE,"Schedule I-4";"Schedule L-4",#N/A,FALSE,"Schedule L-4";"Schedule l-5",#N/A,FALSE,"Anex 1"}</definedName>
    <definedName name="aaaaaaaaaaaa" localSheetId="7" hidden="1">{"Schedule A 1",#N/A,FALSE,"Schedule A-1";"Schedule A 2",#N/A,FALSE,"Schedule A-2";"Schedule A 3",#N/A,FALSE,"Schedule A-3";"Schedule A 4",#N/A,FALSE,"Schedule A-4";"Schedule A 5",#N/A,FALSE,"Schedule A-5";"Schedule L-1",#N/A,FALSE,"Schedule L-1";"Schedule A 6",#N/A,FALSE,"Schedule A-6";"Schedule L-2",#N/A,FALSE,"Schedule L-2";"Schedule L 3 (1)",#N/A,FALSE,"Schedule L-3 (1)";"Schedule L 3 (2)",#N/A,FALSE,"Schedule L-3 (2)";"Schedule L 3 (3)",#N/A,FALSE,"Schedule L-3 (3)";"Schedule L 3 (4)",#N/A,FALSE,"Schedule L-3 (4)";"Schedule L 3 (5)",#N/A,FALSE,"Schedule L-3 (5)";"Schedule l 1",#N/A,FALSE,"Schedule I-1";"Schedule l 2",#N/A,FALSE,"Schedule I-2";"Schedule l 3",#N/A,FALSE,"Schedule I-3";"Schedule l 4",#N/A,FALSE,"Schedule I-4";"Schedule L-4",#N/A,FALSE,"Schedule L-4";"Schedule l-5",#N/A,FALSE,"Anex 1"}</definedName>
    <definedName name="aaaaaaaaaaaa" localSheetId="1" hidden="1">{"Schedule A 1",#N/A,FALSE,"Schedule A-1";"Schedule A 2",#N/A,FALSE,"Schedule A-2";"Schedule A 3",#N/A,FALSE,"Schedule A-3";"Schedule A 4",#N/A,FALSE,"Schedule A-4";"Schedule A 5",#N/A,FALSE,"Schedule A-5";"Schedule L-1",#N/A,FALSE,"Schedule L-1";"Schedule A 6",#N/A,FALSE,"Schedule A-6";"Schedule L-2",#N/A,FALSE,"Schedule L-2";"Schedule L 3 (1)",#N/A,FALSE,"Schedule L-3 (1)";"Schedule L 3 (2)",#N/A,FALSE,"Schedule L-3 (2)";"Schedule L 3 (3)",#N/A,FALSE,"Schedule L-3 (3)";"Schedule L 3 (4)",#N/A,FALSE,"Schedule L-3 (4)";"Schedule L 3 (5)",#N/A,FALSE,"Schedule L-3 (5)";"Schedule l 1",#N/A,FALSE,"Schedule I-1";"Schedule l 2",#N/A,FALSE,"Schedule I-2";"Schedule l 3",#N/A,FALSE,"Schedule I-3";"Schedule l 4",#N/A,FALSE,"Schedule I-4";"Schedule L-4",#N/A,FALSE,"Schedule L-4";"Schedule l-5",#N/A,FALSE,"Anex 1"}</definedName>
    <definedName name="aaaaaaaaaaaa" localSheetId="8" hidden="1">{"Schedule A 1",#N/A,FALSE,"Schedule A-1";"Schedule A 2",#N/A,FALSE,"Schedule A-2";"Schedule A 3",#N/A,FALSE,"Schedule A-3";"Schedule A 4",#N/A,FALSE,"Schedule A-4";"Schedule A 5",#N/A,FALSE,"Schedule A-5";"Schedule L-1",#N/A,FALSE,"Schedule L-1";"Schedule A 6",#N/A,FALSE,"Schedule A-6";"Schedule L-2",#N/A,FALSE,"Schedule L-2";"Schedule L 3 (1)",#N/A,FALSE,"Schedule L-3 (1)";"Schedule L 3 (2)",#N/A,FALSE,"Schedule L-3 (2)";"Schedule L 3 (3)",#N/A,FALSE,"Schedule L-3 (3)";"Schedule L 3 (4)",#N/A,FALSE,"Schedule L-3 (4)";"Schedule L 3 (5)",#N/A,FALSE,"Schedule L-3 (5)";"Schedule l 1",#N/A,FALSE,"Schedule I-1";"Schedule l 2",#N/A,FALSE,"Schedule I-2";"Schedule l 3",#N/A,FALSE,"Schedule I-3";"Schedule l 4",#N/A,FALSE,"Schedule I-4";"Schedule L-4",#N/A,FALSE,"Schedule L-4";"Schedule l-5",#N/A,FALSE,"Anex 1"}</definedName>
    <definedName name="aaaaaaaaaaaa" localSheetId="2" hidden="1">{"Schedule A 1",#N/A,FALSE,"Schedule A-1";"Schedule A 2",#N/A,FALSE,"Schedule A-2";"Schedule A 3",#N/A,FALSE,"Schedule A-3";"Schedule A 4",#N/A,FALSE,"Schedule A-4";"Schedule A 5",#N/A,FALSE,"Schedule A-5";"Schedule L-1",#N/A,FALSE,"Schedule L-1";"Schedule A 6",#N/A,FALSE,"Schedule A-6";"Schedule L-2",#N/A,FALSE,"Schedule L-2";"Schedule L 3 (1)",#N/A,FALSE,"Schedule L-3 (1)";"Schedule L 3 (2)",#N/A,FALSE,"Schedule L-3 (2)";"Schedule L 3 (3)",#N/A,FALSE,"Schedule L-3 (3)";"Schedule L 3 (4)",#N/A,FALSE,"Schedule L-3 (4)";"Schedule L 3 (5)",#N/A,FALSE,"Schedule L-3 (5)";"Schedule l 1",#N/A,FALSE,"Schedule I-1";"Schedule l 2",#N/A,FALSE,"Schedule I-2";"Schedule l 3",#N/A,FALSE,"Schedule I-3";"Schedule l 4",#N/A,FALSE,"Schedule I-4";"Schedule L-4",#N/A,FALSE,"Schedule L-4";"Schedule l-5",#N/A,FALSE,"Anex 1"}</definedName>
    <definedName name="aaaaaaaaaaaa" localSheetId="3" hidden="1">{"Schedule A 1",#N/A,FALSE,"Schedule A-1";"Schedule A 2",#N/A,FALSE,"Schedule A-2";"Schedule A 3",#N/A,FALSE,"Schedule A-3";"Schedule A 4",#N/A,FALSE,"Schedule A-4";"Schedule A 5",#N/A,FALSE,"Schedule A-5";"Schedule L-1",#N/A,FALSE,"Schedule L-1";"Schedule A 6",#N/A,FALSE,"Schedule A-6";"Schedule L-2",#N/A,FALSE,"Schedule L-2";"Schedule L 3 (1)",#N/A,FALSE,"Schedule L-3 (1)";"Schedule L 3 (2)",#N/A,FALSE,"Schedule L-3 (2)";"Schedule L 3 (3)",#N/A,FALSE,"Schedule L-3 (3)";"Schedule L 3 (4)",#N/A,FALSE,"Schedule L-3 (4)";"Schedule L 3 (5)",#N/A,FALSE,"Schedule L-3 (5)";"Schedule l 1",#N/A,FALSE,"Schedule I-1";"Schedule l 2",#N/A,FALSE,"Schedule I-2";"Schedule l 3",#N/A,FALSE,"Schedule I-3";"Schedule l 4",#N/A,FALSE,"Schedule I-4";"Schedule L-4",#N/A,FALSE,"Schedule L-4";"Schedule l-5",#N/A,FALSE,"Anex 1"}</definedName>
    <definedName name="aaaaaaaaaaaa" localSheetId="4" hidden="1">{"Schedule A 1",#N/A,FALSE,"Schedule A-1";"Schedule A 2",#N/A,FALSE,"Schedule A-2";"Schedule A 3",#N/A,FALSE,"Schedule A-3";"Schedule A 4",#N/A,FALSE,"Schedule A-4";"Schedule A 5",#N/A,FALSE,"Schedule A-5";"Schedule L-1",#N/A,FALSE,"Schedule L-1";"Schedule A 6",#N/A,FALSE,"Schedule A-6";"Schedule L-2",#N/A,FALSE,"Schedule L-2";"Schedule L 3 (1)",#N/A,FALSE,"Schedule L-3 (1)";"Schedule L 3 (2)",#N/A,FALSE,"Schedule L-3 (2)";"Schedule L 3 (3)",#N/A,FALSE,"Schedule L-3 (3)";"Schedule L 3 (4)",#N/A,FALSE,"Schedule L-3 (4)";"Schedule L 3 (5)",#N/A,FALSE,"Schedule L-3 (5)";"Schedule l 1",#N/A,FALSE,"Schedule I-1";"Schedule l 2",#N/A,FALSE,"Schedule I-2";"Schedule l 3",#N/A,FALSE,"Schedule I-3";"Schedule l 4",#N/A,FALSE,"Schedule I-4";"Schedule L-4",#N/A,FALSE,"Schedule L-4";"Schedule l-5",#N/A,FALSE,"Anex 1"}</definedName>
    <definedName name="aaaaaaaaaaaa" localSheetId="5" hidden="1">{"Schedule A 1",#N/A,FALSE,"Schedule A-1";"Schedule A 2",#N/A,FALSE,"Schedule A-2";"Schedule A 3",#N/A,FALSE,"Schedule A-3";"Schedule A 4",#N/A,FALSE,"Schedule A-4";"Schedule A 5",#N/A,FALSE,"Schedule A-5";"Schedule L-1",#N/A,FALSE,"Schedule L-1";"Schedule A 6",#N/A,FALSE,"Schedule A-6";"Schedule L-2",#N/A,FALSE,"Schedule L-2";"Schedule L 3 (1)",#N/A,FALSE,"Schedule L-3 (1)";"Schedule L 3 (2)",#N/A,FALSE,"Schedule L-3 (2)";"Schedule L 3 (3)",#N/A,FALSE,"Schedule L-3 (3)";"Schedule L 3 (4)",#N/A,FALSE,"Schedule L-3 (4)";"Schedule L 3 (5)",#N/A,FALSE,"Schedule L-3 (5)";"Schedule l 1",#N/A,FALSE,"Schedule I-1";"Schedule l 2",#N/A,FALSE,"Schedule I-2";"Schedule l 3",#N/A,FALSE,"Schedule I-3";"Schedule l 4",#N/A,FALSE,"Schedule I-4";"Schedule L-4",#N/A,FALSE,"Schedule L-4";"Schedule l-5",#N/A,FALSE,"Anex 1"}</definedName>
    <definedName name="aaaaaaaaaaaaaa" localSheetId="1" hidden="1">#REF!</definedName>
    <definedName name="aaaaaaaaaaaaaa" localSheetId="8" hidden="1">#REF!</definedName>
    <definedName name="aaaaaaaaaaaaaa" hidden="1">#REF!</definedName>
    <definedName name="aaacccc" localSheetId="1" hidden="1">{#N/A,#N/A,FALSE,"Plan1";#N/A,#N/A,FALSE,"Plan2"}</definedName>
    <definedName name="aaacccc" localSheetId="8" hidden="1">{#N/A,#N/A,FALSE,"Plan1";#N/A,#N/A,FALSE,"Plan2"}</definedName>
    <definedName name="aaacccc" localSheetId="2" hidden="1">{#N/A,#N/A,FALSE,"Plan1";#N/A,#N/A,FALSE,"Plan2"}</definedName>
    <definedName name="aaacccc" localSheetId="3" hidden="1">{#N/A,#N/A,FALSE,"Plan1";#N/A,#N/A,FALSE,"Plan2"}</definedName>
    <definedName name="ABC" localSheetId="1" hidden="1">{"RRHH",#N/A,FALSE,"Por Dirección";"Operaciones",#N/A,FALSE,"Por Dirección";"Logística",#N/A,FALSE,"Por Dirección";"Comercial",#N/A,FALSE,"Por Dirección";"Administracion",#N/A,FALSE,"Por Dirección"}</definedName>
    <definedName name="abc" localSheetId="8" hidden="1">#REF!</definedName>
    <definedName name="ABC" localSheetId="2" hidden="1">{"RRHH",#N/A,FALSE,"Por Dirección";"Operaciones",#N/A,FALSE,"Por Dirección";"Logística",#N/A,FALSE,"Por Dirección";"Comercial",#N/A,FALSE,"Por Dirección";"Administracion",#N/A,FALSE,"Por Dirección"}</definedName>
    <definedName name="ABC" localSheetId="3" hidden="1">{"RRHH",#N/A,FALSE,"Por Dirección";"Operaciones",#N/A,FALSE,"Por Dirección";"Logística",#N/A,FALSE,"Por Dirección";"Comercial",#N/A,FALSE,"Por Dirección";"Administracion",#N/A,FALSE,"Por Dirección"}</definedName>
    <definedName name="Abril" localSheetId="1" hidden="1">{"RRHH",#N/A,FALSE,"Por Dirección";"Operaciones",#N/A,FALSE,"Por Dirección";"Logística",#N/A,FALSE,"Por Dirección";"Comercial",#N/A,FALSE,"Por Dirección";"Administracion",#N/A,FALSE,"Por Dirección"}</definedName>
    <definedName name="Abril" localSheetId="8" hidden="1">{"RRHH",#N/A,FALSE,"Por Dirección";"Operaciones",#N/A,FALSE,"Por Dirección";"Logística",#N/A,FALSE,"Por Dirección";"Comercial",#N/A,FALSE,"Por Dirección";"Administracion",#N/A,FALSE,"Por Dirección"}</definedName>
    <definedName name="Abril" localSheetId="2" hidden="1">{"RRHH",#N/A,FALSE,"Por Dirección";"Operaciones",#N/A,FALSE,"Por Dirección";"Logística",#N/A,FALSE,"Por Dirección";"Comercial",#N/A,FALSE,"Por Dirección";"Administracion",#N/A,FALSE,"Por Dirección"}</definedName>
    <definedName name="Abril" localSheetId="3" hidden="1">{"RRHH",#N/A,FALSE,"Por Dirección";"Operaciones",#N/A,FALSE,"Por Dirección";"Logística",#N/A,FALSE,"Por Dirección";"Comercial",#N/A,FALSE,"Por Dirección";"Administracion",#N/A,FALSE,"Por Dirección"}</definedName>
    <definedName name="AccessDatabase" localSheetId="8" hidden="1">"D:\Edson\VaR\VaR_UBB\VaR_UBB_UAM\Carrega_Carteiras_2.mdb"</definedName>
    <definedName name="AccessDatabase" hidden="1">"C:\Documents and Settings\JPMELLO\Meus documentos\ARQUIVOS 2004\MONITORAMENTO OAC\Monitoramento de OAC.mdb"</definedName>
    <definedName name="achar18" hidden="1">#REF!</definedName>
    <definedName name="achar19" hidden="1">#REF!</definedName>
    <definedName name="achart1" hidden="1">#REF!</definedName>
    <definedName name="achart10" hidden="1">#REF!</definedName>
    <definedName name="achart11" hidden="1">#REF!</definedName>
    <definedName name="achart12" hidden="1">#REF!</definedName>
    <definedName name="achart13" hidden="1">#REF!</definedName>
    <definedName name="achart14" hidden="1">#REF!</definedName>
    <definedName name="achart15" hidden="1">#REF!</definedName>
    <definedName name="achart16" hidden="1">#REF!</definedName>
    <definedName name="achart17" hidden="1">#REF!</definedName>
    <definedName name="achart2" hidden="1">#REF!</definedName>
    <definedName name="achart20" hidden="1">#REF!</definedName>
    <definedName name="achart21" hidden="1">#REF!</definedName>
    <definedName name="achart22" hidden="1">#REF!</definedName>
    <definedName name="achart23" hidden="1">#REF!</definedName>
    <definedName name="achart24" hidden="1">#REF!</definedName>
    <definedName name="achart25" hidden="1">#REF!</definedName>
    <definedName name="achart26" hidden="1">#REF!</definedName>
    <definedName name="achart27" hidden="1">#REF!</definedName>
    <definedName name="achart28" hidden="1">#REF!</definedName>
    <definedName name="achart29" hidden="1">#REF!</definedName>
    <definedName name="achart3" hidden="1">#REF!</definedName>
    <definedName name="achart30" hidden="1">#REF!</definedName>
    <definedName name="achart31" hidden="1">#REF!</definedName>
    <definedName name="achart32" hidden="1">#REF!</definedName>
    <definedName name="achart4" hidden="1">#REF!</definedName>
    <definedName name="achart5" hidden="1">#REF!</definedName>
    <definedName name="achart6" hidden="1">#REF!</definedName>
    <definedName name="achart7" hidden="1">#REF!</definedName>
    <definedName name="achart8" hidden="1">#REF!</definedName>
    <definedName name="achart9" hidden="1">#REF!</definedName>
    <definedName name="ACwvu.PLANILHA2." hidden="1">#REF!</definedName>
    <definedName name="ADF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DF" localSheetId="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DF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DF" localSheetId="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erew" localSheetId="1" hidden="1">{#N/A,#N/A,FALSE,"Acum Julio - 00"}</definedName>
    <definedName name="aerew" localSheetId="8" hidden="1">{#N/A,#N/A,FALSE,"Acum Julio - 00"}</definedName>
    <definedName name="aerew" localSheetId="2" hidden="1">{#N/A,#N/A,FALSE,"Acum Julio - 00"}</definedName>
    <definedName name="aerew" localSheetId="3" hidden="1">{#N/A,#N/A,FALSE,"Acum Julio - 00"}</definedName>
    <definedName name="ah" hidden="1">#REF!</definedName>
    <definedName name="ahuhauha" hidden="1">#REF!</definedName>
    <definedName name="ai" localSheetId="1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ai" localSheetId="8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ai" localSheetId="2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ai" localSheetId="3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amortizaciones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amortizaciones" localSheetId="8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amortizaciones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amortizaciones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anexo" localSheetId="1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anexo" localSheetId="8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anexo" localSheetId="2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anexo" localSheetId="3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anscount" hidden="1">1</definedName>
    <definedName name="antonio" localSheetId="1" hidden="1">{#N/A,"70% Success",FALSE,"Sales Forecast";#N/A,#N/A,FALSE,"Sheet2"}</definedName>
    <definedName name="antonio" localSheetId="8" hidden="1">{#N/A,"70% Success",FALSE,"Sales Forecast";#N/A,#N/A,FALSE,"Sheet2"}</definedName>
    <definedName name="antonio" localSheetId="2" hidden="1">{#N/A,"70% Success",FALSE,"Sales Forecast";#N/A,#N/A,FALSE,"Sheet2"}</definedName>
    <definedName name="antonio" localSheetId="3" hidden="1">{#N/A,"70% Success",FALSE,"Sales Forecast";#N/A,#N/A,FALSE,"Sheet2"}</definedName>
    <definedName name="area" localSheetId="1" hidden="1">{#N/A,#N/A,FALSE,"Plan1";#N/A,#N/A,FALSE,"Plan2"}</definedName>
    <definedName name="area" localSheetId="8" hidden="1">{#N/A,#N/A,FALSE,"Plan1";#N/A,#N/A,FALSE,"Plan2"}</definedName>
    <definedName name="area" localSheetId="2" hidden="1">{#N/A,#N/A,FALSE,"Plan1";#N/A,#N/A,FALSE,"Plan2"}</definedName>
    <definedName name="area" localSheetId="3" hidden="1">{#N/A,#N/A,FALSE,"Plan1";#N/A,#N/A,FALSE,"Plan2"}</definedName>
    <definedName name="as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as" localSheetId="8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as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as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as.as." localSheetId="1" hidden="1">{#N/A,#N/A,FALSE,"Acum Julio - 00"}</definedName>
    <definedName name="as.as." localSheetId="8" hidden="1">{#N/A,#N/A,FALSE,"Acum Julio - 00"}</definedName>
    <definedName name="as.as." localSheetId="2" hidden="1">{#N/A,#N/A,FALSE,"Acum Julio - 00"}</definedName>
    <definedName name="as.as." localSheetId="3" hidden="1">{#N/A,#N/A,FALSE,"Acum Julio - 00"}</definedName>
    <definedName name="AS2DocOpenMode" hidden="1">"AS2DocumentEdit"</definedName>
    <definedName name="AS2HasNoAutoHeaderFooter" hidden="1">" "</definedName>
    <definedName name="AS2LinkLS" hidden="1">#REF!</definedName>
    <definedName name="AS2NamedRange" localSheetId="8" hidden="1">13</definedName>
    <definedName name="AS2NamedRange" hidden="1">21</definedName>
    <definedName name="AS2ReportLS" hidden="1">1</definedName>
    <definedName name="AS2StaticLS" localSheetId="8" hidden="1">#REF!</definedName>
    <definedName name="AS2StaticLS" hidden="1">#REF!</definedName>
    <definedName name="AS2SyncStepLS" hidden="1">0</definedName>
    <definedName name="AS2TickmarkLS" localSheetId="8" hidden="1">#REF!</definedName>
    <definedName name="AS2TickmarkLS" hidden="1">#REF!</definedName>
    <definedName name="AS2VersionLS" hidden="1">300</definedName>
    <definedName name="asd" localSheetId="1" hidden="1">{#N/A,#N/A,FALSE,"Acum Julio - 00"}</definedName>
    <definedName name="asd" localSheetId="8" hidden="1">{#N/A,#N/A,FALSE,"Acum Julio - 00"}</definedName>
    <definedName name="asd" localSheetId="2" hidden="1">{#N/A,#N/A,FALSE,"Acum Julio - 00"}</definedName>
    <definedName name="asd" localSheetId="3" hidden="1">{#N/A,#N/A,FALSE,"Acum Julio - 00"}</definedName>
    <definedName name="asddddddd" localSheetId="1" hidden="1">{#N/A,#N/A,FALSE,"Acum Julio - 00"}</definedName>
    <definedName name="asddddddd" localSheetId="8" hidden="1">{#N/A,#N/A,FALSE,"Acum Julio - 00"}</definedName>
    <definedName name="asddddddd" localSheetId="2" hidden="1">{#N/A,#N/A,FALSE,"Acum Julio - 00"}</definedName>
    <definedName name="asddddddd" localSheetId="3" hidden="1">{#N/A,#N/A,FALSE,"Acum Julio - 00"}</definedName>
    <definedName name="asdfsa" localSheetId="1" hidden="1">{#N/A,#N/A,FALSE,"Acum Julio - 00"}</definedName>
    <definedName name="asdfsa" localSheetId="8" hidden="1">{#N/A,#N/A,FALSE,"Acum Julio - 00"}</definedName>
    <definedName name="asdfsa" localSheetId="2" hidden="1">{#N/A,#N/A,FALSE,"Acum Julio - 00"}</definedName>
    <definedName name="asdfsa" localSheetId="3" hidden="1">{#N/A,#N/A,FALSE,"Acum Julio - 00"}</definedName>
    <definedName name="asdsad" hidden="1">#N/A</definedName>
    <definedName name="ASG" localSheetId="1" hidden="1">{#N/A,#N/A,FALSE,"Plan1";#N/A,#N/A,FALSE,"Plan2"}</definedName>
    <definedName name="ASG" localSheetId="8" hidden="1">{#N/A,#N/A,FALSE,"Plan1";#N/A,#N/A,FALSE,"Plan2"}</definedName>
    <definedName name="ASG" localSheetId="2" hidden="1">{#N/A,#N/A,FALSE,"Plan1";#N/A,#N/A,FALSE,"Plan2"}</definedName>
    <definedName name="ASG" localSheetId="3" hidden="1">{#N/A,#N/A,FALSE,"Plan1";#N/A,#N/A,FALSE,"Plan2"}</definedName>
    <definedName name="ASGF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GF" localSheetId="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GF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GF" localSheetId="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sd" localSheetId="1" hidden="1">{#N/A,#N/A,FALSE,"Bericht 2";#N/A,#N/A,FALSE,"Bericht 3";#N/A,#N/A,FALSE,"Bericht 1"}</definedName>
    <definedName name="assd" localSheetId="8" hidden="1">{#N/A,#N/A,FALSE,"Bericht 2";#N/A,#N/A,FALSE,"Bericht 3";#N/A,#N/A,FALSE,"Bericht 1"}</definedName>
    <definedName name="assd" localSheetId="2" hidden="1">{#N/A,#N/A,FALSE,"Bericht 2";#N/A,#N/A,FALSE,"Bericht 3";#N/A,#N/A,FALSE,"Bericht 1"}</definedName>
    <definedName name="assd" localSheetId="3" hidden="1">{#N/A,#N/A,FALSE,"Bericht 2";#N/A,#N/A,FALSE,"Bericht 3";#N/A,#N/A,FALSE,"Bericht 1"}</definedName>
    <definedName name="asvcxvcx" localSheetId="1" hidden="1">{#N/A,#N/A,FALSE,"Acum Julio - 00"}</definedName>
    <definedName name="asvcxvcx" localSheetId="8" hidden="1">{#N/A,#N/A,FALSE,"Acum Julio - 00"}</definedName>
    <definedName name="asvcxvcx" localSheetId="2" hidden="1">{#N/A,#N/A,FALSE,"Acum Julio - 00"}</definedName>
    <definedName name="asvcxvcx" localSheetId="3" hidden="1">{#N/A,#N/A,FALSE,"Acum Julio - 00"}</definedName>
    <definedName name="azerty4" localSheetId="1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azerty4" localSheetId="8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azerty4" localSheetId="2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azerty4" localSheetId="3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B" localSheetId="1" hidden="1">#REF!</definedName>
    <definedName name="B" localSheetId="8" hidden="1">#REF!</definedName>
    <definedName name="B" hidden="1">#REF!</definedName>
    <definedName name="baerer" localSheetId="1" hidden="1">{#N/A,#N/A,FALSE,"Plan1";#N/A,#N/A,FALSE,"Plan2"}</definedName>
    <definedName name="baerer" localSheetId="8" hidden="1">{#N/A,#N/A,FALSE,"Plan1";#N/A,#N/A,FALSE,"Plan2"}</definedName>
    <definedName name="baerer" localSheetId="2" hidden="1">{#N/A,#N/A,FALSE,"Plan1";#N/A,#N/A,FALSE,"Plan2"}</definedName>
    <definedName name="baerer" localSheetId="3" hidden="1">{#N/A,#N/A,FALSE,"Plan1";#N/A,#N/A,FALSE,"Plan2"}</definedName>
    <definedName name="balance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balance" localSheetId="8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balance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balance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BalanceSheet_Combe" localSheetId="6" hidden="1">{"ASSETS",#N/A,TRUE,"Assets";"LIABILITIES",#N/A,TRUE,"Liab&amp;Equity";"INCOME STATEMENT",#N/A,TRUE,"IncStatement"}</definedName>
    <definedName name="BalanceSheet_Combe" localSheetId="7" hidden="1">{"ASSETS",#N/A,TRUE,"Assets";"LIABILITIES",#N/A,TRUE,"Liab&amp;Equity";"INCOME STATEMENT",#N/A,TRUE,"IncStatement"}</definedName>
    <definedName name="BalanceSheet_Combe" localSheetId="1" hidden="1">{"ASSETS",#N/A,TRUE,"Assets";"LIABILITIES",#N/A,TRUE,"Liab&amp;Equity";"INCOME STATEMENT",#N/A,TRUE,"IncStatement"}</definedName>
    <definedName name="BalanceSheet_Combe" localSheetId="8" hidden="1">{"ASSETS",#N/A,TRUE,"Assets";"LIABILITIES",#N/A,TRUE,"Liab&amp;Equity";"INCOME STATEMENT",#N/A,TRUE,"IncStatement"}</definedName>
    <definedName name="BalanceSheet_Combe" localSheetId="2" hidden="1">{"ASSETS",#N/A,TRUE,"Assets";"LIABILITIES",#N/A,TRUE,"Liab&amp;Equity";"INCOME STATEMENT",#N/A,TRUE,"IncStatement"}</definedName>
    <definedName name="BalanceSheet_Combe" localSheetId="3" hidden="1">{"ASSETS",#N/A,TRUE,"Assets";"LIABILITIES",#N/A,TRUE,"Liab&amp;Equity";"INCOME STATEMENT",#N/A,TRUE,"IncStatement"}</definedName>
    <definedName name="BalanceSheet_Combe" localSheetId="4" hidden="1">{"ASSETS",#N/A,TRUE,"Assets";"LIABILITIES",#N/A,TRUE,"Liab&amp;Equity";"INCOME STATEMENT",#N/A,TRUE,"IncStatement"}</definedName>
    <definedName name="BalanceSheet_Combe" localSheetId="5" hidden="1">{"ASSETS",#N/A,TRUE,"Assets";"LIABILITIES",#N/A,TRUE,"Liab&amp;Equity";"INCOME STATEMENT",#N/A,TRUE,"IncStatement"}</definedName>
    <definedName name="BalType" hidden="1">TRUE</definedName>
    <definedName name="bchar10" hidden="1">#REF!</definedName>
    <definedName name="bchart1" hidden="1">#REF!</definedName>
    <definedName name="bchart11" hidden="1">#REF!</definedName>
    <definedName name="bchart12" hidden="1">#REF!</definedName>
    <definedName name="bchart13" hidden="1">#REF!</definedName>
    <definedName name="bchart14" hidden="1">#REF!</definedName>
    <definedName name="bchart15" hidden="1">#REF!</definedName>
    <definedName name="bchart16" hidden="1">#REF!</definedName>
    <definedName name="bchart17" hidden="1">#REF!</definedName>
    <definedName name="bchart18" hidden="1">#REF!</definedName>
    <definedName name="bchart19" hidden="1">#REF!</definedName>
    <definedName name="bchart2" hidden="1">#REF!</definedName>
    <definedName name="bchart20" hidden="1">#REF!</definedName>
    <definedName name="bchart21" hidden="1">#REF!</definedName>
    <definedName name="bchart22" hidden="1">#REF!</definedName>
    <definedName name="bchart23" hidden="1">#REF!</definedName>
    <definedName name="bchart24" hidden="1">#REF!</definedName>
    <definedName name="bchart25" hidden="1">#REF!</definedName>
    <definedName name="bchart26" hidden="1">#REF!</definedName>
    <definedName name="bchart27" hidden="1">#REF!</definedName>
    <definedName name="bchart28" hidden="1">#REF!</definedName>
    <definedName name="bchart29" hidden="1">#REF!</definedName>
    <definedName name="bchart3" hidden="1">#REF!</definedName>
    <definedName name="bchart30" hidden="1">#REF!</definedName>
    <definedName name="bchart31" hidden="1">#REF!</definedName>
    <definedName name="bchart32" hidden="1">#REF!</definedName>
    <definedName name="bchart4" hidden="1">#REF!</definedName>
    <definedName name="bchart5" hidden="1">#REF!</definedName>
    <definedName name="bchart6" hidden="1">#REF!</definedName>
    <definedName name="bchart7" hidden="1">#REF!</definedName>
    <definedName name="bchart8" hidden="1">#REF!</definedName>
    <definedName name="bchart9" hidden="1">#REF!</definedName>
    <definedName name="Berni" localSheetId="1" hidden="1">{#N/A,#N/A,FALSE,"Plan1";#N/A,#N/A,FALSE,"Plan2"}</definedName>
    <definedName name="Berni" localSheetId="8" hidden="1">{#N/A,#N/A,FALSE,"Plan1";#N/A,#N/A,FALSE,"Plan2"}</definedName>
    <definedName name="Berni" localSheetId="2" hidden="1">{#N/A,#N/A,FALSE,"Plan1";#N/A,#N/A,FALSE,"Plan2"}</definedName>
    <definedName name="Berni" localSheetId="3" hidden="1">{#N/A,#N/A,FALSE,"Plan1";#N/A,#N/A,FALSE,"Plan2"}</definedName>
    <definedName name="BG_Del" hidden="1">15</definedName>
    <definedName name="BG_Ins" hidden="1">4</definedName>
    <definedName name="BG_Mod" hidden="1">6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" hidden="1">#REF!</definedName>
    <definedName name="BLPH30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BV" localSheetId="1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BV" localSheetId="8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BV" localSheetId="2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BV" localSheetId="3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Ç" hidden="1">#N/A</definedName>
    <definedName name="calc" localSheetId="6" hidden="1">{"Schedule A 1",#N/A,FALSE,"Schedule A-1";"Schedule A 2",#N/A,FALSE,"Schedule A-2";"Schedule A 3",#N/A,FALSE,"Schedule A-3";"Schedule A 4",#N/A,FALSE,"Schedule A-4";"Schedule A 5",#N/A,FALSE,"Schedule A-5";"Schedule L-1",#N/A,FALSE,"Schedule L-1";"Schedule A 6",#N/A,FALSE,"Schedule A-6";"Schedule L-2",#N/A,FALSE,"Schedule L-2";"Schedule L 3 (1)",#N/A,FALSE,"Schedule L-3 (1)";"Schedule L 3 (2)",#N/A,FALSE,"Schedule L-3 (2)";"Schedule L 3 (3)",#N/A,FALSE,"Schedule L-3 (3)";"Schedule L 3 (4)",#N/A,FALSE,"Schedule L-3 (4)";"Schedule L 3 (5)",#N/A,FALSE,"Schedule L-3 (5)";"Schedule l 1",#N/A,FALSE,"Schedule I-1";"Schedule l 2",#N/A,FALSE,"Schedule I-2";"Schedule l 3",#N/A,FALSE,"Schedule I-3";"Schedule l 4",#N/A,FALSE,"Schedule I-4";"Schedule L-4",#N/A,FALSE,"Schedule L-4";"Schedule l-5",#N/A,FALSE,"Anex 1"}</definedName>
    <definedName name="calc" localSheetId="7" hidden="1">{"Schedule A 1",#N/A,FALSE,"Schedule A-1";"Schedule A 2",#N/A,FALSE,"Schedule A-2";"Schedule A 3",#N/A,FALSE,"Schedule A-3";"Schedule A 4",#N/A,FALSE,"Schedule A-4";"Schedule A 5",#N/A,FALSE,"Schedule A-5";"Schedule L-1",#N/A,FALSE,"Schedule L-1";"Schedule A 6",#N/A,FALSE,"Schedule A-6";"Schedule L-2",#N/A,FALSE,"Schedule L-2";"Schedule L 3 (1)",#N/A,FALSE,"Schedule L-3 (1)";"Schedule L 3 (2)",#N/A,FALSE,"Schedule L-3 (2)";"Schedule L 3 (3)",#N/A,FALSE,"Schedule L-3 (3)";"Schedule L 3 (4)",#N/A,FALSE,"Schedule L-3 (4)";"Schedule L 3 (5)",#N/A,FALSE,"Schedule L-3 (5)";"Schedule l 1",#N/A,FALSE,"Schedule I-1";"Schedule l 2",#N/A,FALSE,"Schedule I-2";"Schedule l 3",#N/A,FALSE,"Schedule I-3";"Schedule l 4",#N/A,FALSE,"Schedule I-4";"Schedule L-4",#N/A,FALSE,"Schedule L-4";"Schedule l-5",#N/A,FALSE,"Anex 1"}</definedName>
    <definedName name="calc" localSheetId="1" hidden="1">{"Schedule A 1",#N/A,FALSE,"Schedule A-1";"Schedule A 2",#N/A,FALSE,"Schedule A-2";"Schedule A 3",#N/A,FALSE,"Schedule A-3";"Schedule A 4",#N/A,FALSE,"Schedule A-4";"Schedule A 5",#N/A,FALSE,"Schedule A-5";"Schedule L-1",#N/A,FALSE,"Schedule L-1";"Schedule A 6",#N/A,FALSE,"Schedule A-6";"Schedule L-2",#N/A,FALSE,"Schedule L-2";"Schedule L 3 (1)",#N/A,FALSE,"Schedule L-3 (1)";"Schedule L 3 (2)",#N/A,FALSE,"Schedule L-3 (2)";"Schedule L 3 (3)",#N/A,FALSE,"Schedule L-3 (3)";"Schedule L 3 (4)",#N/A,FALSE,"Schedule L-3 (4)";"Schedule L 3 (5)",#N/A,FALSE,"Schedule L-3 (5)";"Schedule l 1",#N/A,FALSE,"Schedule I-1";"Schedule l 2",#N/A,FALSE,"Schedule I-2";"Schedule l 3",#N/A,FALSE,"Schedule I-3";"Schedule l 4",#N/A,FALSE,"Schedule I-4";"Schedule L-4",#N/A,FALSE,"Schedule L-4";"Schedule l-5",#N/A,FALSE,"Anex 1"}</definedName>
    <definedName name="calc" localSheetId="8" hidden="1">{"Schedule A 1",#N/A,FALSE,"Schedule A-1";"Schedule A 2",#N/A,FALSE,"Schedule A-2";"Schedule A 3",#N/A,FALSE,"Schedule A-3";"Schedule A 4",#N/A,FALSE,"Schedule A-4";"Schedule A 5",#N/A,FALSE,"Schedule A-5";"Schedule L-1",#N/A,FALSE,"Schedule L-1";"Schedule A 6",#N/A,FALSE,"Schedule A-6";"Schedule L-2",#N/A,FALSE,"Schedule L-2";"Schedule L 3 (1)",#N/A,FALSE,"Schedule L-3 (1)";"Schedule L 3 (2)",#N/A,FALSE,"Schedule L-3 (2)";"Schedule L 3 (3)",#N/A,FALSE,"Schedule L-3 (3)";"Schedule L 3 (4)",#N/A,FALSE,"Schedule L-3 (4)";"Schedule L 3 (5)",#N/A,FALSE,"Schedule L-3 (5)";"Schedule l 1",#N/A,FALSE,"Schedule I-1";"Schedule l 2",#N/A,FALSE,"Schedule I-2";"Schedule l 3",#N/A,FALSE,"Schedule I-3";"Schedule l 4",#N/A,FALSE,"Schedule I-4";"Schedule L-4",#N/A,FALSE,"Schedule L-4";"Schedule l-5",#N/A,FALSE,"Anex 1"}</definedName>
    <definedName name="calc" localSheetId="2" hidden="1">{"Schedule A 1",#N/A,FALSE,"Schedule A-1";"Schedule A 2",#N/A,FALSE,"Schedule A-2";"Schedule A 3",#N/A,FALSE,"Schedule A-3";"Schedule A 4",#N/A,FALSE,"Schedule A-4";"Schedule A 5",#N/A,FALSE,"Schedule A-5";"Schedule L-1",#N/A,FALSE,"Schedule L-1";"Schedule A 6",#N/A,FALSE,"Schedule A-6";"Schedule L-2",#N/A,FALSE,"Schedule L-2";"Schedule L 3 (1)",#N/A,FALSE,"Schedule L-3 (1)";"Schedule L 3 (2)",#N/A,FALSE,"Schedule L-3 (2)";"Schedule L 3 (3)",#N/A,FALSE,"Schedule L-3 (3)";"Schedule L 3 (4)",#N/A,FALSE,"Schedule L-3 (4)";"Schedule L 3 (5)",#N/A,FALSE,"Schedule L-3 (5)";"Schedule l 1",#N/A,FALSE,"Schedule I-1";"Schedule l 2",#N/A,FALSE,"Schedule I-2";"Schedule l 3",#N/A,FALSE,"Schedule I-3";"Schedule l 4",#N/A,FALSE,"Schedule I-4";"Schedule L-4",#N/A,FALSE,"Schedule L-4";"Schedule l-5",#N/A,FALSE,"Anex 1"}</definedName>
    <definedName name="calc" localSheetId="3" hidden="1">{"Schedule A 1",#N/A,FALSE,"Schedule A-1";"Schedule A 2",#N/A,FALSE,"Schedule A-2";"Schedule A 3",#N/A,FALSE,"Schedule A-3";"Schedule A 4",#N/A,FALSE,"Schedule A-4";"Schedule A 5",#N/A,FALSE,"Schedule A-5";"Schedule L-1",#N/A,FALSE,"Schedule L-1";"Schedule A 6",#N/A,FALSE,"Schedule A-6";"Schedule L-2",#N/A,FALSE,"Schedule L-2";"Schedule L 3 (1)",#N/A,FALSE,"Schedule L-3 (1)";"Schedule L 3 (2)",#N/A,FALSE,"Schedule L-3 (2)";"Schedule L 3 (3)",#N/A,FALSE,"Schedule L-3 (3)";"Schedule L 3 (4)",#N/A,FALSE,"Schedule L-3 (4)";"Schedule L 3 (5)",#N/A,FALSE,"Schedule L-3 (5)";"Schedule l 1",#N/A,FALSE,"Schedule I-1";"Schedule l 2",#N/A,FALSE,"Schedule I-2";"Schedule l 3",#N/A,FALSE,"Schedule I-3";"Schedule l 4",#N/A,FALSE,"Schedule I-4";"Schedule L-4",#N/A,FALSE,"Schedule L-4";"Schedule l-5",#N/A,FALSE,"Anex 1"}</definedName>
    <definedName name="calc" localSheetId="4" hidden="1">{"Schedule A 1",#N/A,FALSE,"Schedule A-1";"Schedule A 2",#N/A,FALSE,"Schedule A-2";"Schedule A 3",#N/A,FALSE,"Schedule A-3";"Schedule A 4",#N/A,FALSE,"Schedule A-4";"Schedule A 5",#N/A,FALSE,"Schedule A-5";"Schedule L-1",#N/A,FALSE,"Schedule L-1";"Schedule A 6",#N/A,FALSE,"Schedule A-6";"Schedule L-2",#N/A,FALSE,"Schedule L-2";"Schedule L 3 (1)",#N/A,FALSE,"Schedule L-3 (1)";"Schedule L 3 (2)",#N/A,FALSE,"Schedule L-3 (2)";"Schedule L 3 (3)",#N/A,FALSE,"Schedule L-3 (3)";"Schedule L 3 (4)",#N/A,FALSE,"Schedule L-3 (4)";"Schedule L 3 (5)",#N/A,FALSE,"Schedule L-3 (5)";"Schedule l 1",#N/A,FALSE,"Schedule I-1";"Schedule l 2",#N/A,FALSE,"Schedule I-2";"Schedule l 3",#N/A,FALSE,"Schedule I-3";"Schedule l 4",#N/A,FALSE,"Schedule I-4";"Schedule L-4",#N/A,FALSE,"Schedule L-4";"Schedule l-5",#N/A,FALSE,"Anex 1"}</definedName>
    <definedName name="calc" localSheetId="5" hidden="1">{"Schedule A 1",#N/A,FALSE,"Schedule A-1";"Schedule A 2",#N/A,FALSE,"Schedule A-2";"Schedule A 3",#N/A,FALSE,"Schedule A-3";"Schedule A 4",#N/A,FALSE,"Schedule A-4";"Schedule A 5",#N/A,FALSE,"Schedule A-5";"Schedule L-1",#N/A,FALSE,"Schedule L-1";"Schedule A 6",#N/A,FALSE,"Schedule A-6";"Schedule L-2",#N/A,FALSE,"Schedule L-2";"Schedule L 3 (1)",#N/A,FALSE,"Schedule L-3 (1)";"Schedule L 3 (2)",#N/A,FALSE,"Schedule L-3 (2)";"Schedule L 3 (3)",#N/A,FALSE,"Schedule L-3 (3)";"Schedule L 3 (4)",#N/A,FALSE,"Schedule L-3 (4)";"Schedule L 3 (5)",#N/A,FALSE,"Schedule L-3 (5)";"Schedule l 1",#N/A,FALSE,"Schedule I-1";"Schedule l 2",#N/A,FALSE,"Schedule I-2";"Schedule l 3",#N/A,FALSE,"Schedule I-3";"Schedule l 4",#N/A,FALSE,"Schedule I-4";"Schedule L-4",#N/A,FALSE,"Schedule L-4";"Schedule l-5",#N/A,FALSE,"Anex 1"}</definedName>
    <definedName name="CAPEX98" localSheetId="8" hidden="1">#REF!</definedName>
    <definedName name="CAPEX98" hidden="1">#REF!</definedName>
    <definedName name="CARLA" hidden="1">#REF!</definedName>
    <definedName name="carlos" localSheetId="1" hidden="1">{#N/A,"10% Success",FALSE,"Sales Forecast";#N/A,#N/A,FALSE,"Sheet2"}</definedName>
    <definedName name="carlos" localSheetId="8" hidden="1">{#N/A,"10% Success",FALSE,"Sales Forecast";#N/A,#N/A,FALSE,"Sheet2"}</definedName>
    <definedName name="carlos" localSheetId="2" hidden="1">{#N/A,"10% Success",FALSE,"Sales Forecast";#N/A,#N/A,FALSE,"Sheet2"}</definedName>
    <definedName name="carlos" localSheetId="3" hidden="1">{#N/A,"10% Success",FALSE,"Sales Forecast";#N/A,#N/A,FALSE,"Sheet2"}</definedName>
    <definedName name="CBWorkbookPriority" hidden="1">-1446652124</definedName>
    <definedName name="cc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cc" localSheetId="8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cc" localSheetId="2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cc" localSheetId="3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ççç" localSheetId="1" hidden="1">{#N/A,#N/A,FALSE,"Plan1";#N/A,#N/A,FALSE,"Plan2"}</definedName>
    <definedName name="ççç" localSheetId="8" hidden="1">{#N/A,#N/A,FALSE,"Plan1";#N/A,#N/A,FALSE,"Plan2"}</definedName>
    <definedName name="ççç" localSheetId="2" hidden="1">{#N/A,#N/A,FALSE,"Plan1";#N/A,#N/A,FALSE,"Plan2"}</definedName>
    <definedName name="ççç" localSheetId="3" hidden="1">{#N/A,#N/A,FALSE,"Plan1";#N/A,#N/A,FALSE,"Plan2"}</definedName>
    <definedName name="cccc" localSheetId="1" hidden="1">{#N/A,#N/A,FALSE,"Plan1";#N/A,#N/A,FALSE,"Plan2"}</definedName>
    <definedName name="cccc" localSheetId="8" hidden="1">{#N/A,#N/A,FALSE,"Plan1";#N/A,#N/A,FALSE,"Plan2"}</definedName>
    <definedName name="cccc" localSheetId="2" hidden="1">{#N/A,#N/A,FALSE,"Plan1";#N/A,#N/A,FALSE,"Plan2"}</definedName>
    <definedName name="cccc" localSheetId="3" hidden="1">{#N/A,#N/A,FALSE,"Plan1";#N/A,#N/A,FALSE,"Plan2"}</definedName>
    <definedName name="ççççççç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hart1" hidden="1">#REF!</definedName>
    <definedName name="cchart10" localSheetId="8" hidden="1">#REF!</definedName>
    <definedName name="cchart10" hidden="1">#REF!</definedName>
    <definedName name="cchart11" localSheetId="8" hidden="1">#REF!</definedName>
    <definedName name="cchart11" hidden="1">#REF!</definedName>
    <definedName name="cchart12" hidden="1">#REF!</definedName>
    <definedName name="cchart13" hidden="1">#REF!</definedName>
    <definedName name="cchart14" hidden="1">#REF!</definedName>
    <definedName name="cchart15" hidden="1">#REF!</definedName>
    <definedName name="cchart16" hidden="1">#REF!</definedName>
    <definedName name="cchart17" hidden="1">#REF!</definedName>
    <definedName name="cchart18" hidden="1">#REF!</definedName>
    <definedName name="cchart19" hidden="1">#REF!</definedName>
    <definedName name="cchart2" hidden="1">#REF!</definedName>
    <definedName name="cchart20" hidden="1">#REF!</definedName>
    <definedName name="cchart21" hidden="1">#REF!</definedName>
    <definedName name="cchart22" hidden="1">#REF!</definedName>
    <definedName name="cchart23" hidden="1">#REF!</definedName>
    <definedName name="cchart24" hidden="1">#REF!</definedName>
    <definedName name="cchart25" hidden="1">#REF!</definedName>
    <definedName name="cchart26" hidden="1">#REF!</definedName>
    <definedName name="cchart27" hidden="1">#REF!</definedName>
    <definedName name="cchart28" hidden="1">#REF!</definedName>
    <definedName name="cchart29" hidden="1">#REF!</definedName>
    <definedName name="cchart3" hidden="1">#REF!</definedName>
    <definedName name="cchart31" hidden="1">#REF!</definedName>
    <definedName name="cchart32" hidden="1">#REF!</definedName>
    <definedName name="cchart4" hidden="1">#REF!</definedName>
    <definedName name="cchart5" hidden="1">#REF!</definedName>
    <definedName name="cchart6" hidden="1">#REF!</definedName>
    <definedName name="cchart7" hidden="1">#REF!</definedName>
    <definedName name="cchart8" hidden="1">#REF!</definedName>
    <definedName name="cchart9" hidden="1">#REF!</definedName>
    <definedName name="CIQWBGuid" localSheetId="8" hidden="1">"Portfolio Company Reporting Template.xlsx"</definedName>
    <definedName name="CIQWBGuid" hidden="1">"Acesso Financials Jan2014-Dez2015 v04.xlsx"</definedName>
    <definedName name="claudia" localSheetId="1" hidden="1">{#N/A,"70% Success",FALSE,"Sales Forecast";#N/A,#N/A,FALSE,"Sheet2"}</definedName>
    <definedName name="claudia" localSheetId="8" hidden="1">{#N/A,"70% Success",FALSE,"Sales Forecast";#N/A,#N/A,FALSE,"Sheet2"}</definedName>
    <definedName name="claudia" localSheetId="2" hidden="1">{#N/A,"70% Success",FALSE,"Sales Forecast";#N/A,#N/A,FALSE,"Sheet2"}</definedName>
    <definedName name="claudia" localSheetId="3" hidden="1">{#N/A,"70% Success",FALSE,"Sales Forecast";#N/A,#N/A,FALSE,"Sheet2"}</definedName>
    <definedName name="cliente1" localSheetId="1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cliente1" localSheetId="8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cliente1" localSheetId="2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cliente1" localSheetId="3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cliente2" localSheetId="1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cliente2" localSheetId="8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cliente2" localSheetId="2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cliente2" localSheetId="3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Clnt1" localSheetId="1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Clnt1" localSheetId="8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Clnt1" localSheetId="2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Clnt1" localSheetId="3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clnt2" localSheetId="1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clnt2" localSheetId="8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clnt2" localSheetId="2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clnt2" localSheetId="3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collected" localSheetId="1" hidden="1">{#N/A,#N/A,FALSE,"SIM95"}</definedName>
    <definedName name="collected" localSheetId="8" hidden="1">{#N/A,#N/A,FALSE,"SIM95"}</definedName>
    <definedName name="collected" localSheetId="2" hidden="1">{#N/A,#N/A,FALSE,"SIM95"}</definedName>
    <definedName name="collected" localSheetId="3" hidden="1">{#N/A,#N/A,FALSE,"SIM95"}</definedName>
    <definedName name="collected2" localSheetId="1" hidden="1">{#N/A,#N/A,FALSE,"SIM95"}</definedName>
    <definedName name="collected2" localSheetId="8" hidden="1">{#N/A,#N/A,FALSE,"SIM95"}</definedName>
    <definedName name="collected2" localSheetId="2" hidden="1">{#N/A,#N/A,FALSE,"SIM95"}</definedName>
    <definedName name="collected2" localSheetId="3" hidden="1">{#N/A,#N/A,FALSE,"SIM95"}</definedName>
    <definedName name="comparativo" localSheetId="1" hidden="1">{"RRHH",#N/A,FALSE,"Por Dirección";"Operaciones",#N/A,FALSE,"Por Dirección";"Logística",#N/A,FALSE,"Por Dirección";"Comercial",#N/A,FALSE,"Por Dirección";"Administracion",#N/A,FALSE,"Por Dirección"}</definedName>
    <definedName name="comparativo" localSheetId="8" hidden="1">{"RRHH",#N/A,FALSE,"Por Dirección";"Operaciones",#N/A,FALSE,"Por Dirección";"Logística",#N/A,FALSE,"Por Dirección";"Comercial",#N/A,FALSE,"Por Dirección";"Administracion",#N/A,FALSE,"Por Dirección"}</definedName>
    <definedName name="comparativo" localSheetId="2" hidden="1">{"RRHH",#N/A,FALSE,"Por Dirección";"Operaciones",#N/A,FALSE,"Por Dirección";"Logística",#N/A,FALSE,"Por Dirección";"Comercial",#N/A,FALSE,"Por Dirección";"Administracion",#N/A,FALSE,"Por Dirección"}</definedName>
    <definedName name="comparativo" localSheetId="3" hidden="1">{"RRHH",#N/A,FALSE,"Por Dirección";"Operaciones",#N/A,FALSE,"Por Dirección";"Logística",#N/A,FALSE,"Por Dirección";"Comercial",#N/A,FALSE,"Por Dirección";"Administracion",#N/A,FALSE,"Por Dirección"}</definedName>
    <definedName name="Concessão_Malha_Sul" localSheetId="1" hidden="1">{#N/A,"100% Success",TRUE,"Sales Forecast";#N/A,#N/A,TRUE,"Sheet2"}</definedName>
    <definedName name="Concessão_Malha_Sul" localSheetId="8" hidden="1">{#N/A,"100% Success",TRUE,"Sales Forecast";#N/A,#N/A,TRUE,"Sheet2"}</definedName>
    <definedName name="Concessão_Malha_Sul" localSheetId="2" hidden="1">{#N/A,"100% Success",TRUE,"Sales Forecast";#N/A,#N/A,TRUE,"Sheet2"}</definedName>
    <definedName name="Concessão_Malha_Sul" localSheetId="3" hidden="1">{#N/A,"100% Success",TRUE,"Sales Forecast";#N/A,#N/A,TRUE,"Sheet2"}</definedName>
    <definedName name="CONT02092000.4" localSheetId="1" hidden="1">{#N/A,#N/A,FALSE,"1321";#N/A,#N/A,FALSE,"1324";#N/A,#N/A,FALSE,"1333";#N/A,#N/A,FALSE,"1371"}</definedName>
    <definedName name="CONT02092000.4" localSheetId="8" hidden="1">{#N/A,#N/A,FALSE,"1321";#N/A,#N/A,FALSE,"1324";#N/A,#N/A,FALSE,"1333";#N/A,#N/A,FALSE,"1371"}</definedName>
    <definedName name="CONT02092000.4" localSheetId="2" hidden="1">{#N/A,#N/A,FALSE,"1321";#N/A,#N/A,FALSE,"1324";#N/A,#N/A,FALSE,"1333";#N/A,#N/A,FALSE,"1371"}</definedName>
    <definedName name="CONT02092000.4" localSheetId="3" hidden="1">{#N/A,#N/A,FALSE,"1321";#N/A,#N/A,FALSE,"1324";#N/A,#N/A,FALSE,"1333";#N/A,#N/A,FALSE,"1371"}</definedName>
    <definedName name="copiaranch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localSheetId="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localSheetId="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localSheetId="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localSheetId="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SSL1998" localSheetId="1" hidden="1">{#N/A,#N/A,FALSE,"IR E CS 1997";#N/A,#N/A,FALSE,"PR ND";#N/A,#N/A,FALSE,"8191";#N/A,#N/A,FALSE,"8383";#N/A,#N/A,FALSE,"MP 1024";#N/A,#N/A,FALSE,"AD_EX_97";#N/A,#N/A,FALSE,"BD 97"}</definedName>
    <definedName name="CSSL1998" localSheetId="8" hidden="1">{#N/A,#N/A,FALSE,"IR E CS 1997";#N/A,#N/A,FALSE,"PR ND";#N/A,#N/A,FALSE,"8191";#N/A,#N/A,FALSE,"8383";#N/A,#N/A,FALSE,"MP 1024";#N/A,#N/A,FALSE,"AD_EX_97";#N/A,#N/A,FALSE,"BD 97"}</definedName>
    <definedName name="CSSL1998" localSheetId="2" hidden="1">{#N/A,#N/A,FALSE,"IR E CS 1997";#N/A,#N/A,FALSE,"PR ND";#N/A,#N/A,FALSE,"8191";#N/A,#N/A,FALSE,"8383";#N/A,#N/A,FALSE,"MP 1024";#N/A,#N/A,FALSE,"AD_EX_97";#N/A,#N/A,FALSE,"BD 97"}</definedName>
    <definedName name="CSSL1998" localSheetId="3" hidden="1">{#N/A,#N/A,FALSE,"IR E CS 1997";#N/A,#N/A,FALSE,"PR ND";#N/A,#N/A,FALSE,"8191";#N/A,#N/A,FALSE,"8383";#N/A,#N/A,FALSE,"MP 1024";#N/A,#N/A,FALSE,"AD_EX_97";#N/A,#N/A,FALSE,"BD 97"}</definedName>
    <definedName name="Custos" localSheetId="1" hidden="1">{#N/A,#N/A,FALSE,"Acum Julio - 00"}</definedName>
    <definedName name="Custos" localSheetId="8" hidden="1">{#N/A,#N/A,FALSE,"Acum Julio - 00"}</definedName>
    <definedName name="Custos" localSheetId="2" hidden="1">{#N/A,#N/A,FALSE,"Acum Julio - 00"}</definedName>
    <definedName name="Custos" localSheetId="3" hidden="1">{#N/A,#N/A,FALSE,"Acum Julio - 00"}</definedName>
    <definedName name="D" localSheetId="8" hidden="1">{"ASSETS",#N/A,TRUE,"Assets";"LIABILITIES",#N/A,TRUE,"Liab&amp;Equity";"INCOME STATEMENT",#N/A,TRUE,"IncStatement"}</definedName>
    <definedName name="dADOS" hidden="1">#REF!</definedName>
    <definedName name="DADOS1" localSheetId="1" hidden="1">{"PVGraph2",#N/A,FALSE,"PV Data"}</definedName>
    <definedName name="DADOS1" localSheetId="8" hidden="1">{"PVGraph2",#N/A,FALSE,"PV Data"}</definedName>
    <definedName name="DADOS1" localSheetId="2" hidden="1">{"PVGraph2",#N/A,FALSE,"PV Data"}</definedName>
    <definedName name="DADOS1" localSheetId="3" hidden="1">{"PVGraph2",#N/A,FALSE,"PV Data"}</definedName>
    <definedName name="dados2" localSheetId="1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dados2" localSheetId="8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dados2" localSheetId="2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dados2" localSheetId="3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DADOS3" hidden="1">#REF!</definedName>
    <definedName name="DADOS4" localSheetId="8" hidden="1">#REF!</definedName>
    <definedName name="DADOS4" hidden="1">#REF!</definedName>
    <definedName name="dados5" localSheetId="1" hidden="1">{"cover",#N/A,TRUE,"Cover";"toc2",#N/A,TRUE,"TOC";"ts1",#N/A,TRUE,"Transaction Summary";"ei3",#N/A,TRUE,"Earnings Impact";"ad3",#N/A,TRUE,"accretion dilution";"hg3",#N/A,TRUE,"Has-Gets"}</definedName>
    <definedName name="dados5" localSheetId="8" hidden="1">{"cover",#N/A,TRUE,"Cover";"toc2",#N/A,TRUE,"TOC";"ts1",#N/A,TRUE,"Transaction Summary";"ei3",#N/A,TRUE,"Earnings Impact";"ad3",#N/A,TRUE,"accretion dilution";"hg3",#N/A,TRUE,"Has-Gets"}</definedName>
    <definedName name="dados5" localSheetId="2" hidden="1">{"cover",#N/A,TRUE,"Cover";"toc2",#N/A,TRUE,"TOC";"ts1",#N/A,TRUE,"Transaction Summary";"ei3",#N/A,TRUE,"Earnings Impact";"ad3",#N/A,TRUE,"accretion dilution";"hg3",#N/A,TRUE,"Has-Gets"}</definedName>
    <definedName name="dados5" localSheetId="3" hidden="1">{"cover",#N/A,TRUE,"Cover";"toc2",#N/A,TRUE,"TOC";"ts1",#N/A,TRUE,"Transaction Summary";"ei3",#N/A,TRUE,"Earnings Impact";"ad3",#N/A,TRUE,"accretion dilution";"hg3",#N/A,TRUE,"Has-Gets"}</definedName>
    <definedName name="DAFG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AFG" localSheetId="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AFG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AFG" localSheetId="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AL_RESERVED" localSheetId="8" hidden="1">#REF!</definedName>
    <definedName name="DAL_RESERVED" hidden="1">#REF!</definedName>
    <definedName name="DALFirstRange" localSheetId="1" hidden="1">#REF!</definedName>
    <definedName name="DALFirstRange" localSheetId="8" hidden="1">#REF!</definedName>
    <definedName name="DALFirstRange" hidden="1">#REF!</definedName>
    <definedName name="DALS_GrandTotal" localSheetId="1" hidden="1">#REF!</definedName>
    <definedName name="DALS_GrandTotal" hidden="1">#REF!</definedName>
    <definedName name="DALS_Heading" hidden="1">#REF!</definedName>
    <definedName name="dasdsadsad" hidden="1">#N/A</definedName>
    <definedName name="dchart26" hidden="1">#REF!</definedName>
    <definedName name="dchart31" hidden="1">#REF!</definedName>
    <definedName name="dd" hidden="1">#REF!</definedName>
    <definedName name="ddd" hidden="1">#REF!</definedName>
    <definedName name="DDDD" hidden="1">#REF!</definedName>
    <definedName name="ddddd" localSheetId="1" hidden="1">{#N/A,#N/A,FALSE,"Plan1";#N/A,#N/A,FALSE,"Plan2"}</definedName>
    <definedName name="ddddd" localSheetId="8" hidden="1">{#N/A,#N/A,FALSE,"Plan1";#N/A,#N/A,FALSE,"Plan2"}</definedName>
    <definedName name="ddddd" localSheetId="2" hidden="1">{#N/A,#N/A,FALSE,"Plan1";#N/A,#N/A,FALSE,"Plan2"}</definedName>
    <definedName name="ddddd" localSheetId="3" hidden="1">{#N/A,#N/A,FALSE,"Plan1";#N/A,#N/A,FALSE,"Plan2"}</definedName>
    <definedName name="ddgfdvgd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ec" localSheetId="1" hidden="1">{#N/A,#N/A,FALSE,"fw or db 98 up"}</definedName>
    <definedName name="dec" localSheetId="8" hidden="1">{#N/A,#N/A,FALSE,"fw or db 98 up"}</definedName>
    <definedName name="dec" localSheetId="2" hidden="1">{#N/A,#N/A,FALSE,"fw or db 98 up"}</definedName>
    <definedName name="dec" localSheetId="3" hidden="1">{#N/A,#N/A,FALSE,"fw or db 98 up"}</definedName>
    <definedName name="def" hidden="1">8</definedName>
    <definedName name="Depreciação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preciação" localSheetId="8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preciação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preciação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preciaciones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preciaciones" localSheetId="8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preciaciones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preciaciones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s" localSheetId="1" hidden="1">{#N/A,#N/A,FALSE,"Plan1";#N/A,#N/A,FALSE,"Plan2"}</definedName>
    <definedName name="des" localSheetId="8" hidden="1">{#N/A,#N/A,FALSE,"Plan1";#N/A,#N/A,FALSE,"Plan2"}</definedName>
    <definedName name="des" localSheetId="2" hidden="1">{#N/A,#N/A,FALSE,"Plan1";#N/A,#N/A,FALSE,"Plan2"}</definedName>
    <definedName name="des" localSheetId="3" hidden="1">{#N/A,#N/A,FALSE,"Plan1";#N/A,#N/A,FALSE,"Plan2"}</definedName>
    <definedName name="desc" localSheetId="1" hidden="1">{#N/A,#N/A,FALSE,"Plan1";#N/A,#N/A,FALSE,"Plan2"}</definedName>
    <definedName name="desc" localSheetId="8" hidden="1">{#N/A,#N/A,FALSE,"Plan1";#N/A,#N/A,FALSE,"Plan2"}</definedName>
    <definedName name="desc" localSheetId="2" hidden="1">{#N/A,#N/A,FALSE,"Plan1";#N/A,#N/A,FALSE,"Plan2"}</definedName>
    <definedName name="desc" localSheetId="3" hidden="1">{#N/A,#N/A,FALSE,"Plan1";#N/A,#N/A,FALSE,"Plan2"}</definedName>
    <definedName name="Despesas" localSheetId="1" hidden="1">#REF!-1 &amp; "." &amp; MAX(1,COUNTA(INDEX(#REF!,MATCH(#REF!-1,#REF!,FALSE)):#REF!))</definedName>
    <definedName name="Despesas" localSheetId="8" hidden="1">#REF!-1 &amp; "." &amp; MAX(1,COUNTA(INDEX(#REF!,MATCH(#REF!-1,#REF!,FALSE)):#REF!))</definedName>
    <definedName name="Despesas" hidden="1">#REF!-1 &amp; "." &amp; MAX(1,COUNTA(INDEX(#REF!,MATCH(#REF!-1,#REF!,FALSE)):#REF!))</definedName>
    <definedName name="Despesas_Maio_Horizontal" localSheetId="1" hidden="1">{"RRHH",#N/A,FALSE,"Por Dirección";"Operaciones",#N/A,FALSE,"Por Dirección";"Logística",#N/A,FALSE,"Por Dirección";"Comercial",#N/A,FALSE,"Por Dirección";"Administracion",#N/A,FALSE,"Por Dirección"}</definedName>
    <definedName name="Despesas_Maio_Horizontal" localSheetId="8" hidden="1">{"RRHH",#N/A,FALSE,"Por Dirección";"Operaciones",#N/A,FALSE,"Por Dirección";"Logística",#N/A,FALSE,"Por Dirección";"Comercial",#N/A,FALSE,"Por Dirección";"Administracion",#N/A,FALSE,"Por Dirección"}</definedName>
    <definedName name="Despesas_Maio_Horizontal" localSheetId="2" hidden="1">{"RRHH",#N/A,FALSE,"Por Dirección";"Operaciones",#N/A,FALSE,"Por Dirección";"Logística",#N/A,FALSE,"Por Dirección";"Comercial",#N/A,FALSE,"Por Dirección";"Administracion",#N/A,FALSE,"Por Dirección"}</definedName>
    <definedName name="Despesas_Maio_Horizontal" localSheetId="3" hidden="1">{"RRHH",#N/A,FALSE,"Por Dirección";"Operaciones",#N/A,FALSE,"Por Dirección";"Logística",#N/A,FALSE,"Por Dirección";"Comercial",#N/A,FALSE,"Por Dirección";"Administracion",#N/A,FALSE,"Por Dirección"}</definedName>
    <definedName name="Despesas_Nov_Apresentação2" localSheetId="1" hidden="1">{"RRHH",#N/A,FALSE,"Por Dirección";"Operaciones",#N/A,FALSE,"Por Dirección";"Logística",#N/A,FALSE,"Por Dirección";"Comercial",#N/A,FALSE,"Por Dirección";"Administracion",#N/A,FALSE,"Por Dirección"}</definedName>
    <definedName name="Despesas_Nov_Apresentação2" localSheetId="8" hidden="1">{"RRHH",#N/A,FALSE,"Por Dirección";"Operaciones",#N/A,FALSE,"Por Dirección";"Logística",#N/A,FALSE,"Por Dirección";"Comercial",#N/A,FALSE,"Por Dirección";"Administracion",#N/A,FALSE,"Por Dirección"}</definedName>
    <definedName name="Despesas_Nov_Apresentação2" localSheetId="2" hidden="1">{"RRHH",#N/A,FALSE,"Por Dirección";"Operaciones",#N/A,FALSE,"Por Dirección";"Logística",#N/A,FALSE,"Por Dirección";"Comercial",#N/A,FALSE,"Por Dirección";"Administracion",#N/A,FALSE,"Por Dirección"}</definedName>
    <definedName name="Despesas_Nov_Apresentação2" localSheetId="3" hidden="1">{"RRHH",#N/A,FALSE,"Por Dirección";"Operaciones",#N/A,FALSE,"Por Dirección";"Logística",#N/A,FALSE,"Por Dirección";"Comercial",#N/A,FALSE,"Por Dirección";"Administracion",#N/A,FALSE,"Por Dirección"}</definedName>
    <definedName name="deuda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uda" localSheetId="8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uda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uda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udasmes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udasmes" localSheetId="8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udasmes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udasmes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F" localSheetId="1" hidden="1">{#N/A,#N/A,FALSE,"Acum Julio - 00"}</definedName>
    <definedName name="DF" localSheetId="8" hidden="1">{#N/A,#N/A,FALSE,"Acum Julio - 00"}</definedName>
    <definedName name="DF" localSheetId="2" hidden="1">{#N/A,#N/A,FALSE,"Acum Julio - 00"}</definedName>
    <definedName name="DF" localSheetId="3" hidden="1">{#N/A,#N/A,FALSE,"Acum Julio - 00"}</definedName>
    <definedName name="dfdd" localSheetId="1" hidden="1">{#N/A,#N/A,FALSE,"Aging Summary";#N/A,#N/A,FALSE,"Ratio Analysis";#N/A,#N/A,FALSE,"Test 120 Day Accts";#N/A,#N/A,FALSE,"Tickmarks"}</definedName>
    <definedName name="dfdd" localSheetId="8" hidden="1">{#N/A,#N/A,FALSE,"Aging Summary";#N/A,#N/A,FALSE,"Ratio Analysis";#N/A,#N/A,FALSE,"Test 120 Day Accts";#N/A,#N/A,FALSE,"Tickmarks"}</definedName>
    <definedName name="dfdd" localSheetId="2" hidden="1">{#N/A,#N/A,FALSE,"Aging Summary";#N/A,#N/A,FALSE,"Ratio Analysis";#N/A,#N/A,FALSE,"Test 120 Day Accts";#N/A,#N/A,FALSE,"Tickmarks"}</definedName>
    <definedName name="dfdd" localSheetId="3" hidden="1">{#N/A,#N/A,FALSE,"Aging Summary";#N/A,#N/A,FALSE,"Ratio Analysis";#N/A,#N/A,FALSE,"Test 120 Day Accts";#N/A,#N/A,FALSE,"Tickmarks"}</definedName>
    <definedName name="dfdf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" localSheetId="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" localSheetId="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ggfdg" localSheetId="1" hidden="1">{#N/A,#N/A,FALSE,"Plan1";#N/A,#N/A,FALSE,"Plan2"}</definedName>
    <definedName name="dggfdg" localSheetId="8" hidden="1">{#N/A,#N/A,FALSE,"Plan1";#N/A,#N/A,FALSE,"Plan2"}</definedName>
    <definedName name="dggfdg" localSheetId="2" hidden="1">{#N/A,#N/A,FALSE,"Plan1";#N/A,#N/A,FALSE,"Plan2"}</definedName>
    <definedName name="dggfdg" localSheetId="3" hidden="1">{#N/A,#N/A,FALSE,"Plan1";#N/A,#N/A,FALSE,"Plan2"}</definedName>
    <definedName name="dhf" localSheetId="1" hidden="1">{"RRHH",#N/A,FALSE,"Por Dirección";"Operaciones",#N/A,FALSE,"Por Dirección";"Logística",#N/A,FALSE,"Por Dirección";"Comercial",#N/A,FALSE,"Por Dirección";"Administracion",#N/A,FALSE,"Por Dirección"}</definedName>
    <definedName name="dhf" localSheetId="8" hidden="1">{"RRHH",#N/A,FALSE,"Por Dirección";"Operaciones",#N/A,FALSE,"Por Dirección";"Logística",#N/A,FALSE,"Por Dirección";"Comercial",#N/A,FALSE,"Por Dirección";"Administracion",#N/A,FALSE,"Por Dirección"}</definedName>
    <definedName name="dhf" localSheetId="2" hidden="1">{"RRHH",#N/A,FALSE,"Por Dirección";"Operaciones",#N/A,FALSE,"Por Dirección";"Logística",#N/A,FALSE,"Por Dirección";"Comercial",#N/A,FALSE,"Por Dirección";"Administracion",#N/A,FALSE,"Por Dirección"}</definedName>
    <definedName name="dhf" localSheetId="3" hidden="1">{"RRHH",#N/A,FALSE,"Por Dirección";"Operaciones",#N/A,FALSE,"Por Dirección";"Logística",#N/A,FALSE,"Por Dirección";"Comercial",#N/A,FALSE,"Por Dirección";"Administracion",#N/A,FALSE,"Por Dirección"}</definedName>
    <definedName name="Diferido" localSheetId="1" hidden="1">{#N/A,#N/A,FALSE,"Acum Julio - 00"}</definedName>
    <definedName name="Diferido" localSheetId="8" hidden="1">{#N/A,#N/A,FALSE,"Acum Julio - 00"}</definedName>
    <definedName name="Diferido" localSheetId="2" hidden="1">{#N/A,#N/A,FALSE,"Acum Julio - 00"}</definedName>
    <definedName name="Diferido" localSheetId="3" hidden="1">{#N/A,#N/A,FALSE,"Acum Julio - 00"}</definedName>
    <definedName name="Dip" hidden="1">#REF!</definedName>
    <definedName name="djjdj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jdjd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jdj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jdj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" localSheetId="1" hidden="1">{"RRHH",#N/A,FALSE,"Por Dirección";"Operaciones",#N/A,FALSE,"Por Dirección";"Logística",#N/A,FALSE,"Por Dirección";"Comercial",#N/A,FALSE,"Por Dirección";"Administracion",#N/A,FALSE,"Por Dirección"}</definedName>
    <definedName name="ds" localSheetId="8" hidden="1">{"RRHH",#N/A,FALSE,"Por Dirección";"Operaciones",#N/A,FALSE,"Por Dirección";"Logística",#N/A,FALSE,"Por Dirección";"Comercial",#N/A,FALSE,"Por Dirección";"Administracion",#N/A,FALSE,"Por Dirección"}</definedName>
    <definedName name="ds" localSheetId="2" hidden="1">{"RRHH",#N/A,FALSE,"Por Dirección";"Operaciones",#N/A,FALSE,"Por Dirección";"Logística",#N/A,FALSE,"Por Dirección";"Comercial",#N/A,FALSE,"Por Dirección";"Administracion",#N/A,FALSE,"Por Dirección"}</definedName>
    <definedName name="ds" localSheetId="3" hidden="1">{"RRHH",#N/A,FALSE,"Por Dirección";"Operaciones",#N/A,FALSE,"Por Dirección";"Logística",#N/A,FALSE,"Por Dirección";"Comercial",#N/A,FALSE,"Por Dirección";"Administracion",#N/A,FALSE,"Por Dirección"}</definedName>
    <definedName name="DSCR_DEBT_EQUITY" localSheetId="1" hidden="1">#REF!-1 &amp; "." &amp; MAX(1,COUNTA(INDEX(#REF!,MATCH(#REF!-1,#REF!,FALSE)):#REF!))</definedName>
    <definedName name="DSCR_DEBT_EQUITY" localSheetId="8" hidden="1">#REF!-1 &amp; "." &amp; MAX(1,COUNTA(INDEX(#REF!,MATCH(#REF!-1,#REF!,FALSE)):#REF!))</definedName>
    <definedName name="DSCR_DEBT_EQUITY" hidden="1">#REF!-1 &amp; "." &amp; MAX(1,COUNTA(INDEX(#REF!,MATCH(#REF!-1,#REF!,FALSE)):#REF!))</definedName>
    <definedName name="duplicadas" hidden="1">#REF!</definedName>
    <definedName name="dw" localSheetId="1" hidden="1">{"RRHH",#N/A,FALSE,"Por Dirección";"Operaciones",#N/A,FALSE,"Por Dirección";"Logística",#N/A,FALSE,"Por Dirección";"Comercial",#N/A,FALSE,"Por Dirección";"Administracion",#N/A,FALSE,"Por Dirección"}</definedName>
    <definedName name="dw" localSheetId="8" hidden="1">{"RRHH",#N/A,FALSE,"Por Dirección";"Operaciones",#N/A,FALSE,"Por Dirección";"Logística",#N/A,FALSE,"Por Dirección";"Comercial",#N/A,FALSE,"Por Dirección";"Administracion",#N/A,FALSE,"Por Dirección"}</definedName>
    <definedName name="dw" localSheetId="2" hidden="1">{"RRHH",#N/A,FALSE,"Por Dirección";"Operaciones",#N/A,FALSE,"Por Dirección";"Logística",#N/A,FALSE,"Por Dirección";"Comercial",#N/A,FALSE,"Por Dirección";"Administracion",#N/A,FALSE,"Por Dirección"}</definedName>
    <definedName name="dw" localSheetId="3" hidden="1">{"RRHH",#N/A,FALSE,"Por Dirección";"Operaciones",#N/A,FALSE,"Por Dirección";"Logística",#N/A,FALSE,"Por Dirección";"Comercial",#N/A,FALSE,"Por Dirección";"Administracion",#N/A,FALSE,"Por Dirección"}</definedName>
    <definedName name="dzg" localSheetId="1" hidden="1">{#N/A,#N/A,FALSE,"Tabelle1"}</definedName>
    <definedName name="dzg" localSheetId="8" hidden="1">{#N/A,#N/A,FALSE,"Tabelle1"}</definedName>
    <definedName name="dzg" localSheetId="2" hidden="1">{#N/A,#N/A,FALSE,"Tabelle1"}</definedName>
    <definedName name="dzg" localSheetId="3" hidden="1">{#N/A,#N/A,FALSE,"Tabelle1"}</definedName>
    <definedName name="e" localSheetId="1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e" localSheetId="8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e" localSheetId="2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e" localSheetId="3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echart31" hidden="1">#REF!</definedName>
    <definedName name="eeeeee" localSheetId="1" hidden="1">{#N/A,#N/A,FALSE,"Acum Julio - 00"}</definedName>
    <definedName name="eeeeee" localSheetId="8" hidden="1">{#N/A,#N/A,FALSE,"Acum Julio - 00"}</definedName>
    <definedName name="eeeeee" localSheetId="2" hidden="1">{#N/A,#N/A,FALSE,"Acum Julio - 00"}</definedName>
    <definedName name="eeeeee" localSheetId="3" hidden="1">{#N/A,#N/A,FALSE,"Acum Julio - 00"}</definedName>
    <definedName name="eeeeeee" hidden="1">#N/A</definedName>
    <definedName name="eeeeeeeeee" localSheetId="1" hidden="1">{#N/A,#N/A,FALSE,"Acum Julio - 00"}</definedName>
    <definedName name="eeeeeeeeee" localSheetId="8" hidden="1">{#N/A,#N/A,FALSE,"Acum Julio - 00"}</definedName>
    <definedName name="eeeeeeeeee" localSheetId="2" hidden="1">{#N/A,#N/A,FALSE,"Acum Julio - 00"}</definedName>
    <definedName name="eeeeeeeeee" localSheetId="3" hidden="1">{#N/A,#N/A,FALSE,"Acum Julio - 00"}</definedName>
    <definedName name="eeeeeeeeeeeeee" localSheetId="1" hidden="1">{#N/A,#N/A,FALSE,"Acum Julio - 00"}</definedName>
    <definedName name="eeeeeeeeeeeeee" localSheetId="8" hidden="1">{#N/A,#N/A,FALSE,"Acum Julio - 00"}</definedName>
    <definedName name="eeeeeeeeeeeeee" localSheetId="2" hidden="1">{#N/A,#N/A,FALSE,"Acum Julio - 00"}</definedName>
    <definedName name="eeeeeeeeeeeeee" localSheetId="3" hidden="1">{#N/A,#N/A,FALSE,"Acum Julio - 00"}</definedName>
    <definedName name="efsdf" localSheetId="1" hidden="1">{"RRHH",#N/A,FALSE,"Por Dirección";"Operaciones",#N/A,FALSE,"Por Dirección";"Logística",#N/A,FALSE,"Por Dirección";"Comercial",#N/A,FALSE,"Por Dirección";"Administracion",#N/A,FALSE,"Por Dirección"}</definedName>
    <definedName name="efsdf" localSheetId="8" hidden="1">{"RRHH",#N/A,FALSE,"Por Dirección";"Operaciones",#N/A,FALSE,"Por Dirección";"Logística",#N/A,FALSE,"Por Dirección";"Comercial",#N/A,FALSE,"Por Dirección";"Administracion",#N/A,FALSE,"Por Dirección"}</definedName>
    <definedName name="efsdf" localSheetId="2" hidden="1">{"RRHH",#N/A,FALSE,"Por Dirección";"Operaciones",#N/A,FALSE,"Por Dirección";"Logística",#N/A,FALSE,"Por Dirección";"Comercial",#N/A,FALSE,"Por Dirección";"Administracion",#N/A,FALSE,"Por Dirección"}</definedName>
    <definedName name="efsdf" localSheetId="3" hidden="1">{"RRHH",#N/A,FALSE,"Por Dirección";"Operaciones",#N/A,FALSE,"Por Dirección";"Logística",#N/A,FALSE,"Por Dirección";"Comercial",#N/A,FALSE,"Por Dirección";"Administracion",#N/A,FALSE,"Por Dirección"}</definedName>
    <definedName name="eli" localSheetId="1" hidden="1">{#N/A,#N/A,TRUE,"forside";#N/A,#N/A,TRUE,"Res_AOGT";#N/A,#N/A,TRUE,"Bal_AOGT";#N/A,#N/A,TRUE,"Kont_AOGT";#N/A,#N/A,TRUE,"Note 1-5";#N/A,#N/A,TRUE,"Note 6-9";#N/A,#N/A,TRUE,"Bal_note10-14";#N/A,#N/A,TRUE,"Note 15-16";#N/A,#N/A,TRUE,"Note 17-19";#N/A,#N/A,TRUE,"Note 19 forts.";#N/A,#N/A,TRUE,"Note 20-23";#N/A,#N/A,TRUE,"Nøkkeltall"}</definedName>
    <definedName name="eli" localSheetId="8" hidden="1">{#N/A,#N/A,TRUE,"forside";#N/A,#N/A,TRUE,"Res_AOGT";#N/A,#N/A,TRUE,"Bal_AOGT";#N/A,#N/A,TRUE,"Kont_AOGT";#N/A,#N/A,TRUE,"Note 1-5";#N/A,#N/A,TRUE,"Note 6-9";#N/A,#N/A,TRUE,"Bal_note10-14";#N/A,#N/A,TRUE,"Note 15-16";#N/A,#N/A,TRUE,"Note 17-19";#N/A,#N/A,TRUE,"Note 19 forts.";#N/A,#N/A,TRUE,"Note 20-23";#N/A,#N/A,TRUE,"Nøkkeltall"}</definedName>
    <definedName name="eli" localSheetId="2" hidden="1">{#N/A,#N/A,TRUE,"forside";#N/A,#N/A,TRUE,"Res_AOGT";#N/A,#N/A,TRUE,"Bal_AOGT";#N/A,#N/A,TRUE,"Kont_AOGT";#N/A,#N/A,TRUE,"Note 1-5";#N/A,#N/A,TRUE,"Note 6-9";#N/A,#N/A,TRUE,"Bal_note10-14";#N/A,#N/A,TRUE,"Note 15-16";#N/A,#N/A,TRUE,"Note 17-19";#N/A,#N/A,TRUE,"Note 19 forts.";#N/A,#N/A,TRUE,"Note 20-23";#N/A,#N/A,TRUE,"Nøkkeltall"}</definedName>
    <definedName name="eli" localSheetId="3" hidden="1">{#N/A,#N/A,TRUE,"forside";#N/A,#N/A,TRUE,"Res_AOGT";#N/A,#N/A,TRUE,"Bal_AOGT";#N/A,#N/A,TRUE,"Kont_AOGT";#N/A,#N/A,TRUE,"Note 1-5";#N/A,#N/A,TRUE,"Note 6-9";#N/A,#N/A,TRUE,"Bal_note10-14";#N/A,#N/A,TRUE,"Note 15-16";#N/A,#N/A,TRUE,"Note 17-19";#N/A,#N/A,TRUE,"Note 19 forts.";#N/A,#N/A,TRUE,"Note 20-23";#N/A,#N/A,TRUE,"Nøkkeltall"}</definedName>
    <definedName name="Emerson" hidden="1">#N/A</definedName>
    <definedName name="enn" localSheetId="1" hidden="1">{#N/A,#N/A,FALSE,"changes";#N/A,#N/A,FALSE,"Assumptions";"view1",#N/A,FALSE,"BE Analysis";"view2",#N/A,FALSE,"BE Analysis";#N/A,#N/A,FALSE,"DCF Calculation - Scenario 1";"Dollar",#N/A,FALSE,"Consolidated - Scenario 1";"CS",#N/A,FALSE,"Consolidated - Scenario 1"}</definedName>
    <definedName name="enn" localSheetId="8" hidden="1">{#N/A,#N/A,FALSE,"changes";#N/A,#N/A,FALSE,"Assumptions";"view1",#N/A,FALSE,"BE Analysis";"view2",#N/A,FALSE,"BE Analysis";#N/A,#N/A,FALSE,"DCF Calculation - Scenario 1";"Dollar",#N/A,FALSE,"Consolidated - Scenario 1";"CS",#N/A,FALSE,"Consolidated - Scenario 1"}</definedName>
    <definedName name="enn" localSheetId="2" hidden="1">{#N/A,#N/A,FALSE,"changes";#N/A,#N/A,FALSE,"Assumptions";"view1",#N/A,FALSE,"BE Analysis";"view2",#N/A,FALSE,"BE Analysis";#N/A,#N/A,FALSE,"DCF Calculation - Scenario 1";"Dollar",#N/A,FALSE,"Consolidated - Scenario 1";"CS",#N/A,FALSE,"Consolidated - Scenario 1"}</definedName>
    <definedName name="enn" localSheetId="3" hidden="1">{#N/A,#N/A,FALSE,"changes";#N/A,#N/A,FALSE,"Assumptions";"view1",#N/A,FALSE,"BE Analysis";"view2",#N/A,FALSE,"BE Analysis";#N/A,#N/A,FALSE,"DCF Calculation - Scenario 1";"Dollar",#N/A,FALSE,"Consolidated - Scenario 1";"CS",#N/A,FALSE,"Consolidated - Scenario 1"}</definedName>
    <definedName name="Ennis" localSheetId="1" hidden="1">{#N/A,#N/A,FALSE,"changes";#N/A,#N/A,FALSE,"Assumptions";"view1",#N/A,FALSE,"BE Analysis";"view2",#N/A,FALSE,"BE Analysis";#N/A,#N/A,FALSE,"DCF Calculation - Scenario 1";"Dollar",#N/A,FALSE,"Consolidated - Scenario 1";"CS",#N/A,FALSE,"Consolidated - Scenario 1"}</definedName>
    <definedName name="Ennis" localSheetId="8" hidden="1">{#N/A,#N/A,FALSE,"changes";#N/A,#N/A,FALSE,"Assumptions";"view1",#N/A,FALSE,"BE Analysis";"view2",#N/A,FALSE,"BE Analysis";#N/A,#N/A,FALSE,"DCF Calculation - Scenario 1";"Dollar",#N/A,FALSE,"Consolidated - Scenario 1";"CS",#N/A,FALSE,"Consolidated - Scenario 1"}</definedName>
    <definedName name="Ennis" localSheetId="2" hidden="1">{#N/A,#N/A,FALSE,"changes";#N/A,#N/A,FALSE,"Assumptions";"view1",#N/A,FALSE,"BE Analysis";"view2",#N/A,FALSE,"BE Analysis";#N/A,#N/A,FALSE,"DCF Calculation - Scenario 1";"Dollar",#N/A,FALSE,"Consolidated - Scenario 1";"CS",#N/A,FALSE,"Consolidated - Scenario 1"}</definedName>
    <definedName name="Ennis" localSheetId="3" hidden="1">{#N/A,#N/A,FALSE,"changes";#N/A,#N/A,FALSE,"Assumptions";"view1",#N/A,FALSE,"BE Analysis";"view2",#N/A,FALSE,"BE Analysis";#N/A,#N/A,FALSE,"DCF Calculation - Scenario 1";"Dollar",#N/A,FALSE,"Consolidated - Scenario 1";"CS",#N/A,FALSE,"Consolidated - Scenario 1"}</definedName>
    <definedName name="EQUIP" localSheetId="1" hidden="1">{"'Edit'!$A$1:$V$2277"}</definedName>
    <definedName name="EQUIP" localSheetId="8" hidden="1">{"'Edit'!$A$1:$V$2277"}</definedName>
    <definedName name="EQUIP" localSheetId="2" hidden="1">{"'Edit'!$A$1:$V$2277"}</definedName>
    <definedName name="EQUIP" localSheetId="3" hidden="1">{"'Edit'!$A$1:$V$2277"}</definedName>
    <definedName name="er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r" localSheetId="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r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r" localSheetId="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ri" localSheetId="1" hidden="1">#REF!</definedName>
    <definedName name="eri" hidden="1">#REF!</definedName>
    <definedName name="esdfsadfsadfsda" hidden="1">#REF!</definedName>
    <definedName name="esnrc163c1" hidden="1">#REF!</definedName>
    <definedName name="esnrc18c1" hidden="1">#REF!</definedName>
    <definedName name="esnrc220c1" hidden="1">#REF!</definedName>
    <definedName name="esnrc24c1" hidden="1">#REF!</definedName>
    <definedName name="esnrc292c1" hidden="1">#REF!</definedName>
    <definedName name="esnrc292c2" hidden="1">#REF!</definedName>
    <definedName name="esnrc292c3" hidden="1">#REF!</definedName>
    <definedName name="esnrc3c1" hidden="1">#REF!</definedName>
    <definedName name="esnrc48c1" hidden="1">#REF!</definedName>
    <definedName name="esnrc51c1" hidden="1">#REF!</definedName>
    <definedName name="esnrc5c1" hidden="1">#REF!</definedName>
    <definedName name="esnrc60c1" hidden="1">#REF!</definedName>
    <definedName name="esnrc79c1" hidden="1">#REF!</definedName>
    <definedName name="esnrc7c1" hidden="1">#REF!</definedName>
    <definedName name="esnrc7c2" hidden="1">#REF!</definedName>
    <definedName name="esnrc95c1" hidden="1">#REF!</definedName>
    <definedName name="esnrc95c2" hidden="1">#REF!</definedName>
    <definedName name="Estrut_planilhas2" localSheetId="1" hidden="1">{"RRHH",#N/A,FALSE,"Por Dirección";"Operaciones",#N/A,FALSE,"Por Dirección";"Logística",#N/A,FALSE,"Por Dirección";"Comercial",#N/A,FALSE,"Por Dirección";"Administracion",#N/A,FALSE,"Por Dirección"}</definedName>
    <definedName name="Estrut_planilhas2" localSheetId="8" hidden="1">{"RRHH",#N/A,FALSE,"Por Dirección";"Operaciones",#N/A,FALSE,"Por Dirección";"Logística",#N/A,FALSE,"Por Dirección";"Comercial",#N/A,FALSE,"Por Dirección";"Administracion",#N/A,FALSE,"Por Dirección"}</definedName>
    <definedName name="Estrut_planilhas2" localSheetId="2" hidden="1">{"RRHH",#N/A,FALSE,"Por Dirección";"Operaciones",#N/A,FALSE,"Por Dirección";"Logística",#N/A,FALSE,"Por Dirección";"Comercial",#N/A,FALSE,"Por Dirección";"Administracion",#N/A,FALSE,"Por Dirección"}</definedName>
    <definedName name="Estrut_planilhas2" localSheetId="3" hidden="1">{"RRHH",#N/A,FALSE,"Por Dirección";"Operaciones",#N/A,FALSE,"Por Dirección";"Logística",#N/A,FALSE,"Por Dirección";"Comercial",#N/A,FALSE,"Por Dirección";"Administracion",#N/A,FALSE,"Por Dirección"}</definedName>
    <definedName name="ev.Calculation" hidden="1">-4105</definedName>
    <definedName name="ev.Initialized" hidden="1">FALSE</definedName>
    <definedName name="EV__LASTREFTIME__" localSheetId="8" hidden="1">39276.4462615741</definedName>
    <definedName name="EV__LASTREFTIME__" hidden="1">42703.6037615741</definedName>
    <definedName name="ewr" localSheetId="1" hidden="1">{"RRHH",#N/A,FALSE,"Por Dirección";"Operaciones",#N/A,FALSE,"Por Dirección";"Logística",#N/A,FALSE,"Por Dirección";"Comercial",#N/A,FALSE,"Por Dirección";"Administracion",#N/A,FALSE,"Por Dirección"}</definedName>
    <definedName name="ewr" localSheetId="8" hidden="1">{"RRHH",#N/A,FALSE,"Por Dirección";"Operaciones",#N/A,FALSE,"Por Dirección";"Logística",#N/A,FALSE,"Por Dirección";"Comercial",#N/A,FALSE,"Por Dirección";"Administracion",#N/A,FALSE,"Por Dirección"}</definedName>
    <definedName name="ewr" localSheetId="2" hidden="1">{"RRHH",#N/A,FALSE,"Por Dirección";"Operaciones",#N/A,FALSE,"Por Dirección";"Logística",#N/A,FALSE,"Por Dirección";"Comercial",#N/A,FALSE,"Por Dirección";"Administracion",#N/A,FALSE,"Por Dirección"}</definedName>
    <definedName name="ewr" localSheetId="3" hidden="1">{"RRHH",#N/A,FALSE,"Por Dirección";"Operaciones",#N/A,FALSE,"Por Dirección";"Logística",#N/A,FALSE,"Por Dirección";"Comercial",#N/A,FALSE,"Por Dirección";"Administracion",#N/A,FALSE,"Por Dirección"}</definedName>
    <definedName name="F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" localSheetId="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" localSheetId="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a" hidden="1">#REF!</definedName>
    <definedName name="fad" localSheetId="1" hidden="1">{#N/A,"70% Success",FALSE,"Sales Forecast";#N/A,#N/A,FALSE,"Sheet2"}</definedName>
    <definedName name="fad" localSheetId="8" hidden="1">{#N/A,"70% Success",FALSE,"Sales Forecast";#N/A,#N/A,FALSE,"Sheet2"}</definedName>
    <definedName name="fad" localSheetId="2" hidden="1">{#N/A,"70% Success",FALSE,"Sales Forecast";#N/A,#N/A,FALSE,"Sheet2"}</definedName>
    <definedName name="fad" localSheetId="3" hidden="1">{#N/A,"70% Success",FALSE,"Sales Forecast";#N/A,#N/A,FALSE,"Sheet2"}</definedName>
    <definedName name="fchart31" hidden="1">#REF!</definedName>
    <definedName name="fd" localSheetId="1" hidden="1">{"RRHH",#N/A,FALSE,"Por Dirección";"Operaciones",#N/A,FALSE,"Por Dirección";"Logística",#N/A,FALSE,"Por Dirección";"Comercial",#N/A,FALSE,"Por Dirección";"Administracion",#N/A,FALSE,"Por Dirección"}</definedName>
    <definedName name="fd" localSheetId="8" hidden="1">{"RRHH",#N/A,FALSE,"Por Dirección";"Operaciones",#N/A,FALSE,"Por Dirección";"Logística",#N/A,FALSE,"Por Dirección";"Comercial",#N/A,FALSE,"Por Dirección";"Administracion",#N/A,FALSE,"Por Dirección"}</definedName>
    <definedName name="fd" localSheetId="2" hidden="1">{"RRHH",#N/A,FALSE,"Por Dirección";"Operaciones",#N/A,FALSE,"Por Dirección";"Logística",#N/A,FALSE,"Por Dirección";"Comercial",#N/A,FALSE,"Por Dirección";"Administracion",#N/A,FALSE,"Por Dirección"}</definedName>
    <definedName name="fd" localSheetId="3" hidden="1">{"RRHH",#N/A,FALSE,"Por Dirección";"Operaciones",#N/A,FALSE,"Por Dirección";"Logística",#N/A,FALSE,"Por Dirección";"Comercial",#N/A,FALSE,"Por Dirección";"Administracion",#N/A,FALSE,"Por Dirección"}</definedName>
    <definedName name="fdgaf" localSheetId="1" hidden="1">{#N/A,#N/A,FALSE,"Plan1";#N/A,#N/A,FALSE,"Plan2"}</definedName>
    <definedName name="fdgaf" localSheetId="8" hidden="1">{#N/A,#N/A,FALSE,"Plan1";#N/A,#N/A,FALSE,"Plan2"}</definedName>
    <definedName name="fdgaf" localSheetId="2" hidden="1">{#N/A,#N/A,FALSE,"Plan1";#N/A,#N/A,FALSE,"Plan2"}</definedName>
    <definedName name="fdgaf" localSheetId="3" hidden="1">{#N/A,#N/A,FALSE,"Plan1";#N/A,#N/A,FALSE,"Plan2"}</definedName>
    <definedName name="fdhgfdf" localSheetId="1" hidden="1">{#N/A,#N/A,FALSE,"Plan1";#N/A,#N/A,FALSE,"Plan2"}</definedName>
    <definedName name="fdhgfdf" localSheetId="8" hidden="1">{#N/A,#N/A,FALSE,"Plan1";#N/A,#N/A,FALSE,"Plan2"}</definedName>
    <definedName name="fdhgfdf" localSheetId="2" hidden="1">{#N/A,#N/A,FALSE,"Plan1";#N/A,#N/A,FALSE,"Plan2"}</definedName>
    <definedName name="fdhgfdf" localSheetId="3" hidden="1">{#N/A,#N/A,FALSE,"Plan1";#N/A,#N/A,FALSE,"Plan2"}</definedName>
    <definedName name="fff" hidden="1">#N/A</definedName>
    <definedName name="fffff" localSheetId="1" hidden="1">{#N/A,#N/A,FALSE,"Plan1";#N/A,#N/A,FALSE,"Plan2"}</definedName>
    <definedName name="fffff" localSheetId="8" hidden="1">{#N/A,#N/A,FALSE,"Plan1";#N/A,#N/A,FALSE,"Plan2"}</definedName>
    <definedName name="fffff" localSheetId="2" hidden="1">{#N/A,#N/A,FALSE,"Plan1";#N/A,#N/A,FALSE,"Plan2"}</definedName>
    <definedName name="fffff" localSheetId="3" hidden="1">{#N/A,#N/A,FALSE,"Plan1";#N/A,#N/A,FALSE,"Plan2"}</definedName>
    <definedName name="FG" hidden="1">#N/A</definedName>
    <definedName name="fgdfg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fgdfg" localSheetId="8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fgdfg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fgdfg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fgdh" localSheetId="1" hidden="1">{"RRHH",#N/A,FALSE,"Por Dirección";"Operaciones",#N/A,FALSE,"Por Dirección";"Logística",#N/A,FALSE,"Por Dirección";"Comercial",#N/A,FALSE,"Por Dirección";"Administracion",#N/A,FALSE,"Por Dirección"}</definedName>
    <definedName name="fgdh" localSheetId="8" hidden="1">{"RRHH",#N/A,FALSE,"Por Dirección";"Operaciones",#N/A,FALSE,"Por Dirección";"Logística",#N/A,FALSE,"Por Dirección";"Comercial",#N/A,FALSE,"Por Dirección";"Administracion",#N/A,FALSE,"Por Dirección"}</definedName>
    <definedName name="fgdh" localSheetId="2" hidden="1">{"RRHH",#N/A,FALSE,"Por Dirección";"Operaciones",#N/A,FALSE,"Por Dirección";"Logística",#N/A,FALSE,"Por Dirección";"Comercial",#N/A,FALSE,"Por Dirección";"Administracion",#N/A,FALSE,"Por Dirección"}</definedName>
    <definedName name="fgdh" localSheetId="3" hidden="1">{"RRHH",#N/A,FALSE,"Por Dirección";"Operaciones",#N/A,FALSE,"Por Dirección";"Logística",#N/A,FALSE,"Por Dirección";"Comercial",#N/A,FALSE,"Por Dirección";"Administracion",#N/A,FALSE,"Por Dirección"}</definedName>
    <definedName name="FGJHFGK" localSheetId="1" hidden="1">{#N/A,#N/A,FALSE,"Plan1";#N/A,#N/A,FALSE,"Plan2"}</definedName>
    <definedName name="FGJHFGK" localSheetId="8" hidden="1">{#N/A,#N/A,FALSE,"Plan1";#N/A,#N/A,FALSE,"Plan2"}</definedName>
    <definedName name="FGJHFGK" localSheetId="2" hidden="1">{#N/A,#N/A,FALSE,"Plan1";#N/A,#N/A,FALSE,"Plan2"}</definedName>
    <definedName name="FGJHFGK" localSheetId="3" hidden="1">{#N/A,#N/A,FALSE,"Plan1";#N/A,#N/A,FALSE,"Plan2"}</definedName>
    <definedName name="fhfd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fhfd" localSheetId="8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fhfd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fhfd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fhfhfg" localSheetId="1" hidden="1">{"RRHH",#N/A,FALSE,"Por Dirección";"Operaciones",#N/A,FALSE,"Por Dirección";"Logística",#N/A,FALSE,"Por Dirección";"Comercial",#N/A,FALSE,"Por Dirección";"Administracion",#N/A,FALSE,"Por Dirección"}</definedName>
    <definedName name="fhfhfg" localSheetId="8" hidden="1">{"RRHH",#N/A,FALSE,"Por Dirección";"Operaciones",#N/A,FALSE,"Por Dirección";"Logística",#N/A,FALSE,"Por Dirección";"Comercial",#N/A,FALSE,"Por Dirección";"Administracion",#N/A,FALSE,"Por Dirección"}</definedName>
    <definedName name="fhfhfg" localSheetId="2" hidden="1">{"RRHH",#N/A,FALSE,"Por Dirección";"Operaciones",#N/A,FALSE,"Por Dirección";"Logística",#N/A,FALSE,"Por Dirección";"Comercial",#N/A,FALSE,"Por Dirección";"Administracion",#N/A,FALSE,"Por Dirección"}</definedName>
    <definedName name="fhfhfg" localSheetId="3" hidden="1">{"RRHH",#N/A,FALSE,"Por Dirección";"Operaciones",#N/A,FALSE,"Por Dirección";"Logística",#N/A,FALSE,"Por Dirección";"Comercial",#N/A,FALSE,"Por Dirección";"Administracion",#N/A,FALSE,"Por Dirección"}</definedName>
    <definedName name="fin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" localSheetId="8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AL_TM" localSheetId="1" hidden="1">#REF!</definedName>
    <definedName name="FINAL_TM" hidden="1">#REF!</definedName>
    <definedName name="Finan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Finan" localSheetId="8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Finan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Finan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Financ.Resumen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Financ.Resumen" localSheetId="8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Financ.Resumen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Financ.Resumen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Financiamento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Financiamento" localSheetId="8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Financiamento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Financiamento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fj" localSheetId="1" hidden="1">{"RRHH",#N/A,FALSE,"Por Dirección";"Operaciones",#N/A,FALSE,"Por Dirección";"Logística",#N/A,FALSE,"Por Dirección";"Comercial",#N/A,FALSE,"Por Dirección";"Administracion",#N/A,FALSE,"Por Dirección"}</definedName>
    <definedName name="fj" localSheetId="8" hidden="1">{"RRHH",#N/A,FALSE,"Por Dirección";"Operaciones",#N/A,FALSE,"Por Dirección";"Logística",#N/A,FALSE,"Por Dirección";"Comercial",#N/A,FALSE,"Por Dirección";"Administracion",#N/A,FALSE,"Por Dirección"}</definedName>
    <definedName name="fj" localSheetId="2" hidden="1">{"RRHH",#N/A,FALSE,"Por Dirección";"Operaciones",#N/A,FALSE,"Por Dirección";"Logística",#N/A,FALSE,"Por Dirección";"Comercial",#N/A,FALSE,"Por Dirección";"Administracion",#N/A,FALSE,"Por Dirección"}</definedName>
    <definedName name="fj" localSheetId="3" hidden="1">{"RRHH",#N/A,FALSE,"Por Dirección";"Operaciones",#N/A,FALSE,"Por Dirección";"Logística",#N/A,FALSE,"Por Dirección";"Comercial",#N/A,FALSE,"Por Dirección";"Administracion",#N/A,FALSE,"Por Dirección"}</definedName>
    <definedName name="FJGH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1" hidden="1">{#N/A,#N/A,FALSE,"Plan1";#N/A,#N/A,FALSE,"Plan2"}</definedName>
    <definedName name="FJHJHG" localSheetId="8" hidden="1">{#N/A,#N/A,FALSE,"Plan1";#N/A,#N/A,FALSE,"Plan2"}</definedName>
    <definedName name="FJHJHG" localSheetId="2" hidden="1">{#N/A,#N/A,FALSE,"Plan1";#N/A,#N/A,FALSE,"Plan2"}</definedName>
    <definedName name="FJHJHG" localSheetId="3" hidden="1">{#N/A,#N/A,FALSE,"Plan1";#N/A,#N/A,FALSE,"Plan2"}</definedName>
    <definedName name="fjjashfja" localSheetId="1" hidden="1">#REF!</definedName>
    <definedName name="fjjashfja" localSheetId="8" hidden="1">#REF!</definedName>
    <definedName name="fjjashfja" hidden="1">#REF!</definedName>
    <definedName name="FLUXO" localSheetId="1" hidden="1">{#N/A,#N/A,FALSE,"Aging Summary";#N/A,#N/A,FALSE,"Ratio Analysis";#N/A,#N/A,FALSE,"Test 120 Day Accts";#N/A,#N/A,FALSE,"Tickmarks"}</definedName>
    <definedName name="FLUXO" localSheetId="8" hidden="1">{#N/A,#N/A,FALSE,"Aging Summary";#N/A,#N/A,FALSE,"Ratio Analysis";#N/A,#N/A,FALSE,"Test 120 Day Accts";#N/A,#N/A,FALSE,"Tickmarks"}</definedName>
    <definedName name="FLUXO" localSheetId="2" hidden="1">{#N/A,#N/A,FALSE,"Aging Summary";#N/A,#N/A,FALSE,"Ratio Analysis";#N/A,#N/A,FALSE,"Test 120 Day Accts";#N/A,#N/A,FALSE,"Tickmarks"}</definedName>
    <definedName name="FLUXO" localSheetId="3" hidden="1">{#N/A,#N/A,FALSE,"Aging Summary";#N/A,#N/A,FALSE,"Ratio Analysis";#N/A,#N/A,FALSE,"Test 120 Day Accts";#N/A,#N/A,FALSE,"Tickmarks"}</definedName>
    <definedName name="fs" localSheetId="1" hidden="1">{"RRHH",#N/A,FALSE,"Por Dirección";"Operaciones",#N/A,FALSE,"Por Dirección";"Logística",#N/A,FALSE,"Por Dirección";"Comercial",#N/A,FALSE,"Por Dirección";"Administracion",#N/A,FALSE,"Por Dirección"}</definedName>
    <definedName name="fs" localSheetId="8" hidden="1">{"RRHH",#N/A,FALSE,"Por Dirección";"Operaciones",#N/A,FALSE,"Por Dirección";"Logística",#N/A,FALSE,"Por Dirección";"Comercial",#N/A,FALSE,"Por Dirección";"Administracion",#N/A,FALSE,"Por Dirección"}</definedName>
    <definedName name="fs" localSheetId="2" hidden="1">{"RRHH",#N/A,FALSE,"Por Dirección";"Operaciones",#N/A,FALSE,"Por Dirección";"Logística",#N/A,FALSE,"Por Dirección";"Comercial",#N/A,FALSE,"Por Dirección";"Administracion",#N/A,FALSE,"Por Dirección"}</definedName>
    <definedName name="fs" localSheetId="3" hidden="1">{"RRHH",#N/A,FALSE,"Por Dirección";"Operaciones",#N/A,FALSE,"Por Dirección";"Logística",#N/A,FALSE,"Por Dirección";"Comercial",#N/A,FALSE,"Por Dirección";"Administracion",#N/A,FALSE,"Por Dirección"}</definedName>
    <definedName name="fv" localSheetId="1" hidden="1">{#N/A,#N/A,FALSE,"Acum Julio - 00"}</definedName>
    <definedName name="fv" localSheetId="8" hidden="1">{#N/A,#N/A,FALSE,"Acum Julio - 00"}</definedName>
    <definedName name="fv" localSheetId="2" hidden="1">{#N/A,#N/A,FALSE,"Acum Julio - 00"}</definedName>
    <definedName name="fv" localSheetId="3" hidden="1">{#N/A,#N/A,FALSE,"Acum Julio - 00"}</definedName>
    <definedName name="gd" localSheetId="1" hidden="1">{"RRHH",#N/A,FALSE,"Por Dirección";"Operaciones",#N/A,FALSE,"Por Dirección";"Logística",#N/A,FALSE,"Por Dirección";"Comercial",#N/A,FALSE,"Por Dirección";"Administracion",#N/A,FALSE,"Por Dirección"}</definedName>
    <definedName name="gd" localSheetId="8" hidden="1">{"RRHH",#N/A,FALSE,"Por Dirección";"Operaciones",#N/A,FALSE,"Por Dirección";"Logística",#N/A,FALSE,"Por Dirección";"Comercial",#N/A,FALSE,"Por Dirección";"Administracion",#N/A,FALSE,"Por Dirección"}</definedName>
    <definedName name="gd" localSheetId="2" hidden="1">{"RRHH",#N/A,FALSE,"Por Dirección";"Operaciones",#N/A,FALSE,"Por Dirección";"Logística",#N/A,FALSE,"Por Dirección";"Comercial",#N/A,FALSE,"Por Dirección";"Administracion",#N/A,FALSE,"Por Dirección"}</definedName>
    <definedName name="gd" localSheetId="3" hidden="1">{"RRHH",#N/A,FALSE,"Por Dirección";"Operaciones",#N/A,FALSE,"Por Dirección";"Logística",#N/A,FALSE,"Por Dirección";"Comercial",#N/A,FALSE,"Por Dirección";"Administracion",#N/A,FALSE,"Por Dirección"}</definedName>
    <definedName name="general_exp." localSheetId="1" hidden="1">{#N/A,"100% Success",TRUE,"Sales Forecast";#N/A,#N/A,TRUE,"Sheet2"}</definedName>
    <definedName name="general_exp." localSheetId="8" hidden="1">{#N/A,"100% Success",TRUE,"Sales Forecast";#N/A,#N/A,TRUE,"Sheet2"}</definedName>
    <definedName name="general_exp." localSheetId="2" hidden="1">{#N/A,"100% Success",TRUE,"Sales Forecast";#N/A,#N/A,TRUE,"Sheet2"}</definedName>
    <definedName name="general_exp." localSheetId="3" hidden="1">{#N/A,"100% Success",TRUE,"Sales Forecast";#N/A,#N/A,TRUE,"Sheet2"}</definedName>
    <definedName name="gfhgfhgfh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gfhgfhgfh" localSheetId="8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gfhgfhgfh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gfhgfhgfh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gg" localSheetId="1" hidden="1">{"RRHH",#N/A,FALSE,"Por Dirección";"Operaciones",#N/A,FALSE,"Por Dirección";"Logística",#N/A,FALSE,"Por Dirección";"Comercial",#N/A,FALSE,"Por Dirección";"Administracion",#N/A,FALSE,"Por Dirección"}</definedName>
    <definedName name="gg" localSheetId="8" hidden="1">{"RRHH",#N/A,FALSE,"Por Dirección";"Operaciones",#N/A,FALSE,"Por Dirección";"Logística",#N/A,FALSE,"Por Dirección";"Comercial",#N/A,FALSE,"Por Dirección";"Administracion",#N/A,FALSE,"Por Dirección"}</definedName>
    <definedName name="gg" localSheetId="2" hidden="1">{"RRHH",#N/A,FALSE,"Por Dirección";"Operaciones",#N/A,FALSE,"Por Dirección";"Logística",#N/A,FALSE,"Por Dirección";"Comercial",#N/A,FALSE,"Por Dirección";"Administracion",#N/A,FALSE,"Por Dirección"}</definedName>
    <definedName name="gg" localSheetId="3" hidden="1">{"RRHH",#N/A,FALSE,"Por Dirección";"Operaciones",#N/A,FALSE,"Por Dirección";"Logística",#N/A,FALSE,"Por Dirección";"Comercial",#N/A,FALSE,"Por Dirección";"Administracion",#N/A,FALSE,"Por Dirección"}</definedName>
    <definedName name="ggg" localSheetId="1" hidden="1">{"'Edit'!$A$1:$V$2277"}</definedName>
    <definedName name="ggg" localSheetId="8" hidden="1">{"'Edit'!$A$1:$V$2277"}</definedName>
    <definedName name="ggg" localSheetId="2" hidden="1">{"'Edit'!$A$1:$V$2277"}</definedName>
    <definedName name="ggg" localSheetId="3" hidden="1">{"'Edit'!$A$1:$V$2277"}</definedName>
    <definedName name="ggggggggg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GH" localSheetId="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GH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GH" localSheetId="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gr" localSheetId="1" hidden="1">{#N/A,#N/A,FALSE,"VENTAS";#N/A,#N/A,FALSE,"U. BRUTA";#N/A,#N/A,FALSE,"G. PERSONAL";#N/A,#N/A,FALSE,"G. OPERACION";#N/A,#N/A,FALSE,"G. DEPYAM";#N/A,#N/A,FALSE,"INGRESOS";#N/A,#N/A,FALSE,"G.o P.1";#N/A,#N/A,FALSE,"3%Informe Junta";#N/A,#N/A,FALSE,"P Y G (2)";#N/A,#N/A,FALSE,"CART. PROV.";#N/A,#N/A,FALSE,"Usecmes";#N/A,#N/A,FALSE,"Usecacu"}</definedName>
    <definedName name="gr" localSheetId="8" hidden="1">{#N/A,#N/A,FALSE,"VENTAS";#N/A,#N/A,FALSE,"U. BRUTA";#N/A,#N/A,FALSE,"G. PERSONAL";#N/A,#N/A,FALSE,"G. OPERACION";#N/A,#N/A,FALSE,"G. DEPYAM";#N/A,#N/A,FALSE,"INGRESOS";#N/A,#N/A,FALSE,"G.o P.1";#N/A,#N/A,FALSE,"3%Informe Junta";#N/A,#N/A,FALSE,"P Y G (2)";#N/A,#N/A,FALSE,"CART. PROV.";#N/A,#N/A,FALSE,"Usecmes";#N/A,#N/A,FALSE,"Usecacu"}</definedName>
    <definedName name="gr" localSheetId="2" hidden="1">{#N/A,#N/A,FALSE,"VENTAS";#N/A,#N/A,FALSE,"U. BRUTA";#N/A,#N/A,FALSE,"G. PERSONAL";#N/A,#N/A,FALSE,"G. OPERACION";#N/A,#N/A,FALSE,"G. DEPYAM";#N/A,#N/A,FALSE,"INGRESOS";#N/A,#N/A,FALSE,"G.o P.1";#N/A,#N/A,FALSE,"3%Informe Junta";#N/A,#N/A,FALSE,"P Y G (2)";#N/A,#N/A,FALSE,"CART. PROV.";#N/A,#N/A,FALSE,"Usecmes";#N/A,#N/A,FALSE,"Usecacu"}</definedName>
    <definedName name="gr" localSheetId="3" hidden="1">{#N/A,#N/A,FALSE,"VENTAS";#N/A,#N/A,FALSE,"U. BRUTA";#N/A,#N/A,FALSE,"G. PERSONAL";#N/A,#N/A,FALSE,"G. OPERACION";#N/A,#N/A,FALSE,"G. DEPYAM";#N/A,#N/A,FALSE,"INGRESOS";#N/A,#N/A,FALSE,"G.o P.1";#N/A,#N/A,FALSE,"3%Informe Junta";#N/A,#N/A,FALSE,"P Y G (2)";#N/A,#N/A,FALSE,"CART. PROV.";#N/A,#N/A,FALSE,"Usecmes";#N/A,#N/A,FALSE,"Usecacu"}</definedName>
    <definedName name="GrpAcct1" hidden="1">"5611"</definedName>
    <definedName name="GrpAcct2" hidden="1">"5612"</definedName>
    <definedName name="GrpLevel" hidden="1">2</definedName>
    <definedName name="gt" hidden="1">#REF!</definedName>
    <definedName name="GVSL1" localSheetId="1" hidden="1">#REF!-1 &amp; "." &amp; MAX(1,COUNTA(INDEX(#REF!,MATCH(#REF!-1,#REF!,FALSE)):#REF!))</definedName>
    <definedName name="GVSL1" localSheetId="8" hidden="1">#REF!-1 &amp; "." &amp; MAX(1,COUNTA(INDEX(#REF!,MATCH(#REF!-1,#REF!,FALSE)):#REF!))</definedName>
    <definedName name="GVSL1" hidden="1">#REF!-1 &amp; "." &amp; MAX(1,COUNTA(INDEX(#REF!,MATCH(#REF!-1,#REF!,FALSE)):#REF!))</definedName>
    <definedName name="H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H" localSheetId="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H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H" localSheetId="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hg" localSheetId="1" hidden="1">{"RRHH",#N/A,FALSE,"Por Dirección";"Operaciones",#N/A,FALSE,"Por Dirección";"Logística",#N/A,FALSE,"Por Dirección";"Comercial",#N/A,FALSE,"Por Dirección";"Administracion",#N/A,FALSE,"Por Dirección"}</definedName>
    <definedName name="hg" localSheetId="8" hidden="1">{"RRHH",#N/A,FALSE,"Por Dirección";"Operaciones",#N/A,FALSE,"Por Dirección";"Logística",#N/A,FALSE,"Por Dirección";"Comercial",#N/A,FALSE,"Por Dirección";"Administracion",#N/A,FALSE,"Por Dirección"}</definedName>
    <definedName name="hg" localSheetId="2" hidden="1">{"RRHH",#N/A,FALSE,"Por Dirección";"Operaciones",#N/A,FALSE,"Por Dirección";"Logística",#N/A,FALSE,"Por Dirección";"Comercial",#N/A,FALSE,"Por Dirección";"Administracion",#N/A,FALSE,"Por Dirección"}</definedName>
    <definedName name="hg" localSheetId="3" hidden="1">{"RRHH",#N/A,FALSE,"Por Dirección";"Operaciones",#N/A,FALSE,"Por Dirección";"Logística",#N/A,FALSE,"Por Dirección";"Comercial",#N/A,FALSE,"Por Dirección";"Administracion",#N/A,FALSE,"Por Dirección"}</definedName>
    <definedName name="HGD" localSheetId="1" hidden="1">{"RRHH",#N/A,FALSE,"Por Dirección";"Operaciones",#N/A,FALSE,"Por Dirección";"Logística",#N/A,FALSE,"Por Dirección";"Comercial",#N/A,FALSE,"Por Dirección";"Administracion",#N/A,FALSE,"Por Dirección"}</definedName>
    <definedName name="HGD" localSheetId="8" hidden="1">{"RRHH",#N/A,FALSE,"Por Dirección";"Operaciones",#N/A,FALSE,"Por Dirección";"Logística",#N/A,FALSE,"Por Dirección";"Comercial",#N/A,FALSE,"Por Dirección";"Administracion",#N/A,FALSE,"Por Dirección"}</definedName>
    <definedName name="HGD" localSheetId="2" hidden="1">{"RRHH",#N/A,FALSE,"Por Dirección";"Operaciones",#N/A,FALSE,"Por Dirección";"Logística",#N/A,FALSE,"Por Dirección";"Comercial",#N/A,FALSE,"Por Dirección";"Administracion",#N/A,FALSE,"Por Dirección"}</definedName>
    <definedName name="HGD" localSheetId="3" hidden="1">{"RRHH",#N/A,FALSE,"Por Dirección";"Operaciones",#N/A,FALSE,"Por Dirección";"Logística",#N/A,FALSE,"Por Dirección";"Comercial",#N/A,FALSE,"Por Dirección";"Administracion",#N/A,FALSE,"Por Dirección"}</definedName>
    <definedName name="hgjg" localSheetId="1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hgjg" localSheetId="8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hgjg" localSheetId="2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hgjg" localSheetId="3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R" localSheetId="6" hidden="1">{"Schedule A 1",#N/A,FALSE,"Schedule A-1";"Schedule A 2",#N/A,FALSE,"Schedule A-2";"Schedule A 3",#N/A,FALSE,"Schedule A-3";"Schedule A 4",#N/A,FALSE,"Schedule A-4";"Schedule A 5",#N/A,FALSE,"Schedule A-5";"Schedule L-1",#N/A,FALSE,"Schedule L-1";"Schedule A 6",#N/A,FALSE,"Schedule A-6";"Schedule L-2",#N/A,FALSE,"Schedule L-2";"Schedule L 3 (1)",#N/A,FALSE,"Schedule L-3 (1)";"Schedule L 3 (2)",#N/A,FALSE,"Schedule L-3 (2)";"Schedule L 3 (3)",#N/A,FALSE,"Schedule L-3 (3)";"Schedule L 3 (4)",#N/A,FALSE,"Schedule L-3 (4)";"Schedule L 3 (5)",#N/A,FALSE,"Schedule L-3 (5)";"Schedule l 1",#N/A,FALSE,"Schedule I-1";"Schedule l 2",#N/A,FALSE,"Schedule I-2";"Schedule l 3",#N/A,FALSE,"Schedule I-3";"Schedule l 4",#N/A,FALSE,"Schedule I-4";"Schedule L-4",#N/A,FALSE,"Schedule L-4";"Schedule l-5",#N/A,FALSE,"Anex 1"}</definedName>
    <definedName name="HR" localSheetId="7" hidden="1">{"Schedule A 1",#N/A,FALSE,"Schedule A-1";"Schedule A 2",#N/A,FALSE,"Schedule A-2";"Schedule A 3",#N/A,FALSE,"Schedule A-3";"Schedule A 4",#N/A,FALSE,"Schedule A-4";"Schedule A 5",#N/A,FALSE,"Schedule A-5";"Schedule L-1",#N/A,FALSE,"Schedule L-1";"Schedule A 6",#N/A,FALSE,"Schedule A-6";"Schedule L-2",#N/A,FALSE,"Schedule L-2";"Schedule L 3 (1)",#N/A,FALSE,"Schedule L-3 (1)";"Schedule L 3 (2)",#N/A,FALSE,"Schedule L-3 (2)";"Schedule L 3 (3)",#N/A,FALSE,"Schedule L-3 (3)";"Schedule L 3 (4)",#N/A,FALSE,"Schedule L-3 (4)";"Schedule L 3 (5)",#N/A,FALSE,"Schedule L-3 (5)";"Schedule l 1",#N/A,FALSE,"Schedule I-1";"Schedule l 2",#N/A,FALSE,"Schedule I-2";"Schedule l 3",#N/A,FALSE,"Schedule I-3";"Schedule l 4",#N/A,FALSE,"Schedule I-4";"Schedule L-4",#N/A,FALSE,"Schedule L-4";"Schedule l-5",#N/A,FALSE,"Anex 1"}</definedName>
    <definedName name="HR" localSheetId="1" hidden="1">{"Schedule A 1",#N/A,FALSE,"Schedule A-1";"Schedule A 2",#N/A,FALSE,"Schedule A-2";"Schedule A 3",#N/A,FALSE,"Schedule A-3";"Schedule A 4",#N/A,FALSE,"Schedule A-4";"Schedule A 5",#N/A,FALSE,"Schedule A-5";"Schedule L-1",#N/A,FALSE,"Schedule L-1";"Schedule A 6",#N/A,FALSE,"Schedule A-6";"Schedule L-2",#N/A,FALSE,"Schedule L-2";"Schedule L 3 (1)",#N/A,FALSE,"Schedule L-3 (1)";"Schedule L 3 (2)",#N/A,FALSE,"Schedule L-3 (2)";"Schedule L 3 (3)",#N/A,FALSE,"Schedule L-3 (3)";"Schedule L 3 (4)",#N/A,FALSE,"Schedule L-3 (4)";"Schedule L 3 (5)",#N/A,FALSE,"Schedule L-3 (5)";"Schedule l 1",#N/A,FALSE,"Schedule I-1";"Schedule l 2",#N/A,FALSE,"Schedule I-2";"Schedule l 3",#N/A,FALSE,"Schedule I-3";"Schedule l 4",#N/A,FALSE,"Schedule I-4";"Schedule L-4",#N/A,FALSE,"Schedule L-4";"Schedule l-5",#N/A,FALSE,"Anex 1"}</definedName>
    <definedName name="HR" localSheetId="8" hidden="1">{"Schedule A 1",#N/A,FALSE,"Schedule A-1";"Schedule A 2",#N/A,FALSE,"Schedule A-2";"Schedule A 3",#N/A,FALSE,"Schedule A-3";"Schedule A 4",#N/A,FALSE,"Schedule A-4";"Schedule A 5",#N/A,FALSE,"Schedule A-5";"Schedule L-1",#N/A,FALSE,"Schedule L-1";"Schedule A 6",#N/A,FALSE,"Schedule A-6";"Schedule L-2",#N/A,FALSE,"Schedule L-2";"Schedule L 3 (1)",#N/A,FALSE,"Schedule L-3 (1)";"Schedule L 3 (2)",#N/A,FALSE,"Schedule L-3 (2)";"Schedule L 3 (3)",#N/A,FALSE,"Schedule L-3 (3)";"Schedule L 3 (4)",#N/A,FALSE,"Schedule L-3 (4)";"Schedule L 3 (5)",#N/A,FALSE,"Schedule L-3 (5)";"Schedule l 1",#N/A,FALSE,"Schedule I-1";"Schedule l 2",#N/A,FALSE,"Schedule I-2";"Schedule l 3",#N/A,FALSE,"Schedule I-3";"Schedule l 4",#N/A,FALSE,"Schedule I-4";"Schedule L-4",#N/A,FALSE,"Schedule L-4";"Schedule l-5",#N/A,FALSE,"Anex 1"}</definedName>
    <definedName name="HR" localSheetId="2" hidden="1">{"Schedule A 1",#N/A,FALSE,"Schedule A-1";"Schedule A 2",#N/A,FALSE,"Schedule A-2";"Schedule A 3",#N/A,FALSE,"Schedule A-3";"Schedule A 4",#N/A,FALSE,"Schedule A-4";"Schedule A 5",#N/A,FALSE,"Schedule A-5";"Schedule L-1",#N/A,FALSE,"Schedule L-1";"Schedule A 6",#N/A,FALSE,"Schedule A-6";"Schedule L-2",#N/A,FALSE,"Schedule L-2";"Schedule L 3 (1)",#N/A,FALSE,"Schedule L-3 (1)";"Schedule L 3 (2)",#N/A,FALSE,"Schedule L-3 (2)";"Schedule L 3 (3)",#N/A,FALSE,"Schedule L-3 (3)";"Schedule L 3 (4)",#N/A,FALSE,"Schedule L-3 (4)";"Schedule L 3 (5)",#N/A,FALSE,"Schedule L-3 (5)";"Schedule l 1",#N/A,FALSE,"Schedule I-1";"Schedule l 2",#N/A,FALSE,"Schedule I-2";"Schedule l 3",#N/A,FALSE,"Schedule I-3";"Schedule l 4",#N/A,FALSE,"Schedule I-4";"Schedule L-4",#N/A,FALSE,"Schedule L-4";"Schedule l-5",#N/A,FALSE,"Anex 1"}</definedName>
    <definedName name="HR" localSheetId="3" hidden="1">{"Schedule A 1",#N/A,FALSE,"Schedule A-1";"Schedule A 2",#N/A,FALSE,"Schedule A-2";"Schedule A 3",#N/A,FALSE,"Schedule A-3";"Schedule A 4",#N/A,FALSE,"Schedule A-4";"Schedule A 5",#N/A,FALSE,"Schedule A-5";"Schedule L-1",#N/A,FALSE,"Schedule L-1";"Schedule A 6",#N/A,FALSE,"Schedule A-6";"Schedule L-2",#N/A,FALSE,"Schedule L-2";"Schedule L 3 (1)",#N/A,FALSE,"Schedule L-3 (1)";"Schedule L 3 (2)",#N/A,FALSE,"Schedule L-3 (2)";"Schedule L 3 (3)",#N/A,FALSE,"Schedule L-3 (3)";"Schedule L 3 (4)",#N/A,FALSE,"Schedule L-3 (4)";"Schedule L 3 (5)",#N/A,FALSE,"Schedule L-3 (5)";"Schedule l 1",#N/A,FALSE,"Schedule I-1";"Schedule l 2",#N/A,FALSE,"Schedule I-2";"Schedule l 3",#N/A,FALSE,"Schedule I-3";"Schedule l 4",#N/A,FALSE,"Schedule I-4";"Schedule L-4",#N/A,FALSE,"Schedule L-4";"Schedule l-5",#N/A,FALSE,"Anex 1"}</definedName>
    <definedName name="HR" localSheetId="4" hidden="1">{"Schedule A 1",#N/A,FALSE,"Schedule A-1";"Schedule A 2",#N/A,FALSE,"Schedule A-2";"Schedule A 3",#N/A,FALSE,"Schedule A-3";"Schedule A 4",#N/A,FALSE,"Schedule A-4";"Schedule A 5",#N/A,FALSE,"Schedule A-5";"Schedule L-1",#N/A,FALSE,"Schedule L-1";"Schedule A 6",#N/A,FALSE,"Schedule A-6";"Schedule L-2",#N/A,FALSE,"Schedule L-2";"Schedule L 3 (1)",#N/A,FALSE,"Schedule L-3 (1)";"Schedule L 3 (2)",#N/A,FALSE,"Schedule L-3 (2)";"Schedule L 3 (3)",#N/A,FALSE,"Schedule L-3 (3)";"Schedule L 3 (4)",#N/A,FALSE,"Schedule L-3 (4)";"Schedule L 3 (5)",#N/A,FALSE,"Schedule L-3 (5)";"Schedule l 1",#N/A,FALSE,"Schedule I-1";"Schedule l 2",#N/A,FALSE,"Schedule I-2";"Schedule l 3",#N/A,FALSE,"Schedule I-3";"Schedule l 4",#N/A,FALSE,"Schedule I-4";"Schedule L-4",#N/A,FALSE,"Schedule L-4";"Schedule l-5",#N/A,FALSE,"Anex 1"}</definedName>
    <definedName name="HR" localSheetId="5" hidden="1">{"Schedule A 1",#N/A,FALSE,"Schedule A-1";"Schedule A 2",#N/A,FALSE,"Schedule A-2";"Schedule A 3",#N/A,FALSE,"Schedule A-3";"Schedule A 4",#N/A,FALSE,"Schedule A-4";"Schedule A 5",#N/A,FALSE,"Schedule A-5";"Schedule L-1",#N/A,FALSE,"Schedule L-1";"Schedule A 6",#N/A,FALSE,"Schedule A-6";"Schedule L-2",#N/A,FALSE,"Schedule L-2";"Schedule L 3 (1)",#N/A,FALSE,"Schedule L-3 (1)";"Schedule L 3 (2)",#N/A,FALSE,"Schedule L-3 (2)";"Schedule L 3 (3)",#N/A,FALSE,"Schedule L-3 (3)";"Schedule L 3 (4)",#N/A,FALSE,"Schedule L-3 (4)";"Schedule L 3 (5)",#N/A,FALSE,"Schedule L-3 (5)";"Schedule l 1",#N/A,FALSE,"Schedule I-1";"Schedule l 2",#N/A,FALSE,"Schedule I-2";"Schedule l 3",#N/A,FALSE,"Schedule I-3";"Schedule l 4",#N/A,FALSE,"Schedule I-4";"Schedule L-4",#N/A,FALSE,"Schedule L-4";"Schedule l-5",#N/A,FALSE,"Anex 1"}</definedName>
    <definedName name="HTML_CodePage" hidden="1">1252</definedName>
    <definedName name="HTML_Control" localSheetId="1" hidden="1">{"'Índice'!$A$1:$K$49"}</definedName>
    <definedName name="HTML_Control" localSheetId="8" hidden="1">{"'RELATÓRIO'!$A$1:$E$20","'RELATÓRIO'!$A$22:$D$34","'INTERNET'!$A$31:$G$58","'INTERNET'!$A$1:$G$28","'SÉRIE HISTÓRICA'!$A$167:$H$212","'SÉRIE HISTÓRICA'!$A$56:$H$101"}</definedName>
    <definedName name="HTML_Control" localSheetId="2" hidden="1">{"'Índice'!$A$1:$K$49"}</definedName>
    <definedName name="HTML_Control" localSheetId="3" hidden="1">{"'Índice'!$A$1:$K$49"}</definedName>
    <definedName name="HTML_Description" hidden="1">""</definedName>
    <definedName name="HTML_Email" hidden="1">""</definedName>
    <definedName name="HTML_Header" localSheetId="8" hidden="1">""</definedName>
    <definedName name="HTML_Header" hidden="1">"Índice"</definedName>
    <definedName name="HTML_LastUpdate" localSheetId="8" hidden="1">""</definedName>
    <definedName name="HTML_LastUpdate" hidden="1">"12/08/1999"</definedName>
    <definedName name="HTML_LineAfter" hidden="1">FALSE</definedName>
    <definedName name="HTML_LineBefore" hidden="1">FALSE</definedName>
    <definedName name="HTML_Name" localSheetId="8" hidden="1">""</definedName>
    <definedName name="HTML_Name" hidden="1">"Rodovia das Cataratas"</definedName>
    <definedName name="HTML_OBDlg2" hidden="1">TRUE</definedName>
    <definedName name="HTML_OBDlg4" hidden="1">TRUE</definedName>
    <definedName name="HTML_OS" hidden="1">0</definedName>
    <definedName name="HTML_PathFile" localSheetId="8" hidden="1">"C:\DIVULGAÇÃO INPC IPCA 2001\inpc0501.htm"</definedName>
    <definedName name="HTML_PathFile" hidden="1">"\\Server_1\sig\07 Julho\Informe\MeuHTML.htm"</definedName>
    <definedName name="HTML_PathFileMac" hidden="1">"Macintosh HD:HomePageStuff:New_Home_Page:datafile:histret.html"</definedName>
    <definedName name="HTML_Title" localSheetId="8" hidden="1">""</definedName>
    <definedName name="HTML_Title" hidden="1">"Gerência de Administração e Controle de Gestão"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i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" localSheetId="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" localSheetId="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mob" localSheetId="1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imob" localSheetId="8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imob" localSheetId="2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imob" localSheetId="3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imob1" localSheetId="1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imob1" localSheetId="8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imob1" localSheetId="2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imob1" localSheetId="3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impresso" localSheetId="1" hidden="1">{#N/A,#N/A,FALSE,"Plan1";#N/A,#N/A,FALSE,"Plan2"}</definedName>
    <definedName name="impresso" localSheetId="8" hidden="1">{#N/A,#N/A,FALSE,"Plan1";#N/A,#N/A,FALSE,"Plan2"}</definedName>
    <definedName name="impresso" localSheetId="2" hidden="1">{#N/A,#N/A,FALSE,"Plan1";#N/A,#N/A,FALSE,"Plan2"}</definedName>
    <definedName name="impresso" localSheetId="3" hidden="1">{#N/A,#N/A,FALSE,"Plan1";#N/A,#N/A,FALSE,"Plan2"}</definedName>
    <definedName name="Inflación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flación" localSheetId="8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flación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flación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" localSheetId="8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m_Comput_Maio15" localSheetId="1" hidden="1">{"RRHH",#N/A,FALSE,"Por Dirección";"Operaciones",#N/A,FALSE,"Por Dirección";"Logística",#N/A,FALSE,"Por Dirección";"Comercial",#N/A,FALSE,"Por Dirección";"Administracion",#N/A,FALSE,"Por Dirección"}</definedName>
    <definedName name="Invem_Comput_Maio15" localSheetId="8" hidden="1">{"RRHH",#N/A,FALSE,"Por Dirección";"Operaciones",#N/A,FALSE,"Por Dirección";"Logística",#N/A,FALSE,"Por Dirección";"Comercial",#N/A,FALSE,"Por Dirección";"Administracion",#N/A,FALSE,"Por Dirección"}</definedName>
    <definedName name="Invem_Comput_Maio15" localSheetId="2" hidden="1">{"RRHH",#N/A,FALSE,"Por Dirección";"Operaciones",#N/A,FALSE,"Por Dirección";"Logística",#N/A,FALSE,"Por Dirección";"Comercial",#N/A,FALSE,"Por Dirección";"Administracion",#N/A,FALSE,"Por Dirección"}</definedName>
    <definedName name="Invem_Comput_Maio15" localSheetId="3" hidden="1">{"RRHH",#N/A,FALSE,"Por Dirección";"Operaciones",#N/A,FALSE,"Por Dirección";"Logística",#N/A,FALSE,"Por Dirección";"Comercial",#N/A,FALSE,"Por Dirección";"Administracion",#N/A,FALSE,"Por Dirección"}</definedName>
    <definedName name="inver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" localSheetId="8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" localSheetId="8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ón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ón" localSheetId="8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ón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ón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es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es" localSheetId="8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es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es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ROKERED_DEPOSITS_FDIC" hidden="1">"c6486"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V_RATE" hidden="1">"c2192"</definedName>
    <definedName name="IQ_CONVEYED_TO_OTHERS_FDIC" hidden="1">"c6534"</definedName>
    <definedName name="IQ_CORE_CAPITAL_RATIO_FDIC" hidden="1">"c6745"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STDDEV_EST" hidden="1">"c403"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ACT_EPS_PRIMARY" hidden="1">"c2232"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SURPRISE" hidden="1">"c1635"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"test"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_CIQ" hidden="1">"c3668"</definedName>
    <definedName name="IQ_FFO_HIGH_EST_CIQ" hidden="1">"c3670"</definedName>
    <definedName name="IQ_FFO_LOW_EST_CIQ" hidden="1">"c3671"</definedName>
    <definedName name="IQ_FFO_MEDIAN_EST_CIQ" hidden="1">"c3669"</definedName>
    <definedName name="IQ_FFO_NUM_EST_CIQ" hidden="1">"c3672"</definedName>
    <definedName name="IQ_FFO_STDDEV_EST_CIQ" hidden="1">"c3673"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S_DEBT_NET" hidden="1">"c1391"</definedName>
    <definedName name="IQ_ISS_STOCK_NET" hidden="1">"c1601"</definedName>
    <definedName name="IQ_ISSUED_GUARANTEED_US_FDIC" hidden="1">"c6404"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CAP" hidden="1">"c712"</definedName>
    <definedName name="IQ_MATURITY_ONE_YEAR_LESS_FDIC" hidden="1">"c6425"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localSheetId="8" hidden="1">"01/27/2021 19:06:49"</definedName>
    <definedName name="IQ_NAMES_REVISION_DATE_" hidden="1">40370.5992939815</definedName>
    <definedName name="IQ_NAMES_REVISION_DATE__1" hidden="1">42474.4936458333</definedName>
    <definedName name="IQ_NAV_ACT_OR_EST" hidden="1">"c2225"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CENT_CHANGE_EST_FFO_12MONTHS" hidden="1">"c1828"</definedName>
    <definedName name="IQ_PERCENT_CHANGE_EST_FFO_12MONTHS_CIQ" hidden="1">"c3769"</definedName>
    <definedName name="IQ_PERCENT_CHANGE_EST_FFO_18MONTHS" hidden="1">"c1829"</definedName>
    <definedName name="IQ_PERCENT_CHANGE_EST_FFO_18MONTHS_CIQ" hidden="1">"c3770"</definedName>
    <definedName name="IQ_PERCENT_CHANGE_EST_FFO_3MONTHS" hidden="1">"c1825"</definedName>
    <definedName name="IQ_PERCENT_CHANGE_EST_FFO_3MONTHS_CIQ" hidden="1">"c3766"</definedName>
    <definedName name="IQ_PERCENT_CHANGE_EST_FFO_6MONTHS" hidden="1">"c1826"</definedName>
    <definedName name="IQ_PERCENT_CHANGE_EST_FFO_6MONTHS_CIQ" hidden="1">"c3767"</definedName>
    <definedName name="IQ_PERCENT_CHANGE_EST_FFO_9MONTHS" hidden="1">"c1827"</definedName>
    <definedName name="IQ_PERCENT_CHANGE_EST_FFO_9MONTHS_CIQ" hidden="1">"c3768"</definedName>
    <definedName name="IQ_PERCENT_CHANGE_EST_FFO_DAY" hidden="1">"c1822"</definedName>
    <definedName name="IQ_PERCENT_CHANGE_EST_FFO_DAY_CIQ" hidden="1">"c3764"</definedName>
    <definedName name="IQ_PERCENT_CHANGE_EST_FFO_MONTH" hidden="1">"c1824"</definedName>
    <definedName name="IQ_PERCENT_CHANGE_EST_FFO_MONTH_CIQ" hidden="1">"c3765"</definedName>
    <definedName name="IQ_PERCENT_CHANGE_EST_FFO_WEEK" hidden="1">"c1823"</definedName>
    <definedName name="IQ_PERCENT_CHANGE_EST_FFO_WEEK_CIQ" hidden="1">"c3795"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RETURN_ASSETS_FDIC" hidden="1">"c6731"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EPS_TYPE_THOM" hidden="1">"c5297"</definedName>
    <definedName name="IQ_PRIMARY_INDUSTRY" hidden="1">"c1070"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ISSUE_LC_ACTION" hidden="1">"c2644"</definedName>
    <definedName name="IQ_SP_ISSUE_LC_DATE" hidden="1">"c2643"</definedName>
    <definedName name="IQ_SP_ISSUE_LC_LT" hidden="1">"c2645"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Z_SCORE" hidden="1">"c1339"</definedName>
    <definedName name="IQB_BOOKMARK_COUNT" hidden="1">1</definedName>
    <definedName name="IQB_BOOKMARK_LOCATION_0" hidden="1">#REF!</definedName>
    <definedName name="IQB_BOOKMARK_LOCATION_1" localSheetId="8" hidden="1">#REF!</definedName>
    <definedName name="IQB_BOOKMARK_LOCATION_1" hidden="1">#REF!</definedName>
    <definedName name="IQB_BOOKMARK_LOCATION_2" localSheetId="8" hidden="1">#REF!</definedName>
    <definedName name="IQB_BOOKMARK_LOCATION_2" hidden="1">#REF!</definedName>
    <definedName name="IQRB14" hidden="1">"$B$15:$B$518"</definedName>
    <definedName name="IQRB16" hidden="1">"$B$17:$B$520"</definedName>
    <definedName name="IQRB17" hidden="1">"$B$18:$B$78"</definedName>
    <definedName name="IQRB18" hidden="1">"$B$19:$B$522"</definedName>
    <definedName name="IQRBB17" hidden="1">"$BB$18:$BB$1299"</definedName>
    <definedName name="IQRBetaDATASHEETB17" hidden="1">#REF!</definedName>
    <definedName name="IQRC14" hidden="1">"$C$15:$C$119"</definedName>
    <definedName name="IQRCompaniesI12" hidden="1">#REF!</definedName>
    <definedName name="IQRCompaniesI13" localSheetId="8" hidden="1">#REF!</definedName>
    <definedName name="IQRCompaniesI13" hidden="1">#REF!</definedName>
    <definedName name="IQRCompaniesI14" localSheetId="8" hidden="1">#REF!</definedName>
    <definedName name="IQRCompaniesI14" hidden="1">#REF!</definedName>
    <definedName name="IQRCompaniesI15" hidden="1">#REF!</definedName>
    <definedName name="IQRCompaniesI16" hidden="1">#REF!</definedName>
    <definedName name="IQRCompaniesO12" hidden="1">#REF!</definedName>
    <definedName name="IQRCompaniesO13" hidden="1">#REF!</definedName>
    <definedName name="IQRCompaniesO14" hidden="1">#REF!</definedName>
    <definedName name="IQRCompaniesO15" hidden="1">#REF!</definedName>
    <definedName name="IQRCompaniesO16" hidden="1">#REF!</definedName>
    <definedName name="IQRD14" hidden="1">"$D$15:$D$38"</definedName>
    <definedName name="IQRH58" hidden="1">"$H$59:$H$65"</definedName>
    <definedName name="IQRInputTabC14" hidden="1">#REF!</definedName>
    <definedName name="IQRMA2A6" localSheetId="8" hidden="1">#REF!</definedName>
    <definedName name="IQRMA2A6" hidden="1">#REF!</definedName>
    <definedName name="IQRMAA6" localSheetId="8" hidden="1">#REF!</definedName>
    <definedName name="IQRMAA6" hidden="1">#REF!</definedName>
    <definedName name="IQRMACompanyIDA6" hidden="1">#REF!</definedName>
    <definedName name="IQRMATransactionIDA6" hidden="1">#REF!</definedName>
    <definedName name="IQRPeopleI12" hidden="1">#REF!</definedName>
    <definedName name="IQRPeopleI13" hidden="1">#REF!</definedName>
    <definedName name="IQRPeopleI14" hidden="1">#REF!</definedName>
    <definedName name="IQRPeopleI15" hidden="1">#REF!</definedName>
    <definedName name="IQRPeopleO12" hidden="1">#REF!</definedName>
    <definedName name="IQRPeopleO13" hidden="1">#REF!</definedName>
    <definedName name="IQRPeopleO14" hidden="1">#REF!</definedName>
    <definedName name="IQRPeopleO15" hidden="1">#REF!</definedName>
    <definedName name="IQRSheet1A10" hidden="1">#REF!</definedName>
    <definedName name="IQRSheet1B8" hidden="1">#REF!</definedName>
    <definedName name="IQRSheet1C10" hidden="1">#REF!</definedName>
    <definedName name="IQRU14" hidden="1">"$U$15:$U$266"</definedName>
    <definedName name="IRPJ98" localSheetId="1" hidden="1">{#N/A,#N/A,FALSE,"IR E CS 1997";#N/A,#N/A,FALSE,"PR ND";#N/A,#N/A,FALSE,"8191";#N/A,#N/A,FALSE,"8383";#N/A,#N/A,FALSE,"MP 1024";#N/A,#N/A,FALSE,"AD_EX_97";#N/A,#N/A,FALSE,"BD 97"}</definedName>
    <definedName name="IRPJ98" localSheetId="8" hidden="1">{#N/A,#N/A,FALSE,"IR E CS 1997";#N/A,#N/A,FALSE,"PR ND";#N/A,#N/A,FALSE,"8191";#N/A,#N/A,FALSE,"8383";#N/A,#N/A,FALSE,"MP 1024";#N/A,#N/A,FALSE,"AD_EX_97";#N/A,#N/A,FALSE,"BD 97"}</definedName>
    <definedName name="IRPJ98" localSheetId="2" hidden="1">{#N/A,#N/A,FALSE,"IR E CS 1997";#N/A,#N/A,FALSE,"PR ND";#N/A,#N/A,FALSE,"8191";#N/A,#N/A,FALSE,"8383";#N/A,#N/A,FALSE,"MP 1024";#N/A,#N/A,FALSE,"AD_EX_97";#N/A,#N/A,FALSE,"BD 97"}</definedName>
    <definedName name="IRPJ98" localSheetId="3" hidden="1">{#N/A,#N/A,FALSE,"IR E CS 1997";#N/A,#N/A,FALSE,"PR ND";#N/A,#N/A,FALSE,"8191";#N/A,#N/A,FALSE,"8383";#N/A,#N/A,FALSE,"MP 1024";#N/A,#N/A,FALSE,"AD_EX_97";#N/A,#N/A,FALSE,"BD 97"}</definedName>
    <definedName name="IsColHidden" hidden="1">FALSE</definedName>
    <definedName name="IsLTMColHidden" hidden="1">FALSE</definedName>
    <definedName name="iudfhglafjibglsdbj" localSheetId="1" hidden="1">{"tabela",#N/A,FALSE,"Tabela";"decoração",#N/A,FALSE,"Decor.";"Informações",#N/A,FALSE,"Inform."}</definedName>
    <definedName name="iudfhglafjibglsdbj" localSheetId="8" hidden="1">{"tabela",#N/A,FALSE,"Tabela";"decoração",#N/A,FALSE,"Decor.";"Informações",#N/A,FALSE,"Inform."}</definedName>
    <definedName name="iudfhglafjibglsdbj" localSheetId="2" hidden="1">{"tabela",#N/A,FALSE,"Tabela";"decoração",#N/A,FALSE,"Decor.";"Informações",#N/A,FALSE,"Inform."}</definedName>
    <definedName name="iudfhglafjibglsdbj" localSheetId="3" hidden="1">{"tabela",#N/A,FALSE,"Tabela";"decoração",#N/A,FALSE,"Decor.";"Informações",#N/A,FALSE,"Inform."}</definedName>
    <definedName name="J" hidden="1">#REF!</definedName>
    <definedName name="jad" localSheetId="1" hidden="1">{#N/A,"30% Success",TRUE,"Sales Forecast";#N/A,#N/A,TRUE,"Sheet2"}</definedName>
    <definedName name="jad" localSheetId="8" hidden="1">{#N/A,"30% Success",TRUE,"Sales Forecast";#N/A,#N/A,TRUE,"Sheet2"}</definedName>
    <definedName name="jad" localSheetId="2" hidden="1">{#N/A,"30% Success",TRUE,"Sales Forecast";#N/A,#N/A,TRUE,"Sheet2"}</definedName>
    <definedName name="jad" localSheetId="3" hidden="1">{#N/A,"30% Success",TRUE,"Sales Forecast";#N/A,#N/A,TRUE,"Sheet2"}</definedName>
    <definedName name="joaquim" localSheetId="1" hidden="1">{#N/A,"100% Success",TRUE,"Sales Forecast";#N/A,#N/A,TRUE,"Sheet2"}</definedName>
    <definedName name="joaquim" localSheetId="8" hidden="1">{#N/A,"100% Success",TRUE,"Sales Forecast";#N/A,#N/A,TRUE,"Sheet2"}</definedName>
    <definedName name="joaquim" localSheetId="2" hidden="1">{#N/A,"100% Success",TRUE,"Sales Forecast";#N/A,#N/A,TRUE,"Sheet2"}</definedName>
    <definedName name="joaquim" localSheetId="3" hidden="1">{#N/A,"100% Success",TRUE,"Sales Forecast";#N/A,#N/A,TRUE,"Sheet2"}</definedName>
    <definedName name="K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K" localSheetId="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K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K" localSheetId="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klekrioor" hidden="1">#N/A</definedName>
    <definedName name="kljflksjk" localSheetId="1" hidden="1">{#N/A,#N/A,FALSE,"SIM95"}</definedName>
    <definedName name="kljflksjk" localSheetId="8" hidden="1">{#N/A,#N/A,FALSE,"SIM95"}</definedName>
    <definedName name="kljflksjk" localSheetId="2" hidden="1">{#N/A,#N/A,FALSE,"SIM95"}</definedName>
    <definedName name="kljflksjk" localSheetId="3" hidden="1">{#N/A,#N/A,FALSE,"SIM95"}</definedName>
    <definedName name="KLKKLKÇJÇ" localSheetId="1" hidden="1">{#N/A,#N/A,FALSE,"Plan1";#N/A,#N/A,FALSE,"Plan2"}</definedName>
    <definedName name="KLKKLKÇJÇ" localSheetId="8" hidden="1">{#N/A,#N/A,FALSE,"Plan1";#N/A,#N/A,FALSE,"Plan2"}</definedName>
    <definedName name="KLKKLKÇJÇ" localSheetId="2" hidden="1">{#N/A,#N/A,FALSE,"Plan1";#N/A,#N/A,FALSE,"Plan2"}</definedName>
    <definedName name="KLKKLKÇJÇ" localSheetId="3" hidden="1">{#N/A,#N/A,FALSE,"Plan1";#N/A,#N/A,FALSE,"Plan2"}</definedName>
    <definedName name="klmn" localSheetId="1" hidden="1">{#N/A,#N/A,FALSE,"Bericht 2";#N/A,#N/A,FALSE,"Bericht 3";#N/A,#N/A,FALSE,"Bericht 1"}</definedName>
    <definedName name="klmn" localSheetId="8" hidden="1">{#N/A,#N/A,FALSE,"Bericht 2";#N/A,#N/A,FALSE,"Bericht 3";#N/A,#N/A,FALSE,"Bericht 1"}</definedName>
    <definedName name="klmn" localSheetId="2" hidden="1">{#N/A,#N/A,FALSE,"Bericht 2";#N/A,#N/A,FALSE,"Bericht 3";#N/A,#N/A,FALSE,"Bericht 1"}</definedName>
    <definedName name="klmn" localSheetId="3" hidden="1">{#N/A,#N/A,FALSE,"Bericht 2";#N/A,#N/A,FALSE,"Bericht 3";#N/A,#N/A,FALSE,"Bericht 1"}</definedName>
    <definedName name="Kraft" localSheetId="1" hidden="1">{#N/A,#N/A,FALSE,"changes";#N/A,#N/A,FALSE,"Assumptions";"view1",#N/A,FALSE,"BE Analysis";"view2",#N/A,FALSE,"BE Analysis";#N/A,#N/A,FALSE,"DCF Calculation - Scenario 1";"Dollar",#N/A,FALSE,"Consolidated - Scenario 1";"CS",#N/A,FALSE,"Consolidated - Scenario 1"}</definedName>
    <definedName name="Kraft" localSheetId="8" hidden="1">{#N/A,#N/A,FALSE,"changes";#N/A,#N/A,FALSE,"Assumptions";"view1",#N/A,FALSE,"BE Analysis";"view2",#N/A,FALSE,"BE Analysis";#N/A,#N/A,FALSE,"DCF Calculation - Scenario 1";"Dollar",#N/A,FALSE,"Consolidated - Scenario 1";"CS",#N/A,FALSE,"Consolidated - Scenario 1"}</definedName>
    <definedName name="Kraft" localSheetId="2" hidden="1">{#N/A,#N/A,FALSE,"changes";#N/A,#N/A,FALSE,"Assumptions";"view1",#N/A,FALSE,"BE Analysis";"view2",#N/A,FALSE,"BE Analysis";#N/A,#N/A,FALSE,"DCF Calculation - Scenario 1";"Dollar",#N/A,FALSE,"Consolidated - Scenario 1";"CS",#N/A,FALSE,"Consolidated - Scenario 1"}</definedName>
    <definedName name="Kraft" localSheetId="3" hidden="1">{#N/A,#N/A,FALSE,"changes";#N/A,#N/A,FALSE,"Assumptions";"view1",#N/A,FALSE,"BE Analysis";"view2",#N/A,FALSE,"BE Analysis";#N/A,#N/A,FALSE,"DCF Calculation - Scenario 1";"Dollar",#N/A,FALSE,"Consolidated - Scenario 1";"CS",#N/A,FALSE,"Consolidated - Scenario 1"}</definedName>
    <definedName name="lbla1" hidden="1">#REF!</definedName>
    <definedName name="lbla10" hidden="1">#REF!</definedName>
    <definedName name="lbla11" hidden="1">#REF!</definedName>
    <definedName name="lbla12" hidden="1">#REF!</definedName>
    <definedName name="lbla13" hidden="1">#REF!</definedName>
    <definedName name="lbla14" hidden="1">#REF!</definedName>
    <definedName name="lbla15" hidden="1">#REF!</definedName>
    <definedName name="lbla16" hidden="1">#REF!</definedName>
    <definedName name="lbla17" hidden="1">#REF!</definedName>
    <definedName name="lbla18" hidden="1">#REF!</definedName>
    <definedName name="lbla19" hidden="1">#REF!</definedName>
    <definedName name="lbla2" hidden="1">#REF!</definedName>
    <definedName name="lbla20" hidden="1">#REF!</definedName>
    <definedName name="lbla21" hidden="1">#REF!</definedName>
    <definedName name="lbla22" hidden="1">#REF!</definedName>
    <definedName name="lbla23" hidden="1">#REF!</definedName>
    <definedName name="lbla24" hidden="1">#REF!</definedName>
    <definedName name="lbla25" hidden="1">#REF!</definedName>
    <definedName name="lbla27" hidden="1">#REF!</definedName>
    <definedName name="lbla28" hidden="1">#REF!</definedName>
    <definedName name="limcount" hidden="1">1</definedName>
    <definedName name="ListOffset" hidden="1">1</definedName>
    <definedName name="ll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" localSheetId="8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LLLLLLLLLLLLLLLLLL" localSheetId="8" hidden="1">#REF!</definedName>
    <definedName name="LLLLLLLLLLLLLLLLLLLL" hidden="1">#REF!</definedName>
    <definedName name="lo" localSheetId="1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lo" localSheetId="8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lo" localSheetId="2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lo" localSheetId="3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LOCAL_MYSQL_DATE_FORMAT" hidden="1">#N/A</definedName>
    <definedName name="Loss_Anexo" localSheetId="1" hidden="1">{#N/A,#N/A,FALSE,"SIM95"}</definedName>
    <definedName name="Loss_Anexo" localSheetId="8" hidden="1">{#N/A,#N/A,FALSE,"SIM95"}</definedName>
    <definedName name="Loss_Anexo" localSheetId="2" hidden="1">{#N/A,#N/A,FALSE,"SIM95"}</definedName>
    <definedName name="Loss_Anexo" localSheetId="3" hidden="1">{#N/A,#N/A,FALSE,"SIM95"}</definedName>
    <definedName name="Loss_Anexo2" localSheetId="1" hidden="1">{#N/A,#N/A,FALSE,"SIM95"}</definedName>
    <definedName name="Loss_Anexo2" localSheetId="8" hidden="1">{#N/A,#N/A,FALSE,"SIM95"}</definedName>
    <definedName name="Loss_Anexo2" localSheetId="2" hidden="1">{#N/A,#N/A,FALSE,"SIM95"}</definedName>
    <definedName name="Loss_Anexo2" localSheetId="3" hidden="1">{#N/A,#N/A,FALSE,"SIM95"}</definedName>
    <definedName name="Loss_Anexo3" localSheetId="1" hidden="1">{#N/A,#N/A,FALSE,"SIM95"}</definedName>
    <definedName name="Loss_Anexo3" localSheetId="8" hidden="1">{#N/A,#N/A,FALSE,"SIM95"}</definedName>
    <definedName name="Loss_Anexo3" localSheetId="2" hidden="1">{#N/A,#N/A,FALSE,"SIM95"}</definedName>
    <definedName name="Loss_Anexo3" localSheetId="3" hidden="1">{#N/A,#N/A,FALSE,"SIM95"}</definedName>
    <definedName name="LoteBonito2" localSheetId="1" hidden="1">{"'Resumo2'!$B$2:$J$23"}</definedName>
    <definedName name="LoteBonito2" localSheetId="8" hidden="1">{"'Resumo2'!$B$2:$J$23"}</definedName>
    <definedName name="LoteBonito2" localSheetId="2" hidden="1">{"'Resumo2'!$B$2:$J$23"}</definedName>
    <definedName name="LoteBonito2" localSheetId="3" hidden="1">{"'Resumo2'!$B$2:$J$23"}</definedName>
    <definedName name="MAIO" localSheetId="6" hidden="1">Main.SAPF4Help()</definedName>
    <definedName name="MAIO" localSheetId="7" hidden="1">Main.SAPF4Help()</definedName>
    <definedName name="MAIO" localSheetId="1" hidden="1">Main.SAPF4Help()</definedName>
    <definedName name="MAIO" localSheetId="8" hidden="1">Main.SAPF4Help()</definedName>
    <definedName name="MAIO" localSheetId="2" hidden="1">Main.SAPF4Help()</definedName>
    <definedName name="MAIO" localSheetId="3" hidden="1">Main.SAPF4Help()</definedName>
    <definedName name="MAIO" localSheetId="4" hidden="1">Main.SAPF4Help()</definedName>
    <definedName name="MAIO" localSheetId="5" hidden="1">Main.SAPF4Help()</definedName>
    <definedName name="mar" localSheetId="1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ar" localSheetId="8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ar" localSheetId="2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ar" localSheetId="3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arcio_1" localSheetId="1" hidden="1">#REF!-1 &amp; "." &amp; MAX(1,COUNTA(INDEX(#REF!,MATCH(#REF!-1,#REF!,FALSE)):#REF!))</definedName>
    <definedName name="Marcio_1" localSheetId="8" hidden="1">#REF!-1 &amp; "." &amp; MAX(1,COUNTA(INDEX(#REF!,MATCH(#REF!-1,#REF!,FALSE)):#REF!))</definedName>
    <definedName name="Marcio_1" hidden="1">#REF!-1 &amp; "." &amp; MAX(1,COUNTA(INDEX(#REF!,MATCH(#REF!-1,#REF!,FALSE)):#REF!))</definedName>
    <definedName name="Marcio_2" localSheetId="1" hidden="1">#REF!-1 &amp; "." &amp; MAX(1,COUNTA(INDEX(#REF!,MATCH(#REF!-1,#REF!,FALSE)):#REF!))</definedName>
    <definedName name="Marcio_2" localSheetId="8" hidden="1">#REF!-1 &amp; "." &amp; MAX(1,COUNTA(INDEX(#REF!,MATCH(#REF!-1,#REF!,FALSE)):#REF!))</definedName>
    <definedName name="Marcio_2" hidden="1">#REF!-1 &amp; "." &amp; MAX(1,COUNTA(INDEX(#REF!,MATCH(#REF!-1,#REF!,FALSE)):#REF!))</definedName>
    <definedName name="Marcio_3" localSheetId="1" hidden="1">#REF!-1 &amp; "." &amp; MAX(1,COUNTA(INDEX(#REF!,MATCH(#REF!-1,#REF!,FALSE)):#REF!))</definedName>
    <definedName name="Marcio_3" localSheetId="8" hidden="1">#REF!-1 &amp; "." &amp; MAX(1,COUNTA(INDEX(#REF!,MATCH(#REF!-1,#REF!,FALSE)):#REF!))</definedName>
    <definedName name="Marcio_3" hidden="1">#REF!-1 &amp; "." &amp; MAX(1,COUNTA(INDEX(#REF!,MATCH(#REF!-1,#REF!,FALSE)):#REF!))</definedName>
    <definedName name="Marcio_4" localSheetId="8" hidden="1">#REF!-1 &amp; "." &amp; MAX(1,COUNTA(INDEX(#REF!,MATCH(#REF!-1,#REF!,FALSE)):#REF!))</definedName>
    <definedName name="Marcio_4" hidden="1">#REF!-1 &amp; "." &amp; MAX(1,COUNTA(INDEX(#REF!,MATCH(#REF!-1,#REF!,FALSE)):#REF!))</definedName>
    <definedName name="Marcio_5" localSheetId="8" hidden="1">#REF!-1 &amp; "." &amp; MAX(1,COUNTA(INDEX(#REF!,MATCH(#REF!-1,#REF!,FALSE)):#REF!))</definedName>
    <definedName name="Marcio_5" hidden="1">#REF!-1 &amp; "." &amp; MAX(1,COUNTA(INDEX(#REF!,MATCH(#REF!-1,#REF!,FALSE)):#REF!))</definedName>
    <definedName name="market" localSheetId="1" hidden="1">{#N/A,"70% Success",FALSE,"Sales Forecast";#N/A,#N/A,FALSE,"Sheet2"}</definedName>
    <definedName name="market" localSheetId="8" hidden="1">{#N/A,"70% Success",FALSE,"Sales Forecast";#N/A,#N/A,FALSE,"Sheet2"}</definedName>
    <definedName name="market" localSheetId="2" hidden="1">{#N/A,"70% Success",FALSE,"Sales Forecast";#N/A,#N/A,FALSE,"Sheet2"}</definedName>
    <definedName name="market" localSheetId="3" hidden="1">{#N/A,"70% Success",FALSE,"Sales Forecast";#N/A,#N/A,FALSE,"Sheet2"}</definedName>
    <definedName name="marzo" localSheetId="1" hidden="1">{#N/A,#N/A,FALSE,"Acum Julio - 00"}</definedName>
    <definedName name="marzo" localSheetId="8" hidden="1">{#N/A,#N/A,FALSE,"Acum Julio - 00"}</definedName>
    <definedName name="marzo" localSheetId="2" hidden="1">{#N/A,#N/A,FALSE,"Acum Julio - 00"}</definedName>
    <definedName name="marzo" localSheetId="3" hidden="1">{#N/A,#N/A,FALSE,"Acum Julio - 00"}</definedName>
    <definedName name="marzo1" localSheetId="1" hidden="1">{#N/A,#N/A,FALSE,"Acum Julio - 00"}</definedName>
    <definedName name="marzo1" localSheetId="8" hidden="1">{#N/A,#N/A,FALSE,"Acum Julio - 00"}</definedName>
    <definedName name="marzo1" localSheetId="2" hidden="1">{#N/A,#N/A,FALSE,"Acum Julio - 00"}</definedName>
    <definedName name="marzo1" localSheetId="3" hidden="1">{#N/A,#N/A,FALSE,"Acum Julio - 00"}</definedName>
    <definedName name="Matservfabrica" localSheetId="1" hidden="1">{"'Edit'!$A$1:$V$2277"}</definedName>
    <definedName name="Matservfabrica" localSheetId="8" hidden="1">{"'Edit'!$A$1:$V$2277"}</definedName>
    <definedName name="Matservfabrica" localSheetId="2" hidden="1">{"'Edit'!$A$1:$V$2277"}</definedName>
    <definedName name="Matservfabrica" localSheetId="3" hidden="1">{"'Edit'!$A$1:$V$2277"}</definedName>
    <definedName name="mee" localSheetId="1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mee" localSheetId="8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mee" localSheetId="2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mee" localSheetId="3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meoi" localSheetId="1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eoi" localSheetId="8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eoi" localSheetId="2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eoi" localSheetId="3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es" localSheetId="1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mes" localSheetId="8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mes" localSheetId="2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mes" localSheetId="3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mmm" localSheetId="1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mmm" localSheetId="8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mmm" localSheetId="2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mmm" localSheetId="3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mmmmm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" localSheetId="8" hidden="1">{"tabela",#N/A,FALSE,"Tabela";"decoração",#N/A,FALSE,"Decor.";"Informações",#N/A,FALSE,"Inform."}</definedName>
    <definedName name="mmmmm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mm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udança" hidden="1">#REF!</definedName>
    <definedName name="NNN" localSheetId="1" hidden="1">{#N/A,#N/A,FALSE,"Aging Summary";#N/A,#N/A,FALSE,"Ratio Analysis";#N/A,#N/A,FALSE,"Test 120 Day Accts";#N/A,#N/A,FALSE,"Tickmarks"}</definedName>
    <definedName name="NNN" localSheetId="8" hidden="1">{#N/A,#N/A,FALSE,"Aging Summary";#N/A,#N/A,FALSE,"Ratio Analysis";#N/A,#N/A,FALSE,"Test 120 Day Accts";#N/A,#N/A,FALSE,"Tickmarks"}</definedName>
    <definedName name="NNN" localSheetId="2" hidden="1">{#N/A,#N/A,FALSE,"Aging Summary";#N/A,#N/A,FALSE,"Ratio Analysis";#N/A,#N/A,FALSE,"Test 120 Day Accts";#N/A,#N/A,FALSE,"Tickmarks"}</definedName>
    <definedName name="NNN" localSheetId="3" hidden="1">{#N/A,#N/A,FALSE,"Aging Summary";#N/A,#N/A,FALSE,"Ratio Analysis";#N/A,#N/A,FALSE,"Test 120 Day Accts";#N/A,#N/A,FALSE,"Tickmarks"}</definedName>
    <definedName name="nnnn" localSheetId="1" hidden="1">{#N/A,#N/A,FALSE,"Acum Julio - 00"}</definedName>
    <definedName name="nnnn" localSheetId="8" hidden="1">{#N/A,#N/A,FALSE,"Acum Julio - 00"}</definedName>
    <definedName name="nnnn" localSheetId="2" hidden="1">{#N/A,#N/A,FALSE,"Acum Julio - 00"}</definedName>
    <definedName name="nnnn" localSheetId="3" hidden="1">{#N/A,#N/A,FALSE,"Acum Julio - 00"}</definedName>
    <definedName name="NOME2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localSheetId="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localSheetId="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localSheetId="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localSheetId="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localSheetId="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localSheetId="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localSheetId="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localSheetId="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u" localSheetId="1" hidden="1">{#N/A,#N/A,FALSE,"VENTAS";#N/A,#N/A,FALSE,"U. BRUTA";#N/A,#N/A,FALSE,"G. PERSONAL";#N/A,#N/A,FALSE,"G. OPERACION";#N/A,#N/A,FALSE,"G. DEPYAM";#N/A,#N/A,FALSE,"INGRESOS";#N/A,#N/A,FALSE,"G.o P.1";#N/A,#N/A,FALSE,"3%Informe Junta";#N/A,#N/A,FALSE,"P Y G (2)";#N/A,#N/A,FALSE,"CART. PROV.";#N/A,#N/A,FALSE,"Usecmes";#N/A,#N/A,FALSE,"Usecacu"}</definedName>
    <definedName name="nu" localSheetId="8" hidden="1">{#N/A,#N/A,FALSE,"VENTAS";#N/A,#N/A,FALSE,"U. BRUTA";#N/A,#N/A,FALSE,"G. PERSONAL";#N/A,#N/A,FALSE,"G. OPERACION";#N/A,#N/A,FALSE,"G. DEPYAM";#N/A,#N/A,FALSE,"INGRESOS";#N/A,#N/A,FALSE,"G.o P.1";#N/A,#N/A,FALSE,"3%Informe Junta";#N/A,#N/A,FALSE,"P Y G (2)";#N/A,#N/A,FALSE,"CART. PROV.";#N/A,#N/A,FALSE,"Usecmes";#N/A,#N/A,FALSE,"Usecacu"}</definedName>
    <definedName name="nu" localSheetId="2" hidden="1">{#N/A,#N/A,FALSE,"VENTAS";#N/A,#N/A,FALSE,"U. BRUTA";#N/A,#N/A,FALSE,"G. PERSONAL";#N/A,#N/A,FALSE,"G. OPERACION";#N/A,#N/A,FALSE,"G. DEPYAM";#N/A,#N/A,FALSE,"INGRESOS";#N/A,#N/A,FALSE,"G.o P.1";#N/A,#N/A,FALSE,"3%Informe Junta";#N/A,#N/A,FALSE,"P Y G (2)";#N/A,#N/A,FALSE,"CART. PROV.";#N/A,#N/A,FALSE,"Usecmes";#N/A,#N/A,FALSE,"Usecacu"}</definedName>
    <definedName name="nu" localSheetId="3" hidden="1">{#N/A,#N/A,FALSE,"VENTAS";#N/A,#N/A,FALSE,"U. BRUTA";#N/A,#N/A,FALSE,"G. PERSONAL";#N/A,#N/A,FALSE,"G. OPERACION";#N/A,#N/A,FALSE,"G. DEPYAM";#N/A,#N/A,FALSE,"INGRESOS";#N/A,#N/A,FALSE,"G.o P.1";#N/A,#N/A,FALSE,"3%Informe Junta";#N/A,#N/A,FALSE,"P Y G (2)";#N/A,#N/A,FALSE,"CART. PROV.";#N/A,#N/A,FALSE,"Usecmes";#N/A,#N/A,FALSE,"Usecacu"}</definedName>
    <definedName name="NumofGrpAccts" hidden="1">2</definedName>
    <definedName name="nvnvnvnv" localSheetId="1" hidden="1">{#N/A,#N/A,FALSE,"Aging Summary";#N/A,#N/A,FALSE,"Ratio Analysis";#N/A,#N/A,FALSE,"Test 120 Day Accts";#N/A,#N/A,FALSE,"Tickmarks"}</definedName>
    <definedName name="nvnvnvnv" localSheetId="8" hidden="1">{#N/A,#N/A,FALSE,"Aging Summary";#N/A,#N/A,FALSE,"Ratio Analysis";#N/A,#N/A,FALSE,"Test 120 Day Accts";#N/A,#N/A,FALSE,"Tickmarks"}</definedName>
    <definedName name="nvnvnvnv" localSheetId="2" hidden="1">{#N/A,#N/A,FALSE,"Aging Summary";#N/A,#N/A,FALSE,"Ratio Analysis";#N/A,#N/A,FALSE,"Test 120 Day Accts";#N/A,#N/A,FALSE,"Tickmarks"}</definedName>
    <definedName name="nvnvnvnv" localSheetId="3" hidden="1">{#N/A,#N/A,FALSE,"Aging Summary";#N/A,#N/A,FALSE,"Ratio Analysis";#N/A,#N/A,FALSE,"Test 120 Day Accts";#N/A,#N/A,FALSE,"Tickmarks"}</definedName>
    <definedName name="o" localSheetId="1" hidden="1">{#N/A,#N/A,FALSE,"New Depr Sch-150% DB";#N/A,#N/A,FALSE,"Cash Flows RLP";#N/A,#N/A,FALSE,"IRR";#N/A,#N/A,FALSE,"Proforma IS";#N/A,#N/A,FALSE,"Assumptions"}</definedName>
    <definedName name="o" localSheetId="8" hidden="1">{#N/A,#N/A,FALSE,"New Depr Sch-150% DB";#N/A,#N/A,FALSE,"Cash Flows RLP";#N/A,#N/A,FALSE,"IRR";#N/A,#N/A,FALSE,"Proforma IS";#N/A,#N/A,FALSE,"Assumptions"}</definedName>
    <definedName name="o" localSheetId="2" hidden="1">{#N/A,#N/A,FALSE,"New Depr Sch-150% DB";#N/A,#N/A,FALSE,"Cash Flows RLP";#N/A,#N/A,FALSE,"IRR";#N/A,#N/A,FALSE,"Proforma IS";#N/A,#N/A,FALSE,"Assumptions"}</definedName>
    <definedName name="o" localSheetId="3" hidden="1">{#N/A,#N/A,FALSE,"New Depr Sch-150% DB";#N/A,#N/A,FALSE,"Cash Flows RLP";#N/A,#N/A,FALSE,"IRR";#N/A,#N/A,FALSE,"Proforma IS";#N/A,#N/A,FALSE,"Assumptions"}</definedName>
    <definedName name="OA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A" localSheetId="8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A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A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rigen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rigen" localSheetId="8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rigen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rigen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P" localSheetId="1" hidden="1">{#N/A,#N/A,FALSE,"Acum Julio - 00"}</definedName>
    <definedName name="P" localSheetId="8" hidden="1">{#N/A,#N/A,FALSE,"Acum Julio - 00"}</definedName>
    <definedName name="P" localSheetId="2" hidden="1">{#N/A,#N/A,FALSE,"Acum Julio - 00"}</definedName>
    <definedName name="P" localSheetId="3" hidden="1">{#N/A,#N/A,FALSE,"Acum Julio - 00"}</definedName>
    <definedName name="PASTA" hidden="1">#REF!</definedName>
    <definedName name="payback_schedule" localSheetId="1" hidden="1">{#N/A,#N/A,FALSE,"Bene";#N/A,#N/A,FALSE,"Scen1"}</definedName>
    <definedName name="payback_schedule" localSheetId="8" hidden="1">{#N/A,#N/A,FALSE,"Bene";#N/A,#N/A,FALSE,"Scen1"}</definedName>
    <definedName name="payback_schedule" localSheetId="2" hidden="1">{#N/A,#N/A,FALSE,"Bene";#N/A,#N/A,FALSE,"Scen1"}</definedName>
    <definedName name="payback_schedule" localSheetId="3" hidden="1">{#N/A,#N/A,FALSE,"Bene";#N/A,#N/A,FALSE,"Scen1"}</definedName>
    <definedName name="pedro" localSheetId="1" hidden="1">{#N/A,"30% Success",TRUE,"Sales Forecast";#N/A,#N/A,TRUE,"Sheet2"}</definedName>
    <definedName name="pedro" localSheetId="8" hidden="1">{#N/A,"30% Success",TRUE,"Sales Forecast";#N/A,#N/A,TRUE,"Sheet2"}</definedName>
    <definedName name="pedro" localSheetId="2" hidden="1">{#N/A,"30% Success",TRUE,"Sales Forecast";#N/A,#N/A,TRUE,"Sheet2"}</definedName>
    <definedName name="pedro" localSheetId="3" hidden="1">{#N/A,"30% Success",TRUE,"Sales Forecast";#N/A,#N/A,TRUE,"Sheet2"}</definedName>
    <definedName name="Personnel" localSheetId="6" hidden="1">{"ASSETS",#N/A,TRUE,"Assets";"LIABILITIES",#N/A,TRUE,"Liab&amp;Equity";"INCOME STATEMENT",#N/A,TRUE,"IncStatement"}</definedName>
    <definedName name="Personnel" localSheetId="7" hidden="1">{"ASSETS",#N/A,TRUE,"Assets";"LIABILITIES",#N/A,TRUE,"Liab&amp;Equity";"INCOME STATEMENT",#N/A,TRUE,"IncStatement"}</definedName>
    <definedName name="Personnel" localSheetId="1" hidden="1">{"ASSETS",#N/A,TRUE,"Assets";"LIABILITIES",#N/A,TRUE,"Liab&amp;Equity";"INCOME STATEMENT",#N/A,TRUE,"IncStatement"}</definedName>
    <definedName name="Personnel" localSheetId="8" hidden="1">{"ASSETS",#N/A,TRUE,"Assets";"LIABILITIES",#N/A,TRUE,"Liab&amp;Equity";"INCOME STATEMENT",#N/A,TRUE,"IncStatement"}</definedName>
    <definedName name="Personnel" localSheetId="2" hidden="1">{"ASSETS",#N/A,TRUE,"Assets";"LIABILITIES",#N/A,TRUE,"Liab&amp;Equity";"INCOME STATEMENT",#N/A,TRUE,"IncStatement"}</definedName>
    <definedName name="Personnel" localSheetId="3" hidden="1">{"ASSETS",#N/A,TRUE,"Assets";"LIABILITIES",#N/A,TRUE,"Liab&amp;Equity";"INCOME STATEMENT",#N/A,TRUE,"IncStatement"}</definedName>
    <definedName name="Personnel" localSheetId="4" hidden="1">{"ASSETS",#N/A,TRUE,"Assets";"LIABILITIES",#N/A,TRUE,"Liab&amp;Equity";"INCOME STATEMENT",#N/A,TRUE,"IncStatement"}</definedName>
    <definedName name="Personnel" localSheetId="5" hidden="1">{"ASSETS",#N/A,TRUE,"Assets";"LIABILITIES",#N/A,TRUE,"Liab&amp;Equity";"INCOME STATEMENT",#N/A,TRUE,"IncStatement"}</definedName>
    <definedName name="ppp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pp" localSheetId="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pp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pp" localSheetId="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RELIM_TM" hidden="1">#REF!</definedName>
    <definedName name="Proforma" hidden="1">#REF!</definedName>
    <definedName name="Proforma1" hidden="1">#REF!</definedName>
    <definedName name="q" localSheetId="6" hidden="1">Main.SAPF4Help()</definedName>
    <definedName name="q" localSheetId="7" hidden="1">Main.SAPF4Help()</definedName>
    <definedName name="q" localSheetId="1" hidden="1">Main.SAPF4Help()</definedName>
    <definedName name="q" localSheetId="8" hidden="1">#REF!</definedName>
    <definedName name="q" localSheetId="2" hidden="1">Main.SAPF4Help()</definedName>
    <definedName name="q" localSheetId="3" hidden="1">Main.SAPF4Help()</definedName>
    <definedName name="q" localSheetId="4" hidden="1">Main.SAPF4Help()</definedName>
    <definedName name="q" localSheetId="5" hidden="1">Main.SAPF4Help()</definedName>
    <definedName name="qq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" localSheetId="8" hidden="1">#REF!</definedName>
    <definedName name="qq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" localSheetId="8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" localSheetId="8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" localSheetId="8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q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" localSheetId="8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" localSheetId="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" localSheetId="8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" localSheetId="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q" localSheetId="1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" localSheetId="8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" localSheetId="2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" localSheetId="3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q" localSheetId="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" localSheetId="8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" localSheetId="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" localSheetId="3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Rafael" hidden="1">#REF!</definedName>
    <definedName name="RESERVED_DATA" hidden="1">#REF!</definedName>
    <definedName name="RESUMO1" localSheetId="1" hidden="1">{#N/A,"Tabelas de quantidade",FALSE,"Entradas";"CLIENTE",#N/A,FALSE,"HW";"CLIENTE",#N/A,FALSE,"SW";"CLIENTE",#N/A,FALSE,"TELESSUP.";"CLIENTE",#N/A,FALSE,"DCN &amp; Acess";"CLIENTE",#N/A,FALSE,"Sobressalentes";"CLIENTE",#N/A,FALSE,"Mat. Instal.";"CLIENTE",#N/A,FALSE,"Doc. Técnica";"CLIENTE",#N/A,FALSE,"Serviços";"CLIENTE",#N/A,FALSE,"Treinamento"}</definedName>
    <definedName name="RESUMO1" localSheetId="8" hidden="1">{#N/A,"Tabelas de quantidade",FALSE,"Entradas";"CLIENTE",#N/A,FALSE,"HW";"CLIENTE",#N/A,FALSE,"SW";"CLIENTE",#N/A,FALSE,"TELESSUP.";"CLIENTE",#N/A,FALSE,"DCN &amp; Acess";"CLIENTE",#N/A,FALSE,"Sobressalentes";"CLIENTE",#N/A,FALSE,"Mat. Instal.";"CLIENTE",#N/A,FALSE,"Doc. Técnica";"CLIENTE",#N/A,FALSE,"Serviços";"CLIENTE",#N/A,FALSE,"Treinamento"}</definedName>
    <definedName name="RESUMO1" localSheetId="2" hidden="1">{#N/A,"Tabelas de quantidade",FALSE,"Entradas";"CLIENTE",#N/A,FALSE,"HW";"CLIENTE",#N/A,FALSE,"SW";"CLIENTE",#N/A,FALSE,"TELESSUP.";"CLIENTE",#N/A,FALSE,"DCN &amp; Acess";"CLIENTE",#N/A,FALSE,"Sobressalentes";"CLIENTE",#N/A,FALSE,"Mat. Instal.";"CLIENTE",#N/A,FALSE,"Doc. Técnica";"CLIENTE",#N/A,FALSE,"Serviços";"CLIENTE",#N/A,FALSE,"Treinamento"}</definedName>
    <definedName name="RESUMO1" localSheetId="3" hidden="1">{#N/A,"Tabelas de quantidade",FALSE,"Entradas";"CLIENTE",#N/A,FALSE,"HW";"CLIENTE",#N/A,FALSE,"SW";"CLIENTE",#N/A,FALSE,"TELESSUP.";"CLIENTE",#N/A,FALSE,"DCN &amp; Acess";"CLIENTE",#N/A,FALSE,"Sobressalentes";"CLIENTE",#N/A,FALSE,"Mat. Instal.";"CLIENTE",#N/A,FALSE,"Doc. Técnica";"CLIENTE",#N/A,FALSE,"Serviços";"CLIENTE",#N/A,FALSE,"Treinamento"}</definedName>
    <definedName name="resumo111" localSheetId="1" hidden="1">{#N/A,"Tabelas de quantidade",FALSE,"Entradas";"CLIENTE",#N/A,FALSE,"HW";"CLIENTE",#N/A,FALSE,"SW";"CLIENTE",#N/A,FALSE,"TELESSUP.";"CLIENTE",#N/A,FALSE,"DCN &amp; Acess";"CLIENTE",#N/A,FALSE,"Sobressalentes";"CLIENTE",#N/A,FALSE,"Mat. Instal.";"CLIENTE",#N/A,FALSE,"Doc. Técnica";"CLIENTE",#N/A,FALSE,"Serviços";"CLIENTE",#N/A,FALSE,"Treinamento"}</definedName>
    <definedName name="resumo111" localSheetId="8" hidden="1">{#N/A,"Tabelas de quantidade",FALSE,"Entradas";"CLIENTE",#N/A,FALSE,"HW";"CLIENTE",#N/A,FALSE,"SW";"CLIENTE",#N/A,FALSE,"TELESSUP.";"CLIENTE",#N/A,FALSE,"DCN &amp; Acess";"CLIENTE",#N/A,FALSE,"Sobressalentes";"CLIENTE",#N/A,FALSE,"Mat. Instal.";"CLIENTE",#N/A,FALSE,"Doc. Técnica";"CLIENTE",#N/A,FALSE,"Serviços";"CLIENTE",#N/A,FALSE,"Treinamento"}</definedName>
    <definedName name="resumo111" localSheetId="2" hidden="1">{#N/A,"Tabelas de quantidade",FALSE,"Entradas";"CLIENTE",#N/A,FALSE,"HW";"CLIENTE",#N/A,FALSE,"SW";"CLIENTE",#N/A,FALSE,"TELESSUP.";"CLIENTE",#N/A,FALSE,"DCN &amp; Acess";"CLIENTE",#N/A,FALSE,"Sobressalentes";"CLIENTE",#N/A,FALSE,"Mat. Instal.";"CLIENTE",#N/A,FALSE,"Doc. Técnica";"CLIENTE",#N/A,FALSE,"Serviços";"CLIENTE",#N/A,FALSE,"Treinamento"}</definedName>
    <definedName name="resumo111" localSheetId="3" hidden="1">{#N/A,"Tabelas de quantidade",FALSE,"Entradas";"CLIENTE",#N/A,FALSE,"HW";"CLIENTE",#N/A,FALSE,"SW";"CLIENTE",#N/A,FALSE,"TELESSUP.";"CLIENTE",#N/A,FALSE,"DCN &amp; Acess";"CLIENTE",#N/A,FALSE,"Sobressalentes";"CLIENTE",#N/A,FALSE,"Mat. Instal.";"CLIENTE",#N/A,FALSE,"Doc. Técnica";"CLIENTE",#N/A,FALSE,"Serviços";"CLIENTE",#N/A,FALSE,"Treinamento"}</definedName>
    <definedName name="rf" localSheetId="1" hidden="1">#REF!</definedName>
    <definedName name="rf" hidden="1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MultipleCPUSupportEnabled" hidden="1">TRUE</definedName>
    <definedName name="RowLevel" hidden="1">1</definedName>
    <definedName name="rrrr" hidden="1">#N/A</definedName>
    <definedName name="S" localSheetId="8" hidden="1">#REF!</definedName>
    <definedName name="s" hidden="1">#N/A</definedName>
    <definedName name="S_AcctDes" localSheetId="8" hidden="1">#REF!</definedName>
    <definedName name="S_AcctDes" hidden="1">#REF!</definedName>
    <definedName name="S_Adjust" localSheetId="8" hidden="1">#REF!</definedName>
    <definedName name="S_Adjust" hidden="1">#REF!</definedName>
    <definedName name="S_AJE_Tot" hidden="1">#REF!</definedName>
    <definedName name="S_CompNum" hidden="1">#REF!</definedName>
    <definedName name="S_CY_Beg" hidden="1">#REF!</definedName>
    <definedName name="S_CY_End" hidden="1">#REF!</definedName>
    <definedName name="S_Diff_Amt" hidden="1">#REF!</definedName>
    <definedName name="S_Diff_Pct" hidden="1">#REF!</definedName>
    <definedName name="S_GrpNum" hidden="1">#REF!</definedName>
    <definedName name="S_PY_End" hidden="1">#REF!</definedName>
    <definedName name="S_RJE_Tot" hidden="1">#REF!</definedName>
    <definedName name="S_RowNum" hidden="1">#REF!</definedName>
    <definedName name="sa" localSheetId="1" hidden="1">{#N/A,#N/A,FALSE,"Acum Julio - 00"}</definedName>
    <definedName name="sa" localSheetId="8" hidden="1">{#N/A,#N/A,FALSE,"Acum Julio - 00"}</definedName>
    <definedName name="sa" localSheetId="2" hidden="1">{#N/A,#N/A,FALSE,"Acum Julio - 00"}</definedName>
    <definedName name="sa" localSheetId="3" hidden="1">{#N/A,#N/A,FALSE,"Acum Julio - 00"}</definedName>
    <definedName name="saaaaasa" localSheetId="6" hidden="1">Main.SAPF4Help()</definedName>
    <definedName name="saaaaasa" localSheetId="7" hidden="1">Main.SAPF4Help()</definedName>
    <definedName name="saaaaasa" localSheetId="1" hidden="1">Main.SAPF4Help()</definedName>
    <definedName name="saaaaasa" localSheetId="8" hidden="1">Main.SAPF4Help()</definedName>
    <definedName name="saaaaasa" localSheetId="2" hidden="1">Main.SAPF4Help()</definedName>
    <definedName name="saaaaasa" localSheetId="3" hidden="1">Main.SAPF4Help()</definedName>
    <definedName name="saaaaasa" localSheetId="4" hidden="1">Main.SAPF4Help()</definedName>
    <definedName name="saaaaasa" localSheetId="5" hidden="1">Main.SAPF4Help()</definedName>
    <definedName name="SAPBEXdnldView" hidden="1">"3XB32VR0SWUMALO47WI2TPY80"</definedName>
    <definedName name="SAPBEXsysID" hidden="1">"GFP"</definedName>
    <definedName name="SAPFuncF4Help" localSheetId="6" hidden="1">Main.SAPF4Help()</definedName>
    <definedName name="SAPFuncF4Help" localSheetId="7" hidden="1">Main.SAPF4Help()</definedName>
    <definedName name="SAPFuncF4Help" localSheetId="1" hidden="1">Main.SAPF4Help()</definedName>
    <definedName name="SAPFuncF4Help" localSheetId="8" hidden="1">Main.SAPF4Help()</definedName>
    <definedName name="SAPFuncF4Help" localSheetId="2" hidden="1">Main.SAPF4Help()</definedName>
    <definedName name="SAPFuncF4Help" localSheetId="3" hidden="1">Main.SAPF4Help()</definedName>
    <definedName name="SAPFuncF4Help" localSheetId="4" hidden="1">Main.SAPF4Help()</definedName>
    <definedName name="SAPFuncF4Help" localSheetId="5" hidden="1">Main.SAPF4Help()</definedName>
    <definedName name="sapfuncf5help" localSheetId="6" hidden="1">Main.SAPF4Help()</definedName>
    <definedName name="sapfuncf5help" localSheetId="7" hidden="1">Main.SAPF4Help()</definedName>
    <definedName name="sapfuncf5help" localSheetId="1" hidden="1">Main.SAPF4Help()</definedName>
    <definedName name="sapfuncf5help" localSheetId="8" hidden="1">Main.SAPF4Help()</definedName>
    <definedName name="sapfuncf5help" localSheetId="2" hidden="1">Main.SAPF4Help()</definedName>
    <definedName name="sapfuncf5help" localSheetId="3" hidden="1">Main.SAPF4Help()</definedName>
    <definedName name="sapfuncf5help" localSheetId="4" hidden="1">Main.SAPF4Help()</definedName>
    <definedName name="sapfuncf5help" localSheetId="5" hidden="1">Main.SAPF4Help()</definedName>
    <definedName name="sbenini" localSheetId="1" hidden="1">{#N/A,#N/A,FALSE,"Plan1";#N/A,#N/A,FALSE,"Plan2"}</definedName>
    <definedName name="sbenini" localSheetId="8" hidden="1">{#N/A,#N/A,FALSE,"Plan1";#N/A,#N/A,FALSE,"Plan2"}</definedName>
    <definedName name="sbenini" localSheetId="2" hidden="1">{#N/A,#N/A,FALSE,"Plan1";#N/A,#N/A,FALSE,"Plan2"}</definedName>
    <definedName name="sbenini" localSheetId="3" hidden="1">{#N/A,#N/A,FALSE,"Plan1";#N/A,#N/A,FALSE,"Plan2"}</definedName>
    <definedName name="sdadsadsa" localSheetId="1" hidden="1">{#N/A,#N/A,FALSE,"Acum Julio - 00"}</definedName>
    <definedName name="sdadsadsa" localSheetId="8" hidden="1">{#N/A,#N/A,FALSE,"Acum Julio - 00"}</definedName>
    <definedName name="sdadsadsa" localSheetId="2" hidden="1">{#N/A,#N/A,FALSE,"Acum Julio - 00"}</definedName>
    <definedName name="sdadsadsa" localSheetId="3" hidden="1">{#N/A,#N/A,FALSE,"Acum Julio - 00"}</definedName>
    <definedName name="sdfsd" localSheetId="1" hidden="1">{#N/A,#N/A,FALSE,"Aging Summary";#N/A,#N/A,FALSE,"Ratio Analysis";#N/A,#N/A,FALSE,"Test 120 Day Accts";#N/A,#N/A,FALSE,"Tickmarks"}</definedName>
    <definedName name="sdfsd" localSheetId="8" hidden="1">{#N/A,#N/A,FALSE,"Aging Summary";#N/A,#N/A,FALSE,"Ratio Analysis";#N/A,#N/A,FALSE,"Test 120 Day Accts";#N/A,#N/A,FALSE,"Tickmarks"}</definedName>
    <definedName name="sdfsd" localSheetId="2" hidden="1">{#N/A,#N/A,FALSE,"Aging Summary";#N/A,#N/A,FALSE,"Ratio Analysis";#N/A,#N/A,FALSE,"Test 120 Day Accts";#N/A,#N/A,FALSE,"Tickmarks"}</definedName>
    <definedName name="sdfsd" localSheetId="3" hidden="1">{#N/A,#N/A,FALSE,"Aging Summary";#N/A,#N/A,FALSE,"Ratio Analysis";#N/A,#N/A,FALSE,"Test 120 Day Accts";#N/A,#N/A,FALSE,"Tickmarks"}</definedName>
    <definedName name="sdg" localSheetId="1" hidden="1">{#N/A,#N/A,FALSE,"Plan1";#N/A,#N/A,FALSE,"Plan2"}</definedName>
    <definedName name="sdg" localSheetId="8" hidden="1">{#N/A,#N/A,FALSE,"Plan1";#N/A,#N/A,FALSE,"Plan2"}</definedName>
    <definedName name="sdg" localSheetId="2" hidden="1">{#N/A,#N/A,FALSE,"Plan1";#N/A,#N/A,FALSE,"Plan2"}</definedName>
    <definedName name="sdg" localSheetId="3" hidden="1">{#N/A,#N/A,FALSE,"Plan1";#N/A,#N/A,FALSE,"Plan2"}</definedName>
    <definedName name="SegmentaçãodeDados_Mês">#N/A</definedName>
    <definedName name="sencount" hidden="1">1</definedName>
    <definedName name="sf" hidden="1">#REF!</definedName>
    <definedName name="SFDSAFSDG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19.66</definedName>
    <definedName name="SpreadsheetBuilder_1" hidden="1">#REF!</definedName>
    <definedName name="sss" localSheetId="1" hidden="1">{#N/A,#N/A,FALSE,"Acum Julio - 00"}</definedName>
    <definedName name="sss" localSheetId="8" hidden="1">{#N/A,#N/A,FALSE,"Acum Julio - 00"}</definedName>
    <definedName name="sss" localSheetId="2" hidden="1">{#N/A,#N/A,FALSE,"Acum Julio - 00"}</definedName>
    <definedName name="sss" localSheetId="3" hidden="1">{#N/A,#N/A,FALSE,"Acum Julio - 00"}</definedName>
    <definedName name="sssss" localSheetId="1" hidden="1">{#N/A,#N/A,FALSE,"Bericht 2";#N/A,#N/A,FALSE,"Bericht 3";#N/A,#N/A,FALSE,"Bericht 1"}</definedName>
    <definedName name="sssss" localSheetId="8" hidden="1">{#N/A,#N/A,FALSE,"Bericht 2";#N/A,#N/A,FALSE,"Bericht 3";#N/A,#N/A,FALSE,"Bericht 1"}</definedName>
    <definedName name="sssss" localSheetId="2" hidden="1">{#N/A,#N/A,FALSE,"Bericht 2";#N/A,#N/A,FALSE,"Bericht 3";#N/A,#N/A,FALSE,"Bericht 1"}</definedName>
    <definedName name="sssss" localSheetId="3" hidden="1">{#N/A,#N/A,FALSE,"Bericht 2";#N/A,#N/A,FALSE,"Bericht 3";#N/A,#N/A,FALSE,"Bericht 1"}</definedName>
    <definedName name="STWBD_StatToolsConfidenceInterval_AnalysisType" hidden="1">" 0"</definedName>
    <definedName name="STWBD_StatToolsConfidenceInterval_CalculateMeanInterval" hidden="1">"TRUE"</definedName>
    <definedName name="STWBD_StatToolsConfidenceInterval_CalculateStdDevInterval" hidden="1">"TRUE"</definedName>
    <definedName name="STWBD_StatToolsConfidenceInterval_DefaultDataFormat" hidden="1">" 0"</definedName>
    <definedName name="STWBD_StatToolsConfidenceInterval_HasDefaultInfo" hidden="1">"TRUE"</definedName>
    <definedName name="STWBD_StatToolsConfidenceInterval_MeanConfidenceLevel" hidden="1">" .95"</definedName>
    <definedName name="STWBD_StatToolsConfidenceInterval_StdDevConfidenceLevel" hidden="1">" .95"</definedName>
    <definedName name="STWBD_StatToolsConfidenceInterval_VariableList" hidden="1">1</definedName>
    <definedName name="STWBD_StatToolsConfidenceInterval_VariableList_1" hidden="1">"U_x0001_VG18C68F7C_x0001_"</definedName>
    <definedName name="STWBD_StatToolsConfidenceInterval_VarSelectorDefaultDataSet" hidden="1">"DG1557C622"</definedName>
    <definedName name="STWBD_StatToolsOneVarSummary_Count" hidden="1">"TRUE"</definedName>
    <definedName name="STWBD_StatToolsOneVarSummary_DefaultDataFormat" hidden="1">" 0"</definedName>
    <definedName name="STWBD_StatToolsOneVarSummary_FirstQuartile" hidden="1">"TRUE"</definedName>
    <definedName name="STWBD_StatToolsOneVarSummary_HasDefaultInfo" hidden="1">"TRUE"</definedName>
    <definedName name="STWBD_StatToolsOneVarSummary_InterQuartileRange" hidden="1">"TRUE"</definedName>
    <definedName name="STWBD_StatToolsOneVarSummary_Kurtosis" hidden="1">"TRUE"</definedName>
    <definedName name="STWBD_StatToolsOneVarSummary_Maximum" hidden="1">"TRUE"</definedName>
    <definedName name="STWBD_StatToolsOneVarSummary_Mean" hidden="1">"TRUE"</definedName>
    <definedName name="STWBD_StatToolsOneVarSummary_MeanAbsDeviation" hidden="1">"TRUE"</definedName>
    <definedName name="STWBD_StatToolsOneVarSummary_Median" hidden="1">"TRUE"</definedName>
    <definedName name="STWBD_StatToolsOneVarSummary_Minimum" hidden="1">"TRUE"</definedName>
    <definedName name="STWBD_StatToolsOneVarSummary_OtherPercentiles" hidden="1">"TRUE"</definedName>
    <definedName name="STWBD_StatToolsOneVarSummary_PercentileList" hidden="1">" .01, .025, .05, .1, .2, .8, .9, .95, .975, .99"</definedName>
    <definedName name="STWBD_StatToolsOneVarSummary_Range" hidden="1">"TRUE"</definedName>
    <definedName name="STWBD_StatToolsOneVarSummary_Skewness" hidden="1">"TRUE"</definedName>
    <definedName name="STWBD_StatToolsOneVarSummary_StandardDeviation" hidden="1">"TRUE"</definedName>
    <definedName name="STWBD_StatToolsOneVarSummary_Sum" hidden="1">"TRUE"</definedName>
    <definedName name="STWBD_StatToolsOneVarSummary_ThirdQuartile" hidden="1">"TRUE"</definedName>
    <definedName name="STWBD_StatToolsOneVarSummary_VariableList" hidden="1">4</definedName>
    <definedName name="STWBD_StatToolsOneVarSummary_VariableList_1" hidden="1">"U_x0001_VG2D1B584C_x0001_"</definedName>
    <definedName name="STWBD_StatToolsOneVarSummary_VariableList_2" hidden="1">"U_x0001_VG421EEB3_x0001_"</definedName>
    <definedName name="STWBD_StatToolsOneVarSummary_VariableList_3" hidden="1">"U_x0001_VG2000A935_x0001_"</definedName>
    <definedName name="STWBD_StatToolsOneVarSummary_VariableList_4" hidden="1">"U_x0001_VG330F36D6_x0001_"</definedName>
    <definedName name="STWBD_StatToolsOneVarSummary_Variance" hidden="1">"TRUE"</definedName>
    <definedName name="STWBD_StatToolsOneVarSummary_VarSelectorDefaultDataSet" hidden="1">"ALL DATA SETS"</definedName>
    <definedName name="STWBD_StatToolsRegression_blockList" hidden="1">"-1"</definedName>
    <definedName name="STWBD_StatToolsRegression_FValueToEnter" hidden="1">" 2.2"</definedName>
    <definedName name="STWBD_StatToolsRegression_FValueToLeave" hidden="1">" 1.1"</definedName>
    <definedName name="STWBD_StatToolsRegression_GraphFittedValueVsActualYValue" hidden="1">"TRUE"</definedName>
    <definedName name="STWBD_StatToolsRegression_GraphFittedValueVsXValue" hidden="1">"FALSE"</definedName>
    <definedName name="STWBD_StatToolsRegression_GraphResidualVsFittedValue" hidden="1">"TRUE"</definedName>
    <definedName name="STWBD_StatToolsRegression_GraphResidualVsXValue" hidden="1">"FALSE"</definedName>
    <definedName name="STWBD_StatToolsRegression_HasDefaultInfo" hidden="1">"TRUE"</definedName>
    <definedName name="STWBD_StatToolsRegression_IncludePrediction" hidden="1">"FALSE"</definedName>
    <definedName name="STWBD_StatToolsRegression_IncludeSteps" hidden="1">"FALSE"</definedName>
    <definedName name="STWBD_StatToolsRegression_NumberOfBlocks" hidden="1">" 0"</definedName>
    <definedName name="STWBD_StatToolsRegression_pValueToEnter" hidden="1">" .05"</definedName>
    <definedName name="STWBD_StatToolsRegression_pValueToLeave" hidden="1">" .1"</definedName>
    <definedName name="STWBD_StatToolsRegression_RegressionType" hidden="1">" 0"</definedName>
    <definedName name="STWBD_StatToolsRegression_useFValue" hidden="1">"FALSE"</definedName>
    <definedName name="STWBD_StatToolsRegression_usePValue" hidden="1">"TRUE"</definedName>
    <definedName name="STWBD_StatToolsRegression_VariableDependent" hidden="1">"U_x0001_VG2D35B001_x0001_"</definedName>
    <definedName name="STWBD_StatToolsRegression_VariableListIndependent" hidden="1">1</definedName>
    <definedName name="STWBD_StatToolsRegression_VariableListIndependent_1" hidden="1">"U_x0001_VG18C68F7C_x0001_"</definedName>
    <definedName name="STWBD_StatToolsRegression_VarSelectorDefaultDataSet" hidden="1">"ALL DATA SETS"</definedName>
    <definedName name="Swvu.PLANILHA2." hidden="1">#REF!</definedName>
    <definedName name="T" localSheetId="1" hidden="1">{#N/A,#N/A,FALSE,"Acum Julio - 00"}</definedName>
    <definedName name="t" localSheetId="8" hidden="1">{#N/A,#N/A,FALSE,"Aging Summary";#N/A,#N/A,FALSE,"Ratio Analysis";#N/A,#N/A,FALSE,"Test 120 Day Accts";#N/A,#N/A,FALSE,"Tickmarks"}</definedName>
    <definedName name="T" localSheetId="2" hidden="1">{#N/A,#N/A,FALSE,"Acum Julio - 00"}</definedName>
    <definedName name="T" localSheetId="3" hidden="1">{#N/A,#N/A,FALSE,"Acum Julio - 00"}</definedName>
    <definedName name="TBdbName" hidden="1">"88D5BF544BE111D2B8C5006097494125.mdb"</definedName>
    <definedName name="temp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temp" localSheetId="8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temp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temp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test" localSheetId="1" hidden="1">{#N/A,#N/A,FALSE,"fw or db 98 up"}</definedName>
    <definedName name="test" localSheetId="8" hidden="1">{#N/A,#N/A,FALSE,"fw or db 98 up"}</definedName>
    <definedName name="test" localSheetId="2" hidden="1">{#N/A,#N/A,FALSE,"fw or db 98 up"}</definedName>
    <definedName name="test" localSheetId="3" hidden="1">{#N/A,#N/A,FALSE,"fw or db 98 up"}</definedName>
    <definedName name="testa" localSheetId="1" hidden="1">{#N/A,#N/A,FALSE,"ResRegn.A-kons.";#N/A,#N/A,FALSE,"Bal3112.A-kons.";#N/A,#N/A,FALSE,"Kont.a.A-kons.";#N/A,#N/A,FALSE,"Note 1-3";#N/A,#N/A,FALSE,"Note 4-10";#N/A,#N/A,FALSE,"Note11-12";#N/A,#N/A,FALSE,"Noter Balanse.A-kons.";#N/A,#N/A,FALSE,"Note 17-18.A-kons. ";#N/A,#N/A,FALSE,"Note 19 A-kons.";#N/A,#N/A,FALSE,"Note 20-22.A-kons.";#N/A,#N/A,FALSE,"Note 23 A-kons.";#N/A,#N/A,FALSE,"Note 24-31.A-kons.";#N/A,#N/A,FALSE,"Note 32-34 A-kons.";#N/A,#N/A,FALSE,"Note 35-36.A-kons.";#N/A,#N/A,FALSE,"Nøkkeltall"}</definedName>
    <definedName name="testa" localSheetId="8" hidden="1">{#N/A,#N/A,FALSE,"ResRegn.A-kons.";#N/A,#N/A,FALSE,"Bal3112.A-kons.";#N/A,#N/A,FALSE,"Kont.a.A-kons.";#N/A,#N/A,FALSE,"Note 1-3";#N/A,#N/A,FALSE,"Note 4-10";#N/A,#N/A,FALSE,"Note11-12";#N/A,#N/A,FALSE,"Noter Balanse.A-kons.";#N/A,#N/A,FALSE,"Note 17-18.A-kons. ";#N/A,#N/A,FALSE,"Note 19 A-kons.";#N/A,#N/A,FALSE,"Note 20-22.A-kons.";#N/A,#N/A,FALSE,"Note 23 A-kons.";#N/A,#N/A,FALSE,"Note 24-31.A-kons.";#N/A,#N/A,FALSE,"Note 32-34 A-kons.";#N/A,#N/A,FALSE,"Note 35-36.A-kons.";#N/A,#N/A,FALSE,"Nøkkeltall"}</definedName>
    <definedName name="testa" localSheetId="2" hidden="1">{#N/A,#N/A,FALSE,"ResRegn.A-kons.";#N/A,#N/A,FALSE,"Bal3112.A-kons.";#N/A,#N/A,FALSE,"Kont.a.A-kons.";#N/A,#N/A,FALSE,"Note 1-3";#N/A,#N/A,FALSE,"Note 4-10";#N/A,#N/A,FALSE,"Note11-12";#N/A,#N/A,FALSE,"Noter Balanse.A-kons.";#N/A,#N/A,FALSE,"Note 17-18.A-kons. ";#N/A,#N/A,FALSE,"Note 19 A-kons.";#N/A,#N/A,FALSE,"Note 20-22.A-kons.";#N/A,#N/A,FALSE,"Note 23 A-kons.";#N/A,#N/A,FALSE,"Note 24-31.A-kons.";#N/A,#N/A,FALSE,"Note 32-34 A-kons.";#N/A,#N/A,FALSE,"Note 35-36.A-kons.";#N/A,#N/A,FALSE,"Nøkkeltall"}</definedName>
    <definedName name="testa" localSheetId="3" hidden="1">{#N/A,#N/A,FALSE,"ResRegn.A-kons.";#N/A,#N/A,FALSE,"Bal3112.A-kons.";#N/A,#N/A,FALSE,"Kont.a.A-kons.";#N/A,#N/A,FALSE,"Note 1-3";#N/A,#N/A,FALSE,"Note 4-10";#N/A,#N/A,FALSE,"Note11-12";#N/A,#N/A,FALSE,"Noter Balanse.A-kons.";#N/A,#N/A,FALSE,"Note 17-18.A-kons. ";#N/A,#N/A,FALSE,"Note 19 A-kons.";#N/A,#N/A,FALSE,"Note 20-22.A-kons.";#N/A,#N/A,FALSE,"Note 23 A-kons.";#N/A,#N/A,FALSE,"Note 24-31.A-kons.";#N/A,#N/A,FALSE,"Note 32-34 A-kons.";#N/A,#N/A,FALSE,"Note 35-36.A-kons.";#N/A,#N/A,FALSE,"Nøkkeltall"}</definedName>
    <definedName name="testeeee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testeeee" localSheetId="8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testeeee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testeeee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TextRefCopyRangeCount" localSheetId="8" hidden="1">8</definedName>
    <definedName name="TextRefCopyRangeCount" hidden="1">1</definedName>
    <definedName name="tg" hidden="1">#REF!</definedName>
    <definedName name="thiago" hidden="1">#REF!</definedName>
    <definedName name="transp36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" localSheetId="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" localSheetId="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localSheetId="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localSheetId="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ttttttttttttttt" localSheetId="1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tttttttttttttttt" localSheetId="8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tttttttttttttttt" localSheetId="2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tttttttttttttttt" localSheetId="3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u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u" localSheetId="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u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u" localSheetId="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Über" localSheetId="1" hidden="1">{#N/A,#N/A,FALSE,"Tabelle1"}</definedName>
    <definedName name="Über" localSheetId="8" hidden="1">{#N/A,#N/A,FALSE,"Tabelle1"}</definedName>
    <definedName name="Über" localSheetId="2" hidden="1">{#N/A,#N/A,FALSE,"Tabelle1"}</definedName>
    <definedName name="Über" localSheetId="3" hidden="1">{#N/A,#N/A,FALSE,"Tabelle1"}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wu" localSheetId="1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uwu" localSheetId="8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uwu" localSheetId="2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uwu" localSheetId="3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v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" localSheetId="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" localSheetId="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ail" localSheetId="1" hidden="1">{"PVGraph2",#N/A,FALSE,"PV Data"}</definedName>
    <definedName name="Vail" localSheetId="8" hidden="1">{"PVGraph2",#N/A,FALSE,"PV Data"}</definedName>
    <definedName name="Vail" localSheetId="2" hidden="1">{"PVGraph2",#N/A,FALSE,"PV Data"}</definedName>
    <definedName name="Vail" localSheetId="3" hidden="1">{"PVGraph2",#N/A,FALSE,"PV Data"}</definedName>
    <definedName name="vg" hidden="1">#REF!</definedName>
    <definedName name="Villa" localSheetId="1" hidden="1">{#N/A,#N/A,FALSE,"Aging Summary";#N/A,#N/A,FALSE,"Ratio Analysis";#N/A,#N/A,FALSE,"Test 120 Day Accts";#N/A,#N/A,FALSE,"Tickmarks"}</definedName>
    <definedName name="Villa" localSheetId="8" hidden="1">{#N/A,#N/A,FALSE,"Aging Summary";#N/A,#N/A,FALSE,"Ratio Analysis";#N/A,#N/A,FALSE,"Test 120 Day Accts";#N/A,#N/A,FALSE,"Tickmarks"}</definedName>
    <definedName name="Villa" localSheetId="2" hidden="1">{#N/A,#N/A,FALSE,"Aging Summary";#N/A,#N/A,FALSE,"Ratio Analysis";#N/A,#N/A,FALSE,"Test 120 Day Accts";#N/A,#N/A,FALSE,"Tickmarks"}</definedName>
    <definedName name="Villa" localSheetId="3" hidden="1">{#N/A,#N/A,FALSE,"Aging Summary";#N/A,#N/A,FALSE,"Ratio Analysis";#N/A,#N/A,FALSE,"Test 120 Day Accts";#N/A,#N/A,FALSE,"Tickmarks"}</definedName>
    <definedName name="vvbb" localSheetId="1" hidden="1">{"tabela",#N/A,FALSE,"Tabela";"decoração",#N/A,FALSE,"Decor.";"Informações",#N/A,FALSE,"Inform."}</definedName>
    <definedName name="vvbb" localSheetId="8" hidden="1">{"tabela",#N/A,FALSE,"Tabela";"decoração",#N/A,FALSE,"Decor.";"Informações",#N/A,FALSE,"Inform."}</definedName>
    <definedName name="vvbb" localSheetId="2" hidden="1">{"tabela",#N/A,FALSE,"Tabela";"decoração",#N/A,FALSE,"Decor.";"Informações",#N/A,FALSE,"Inform."}</definedName>
    <definedName name="vvbb" localSheetId="3" hidden="1">{"tabela",#N/A,FALSE,"Tabela";"decoração",#N/A,FALSE,"Decor.";"Informações",#N/A,FALSE,"Inform."}</definedName>
    <definedName name="vvcbnb" localSheetId="1" hidden="1">{#N/A,#N/A,FALSE,"Plan1";#N/A,#N/A,FALSE,"Plan2"}</definedName>
    <definedName name="vvcbnb" localSheetId="8" hidden="1">{#N/A,#N/A,FALSE,"Plan1";#N/A,#N/A,FALSE,"Plan2"}</definedName>
    <definedName name="vvcbnb" localSheetId="2" hidden="1">{#N/A,#N/A,FALSE,"Plan1";#N/A,#N/A,FALSE,"Plan2"}</definedName>
    <definedName name="vvcbnb" localSheetId="3" hidden="1">{#N/A,#N/A,FALSE,"Plan1";#N/A,#N/A,FALSE,"Plan2"}</definedName>
    <definedName name="vvvvv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" localSheetId="8" hidden="1">{#N/A,#N/A,FALSE,"Plan1";#N/A,#N/A,FALSE,"Plan2"}</definedName>
    <definedName name="vvvvv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" localSheetId="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v" localSheetId="1" hidden="1">{#N/A,#N/A,FALSE,"Plan1";#N/A,#N/A,FALSE,"Plan2"}</definedName>
    <definedName name="vvvvvv" localSheetId="8" hidden="1">{#N/A,#N/A,FALSE,"Plan1";#N/A,#N/A,FALSE,"Plan2"}</definedName>
    <definedName name="vvvvvv" localSheetId="2" hidden="1">{#N/A,#N/A,FALSE,"Plan1";#N/A,#N/A,FALSE,"Plan2"}</definedName>
    <definedName name="vvvvvv" localSheetId="3" hidden="1">{#N/A,#N/A,FALSE,"Plan1";#N/A,#N/A,FALSE,"Plan2"}</definedName>
    <definedName name="w" localSheetId="1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" localSheetId="8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" localSheetId="2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" localSheetId="3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erewrew" localSheetId="1" hidden="1">{#N/A,#N/A,FALSE,"Acum Julio - 00"}</definedName>
    <definedName name="werewrew" localSheetId="8" hidden="1">{#N/A,#N/A,FALSE,"Acum Julio - 00"}</definedName>
    <definedName name="werewrew" localSheetId="2" hidden="1">{#N/A,#N/A,FALSE,"Acum Julio - 00"}</definedName>
    <definedName name="werewrew" localSheetId="3" hidden="1">{#N/A,#N/A,FALSE,"Acum Julio - 00"}</definedName>
    <definedName name="witt" localSheetId="1" hidden="1">{#N/A,#N/A,FALSE,"Tabelle1"}</definedName>
    <definedName name="witt" localSheetId="8" hidden="1">{#N/A,#N/A,FALSE,"Tabelle1"}</definedName>
    <definedName name="witt" localSheetId="2" hidden="1">{#N/A,#N/A,FALSE,"Tabelle1"}</definedName>
    <definedName name="witt" localSheetId="3" hidden="1">{#N/A,#N/A,FALSE,"Tabelle1"}</definedName>
    <definedName name="Workforce2" localSheetId="1" hidden="1">{"assumptions1",#N/A,FALSE,"Valuation Analysis";"assumptions2",#N/A,FALSE,"Valuation Analysis"}</definedName>
    <definedName name="Workforce2" localSheetId="8" hidden="1">{"assumptions1",#N/A,FALSE,"Valuation Analysis";"assumptions2",#N/A,FALSE,"Valuation Analysis"}</definedName>
    <definedName name="Workforce2" localSheetId="2" hidden="1">{"assumptions1",#N/A,FALSE,"Valuation Analysis";"assumptions2",#N/A,FALSE,"Valuation Analysis"}</definedName>
    <definedName name="Workforce2" localSheetId="3" hidden="1">{"assumptions1",#N/A,FALSE,"Valuation Analysis";"assumptions2",#N/A,FALSE,"Valuation Analysis"}</definedName>
    <definedName name="wrn.01." localSheetId="1" hidden="1">{#N/A,#N/A,FALSE,"1321";#N/A,#N/A,FALSE,"1324";#N/A,#N/A,FALSE,"1333";#N/A,#N/A,FALSE,"1371"}</definedName>
    <definedName name="wrn.01." localSheetId="8" hidden="1">{#N/A,#N/A,FALSE,"1321";#N/A,#N/A,FALSE,"1324";#N/A,#N/A,FALSE,"1333";#N/A,#N/A,FALSE,"1371"}</definedName>
    <definedName name="wrn.01." localSheetId="2" hidden="1">{#N/A,#N/A,FALSE,"1321";#N/A,#N/A,FALSE,"1324";#N/A,#N/A,FALSE,"1333";#N/A,#N/A,FALSE,"1371"}</definedName>
    <definedName name="wrn.01." localSheetId="3" hidden="1">{#N/A,#N/A,FALSE,"1321";#N/A,#N/A,FALSE,"1324";#N/A,#N/A,FALSE,"1333";#N/A,#N/A,FALSE,"1371"}</definedName>
    <definedName name="wrn.1." localSheetId="1" hidden="1">{"cover",#N/A,TRUE,"Cover";"toc1",#N/A,TRUE,"TOC";"ts1",#N/A,TRUE,"Transaction Summary";"ei",#N/A,TRUE,"Earnings Impact";"ad",#N/A,TRUE,"accretion dilution"}</definedName>
    <definedName name="wrn.1." localSheetId="8" hidden="1">{"cover",#N/A,TRUE,"Cover";"toc1",#N/A,TRUE,"TOC";"ts1",#N/A,TRUE,"Transaction Summary";"ei",#N/A,TRUE,"Earnings Impact";"ad",#N/A,TRUE,"accretion dilution"}</definedName>
    <definedName name="wrn.1." localSheetId="2" hidden="1">{"cover",#N/A,TRUE,"Cover";"toc1",#N/A,TRUE,"TOC";"ts1",#N/A,TRUE,"Transaction Summary";"ei",#N/A,TRUE,"Earnings Impact";"ad",#N/A,TRUE,"accretion dilution"}</definedName>
    <definedName name="wrn.1." localSheetId="3" hidden="1">{"cover",#N/A,TRUE,"Cover";"toc1",#N/A,TRUE,"TOC";"ts1",#N/A,TRUE,"Transaction Summary";"ei",#N/A,TRUE,"Earnings Impact";"ad",#N/A,TRUE,"accretion dilution"}</definedName>
    <definedName name="wrn.10." localSheetId="1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" localSheetId="8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" localSheetId="2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" localSheetId="3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_.Per._.Cent._.Success." localSheetId="1" hidden="1">{#N/A,"10% Success",FALSE,"Sales Forecast";#N/A,#N/A,FALSE,"Sheet2"}</definedName>
    <definedName name="wrn.10._.Per._.Cent._.Success." localSheetId="8" hidden="1">{#N/A,"10% Success",FALSE,"Sales Forecast";#N/A,#N/A,FALSE,"Sheet2"}</definedName>
    <definedName name="wrn.10._.Per._.Cent._.Success." localSheetId="2" hidden="1">{#N/A,"10% Success",FALSE,"Sales Forecast";#N/A,#N/A,FALSE,"Sheet2"}</definedName>
    <definedName name="wrn.10._.Per._.Cent._.Success." localSheetId="3" hidden="1">{#N/A,"10% Success",FALSE,"Sales Forecast";#N/A,#N/A,FALSE,"Sheet2"}</definedName>
    <definedName name="wrn.100._.Per._.Cent._.Success." localSheetId="1" hidden="1">{#N/A,"100% Success",TRUE,"Sales Forecast";#N/A,#N/A,TRUE,"Sheet2"}</definedName>
    <definedName name="wrn.100._.Per._.Cent._.Success." localSheetId="8" hidden="1">{#N/A,"100% Success",TRUE,"Sales Forecast";#N/A,#N/A,TRUE,"Sheet2"}</definedName>
    <definedName name="wrn.100._.Per._.Cent._.Success." localSheetId="2" hidden="1">{#N/A,"100% Success",TRUE,"Sales Forecast";#N/A,#N/A,TRUE,"Sheet2"}</definedName>
    <definedName name="wrn.100._.Per._.Cent._.Success." localSheetId="3" hidden="1">{#N/A,"100% Success",TRUE,"Sales Forecast";#N/A,#N/A,TRUE,"Sheet2"}</definedName>
    <definedName name="wrn.11." localSheetId="1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" localSheetId="8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" localSheetId="2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" localSheetId="3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2." localSheetId="1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" localSheetId="8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" localSheetId="2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" localSheetId="3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3." localSheetId="1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" localSheetId="8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" localSheetId="2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" localSheetId="3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localSheetId="1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" localSheetId="8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" localSheetId="2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" localSheetId="3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localSheetId="1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" localSheetId="8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" localSheetId="2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" localSheetId="3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localSheetId="1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" localSheetId="8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" localSheetId="2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" localSheetId="3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localSheetId="1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" localSheetId="8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" localSheetId="2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" localSheetId="3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localSheetId="1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" localSheetId="8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" localSheetId="2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" localSheetId="3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localSheetId="1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" localSheetId="8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" localSheetId="2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" localSheetId="3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2." localSheetId="1" hidden="1">{"cover",#N/A,TRUE,"Cover";"toc1",#N/A,TRUE,"TOC";"ts1",#N/A,TRUE,"Transaction Summary";"ei1",#N/A,TRUE,"Earnings Impact";"ad1",#N/A,TRUE,"accretion dilution"}</definedName>
    <definedName name="wrn.2." localSheetId="8" hidden="1">{"cover",#N/A,TRUE,"Cover";"toc1",#N/A,TRUE,"TOC";"ts1",#N/A,TRUE,"Transaction Summary";"ei1",#N/A,TRUE,"Earnings Impact";"ad1",#N/A,TRUE,"accretion dilution"}</definedName>
    <definedName name="wrn.2." localSheetId="2" hidden="1">{"cover",#N/A,TRUE,"Cover";"toc1",#N/A,TRUE,"TOC";"ts1",#N/A,TRUE,"Transaction Summary";"ei1",#N/A,TRUE,"Earnings Impact";"ad1",#N/A,TRUE,"accretion dilution"}</definedName>
    <definedName name="wrn.2." localSheetId="3" hidden="1">{"cover",#N/A,TRUE,"Cover";"toc1",#N/A,TRUE,"TOC";"ts1",#N/A,TRUE,"Transaction Summary";"ei1",#N/A,TRUE,"Earnings Impact";"ad1",#N/A,TRUE,"accretion dilution"}</definedName>
    <definedName name="wrn.20." localSheetId="1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" localSheetId="8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" localSheetId="2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" localSheetId="3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1." localSheetId="1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" localSheetId="8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" localSheetId="2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" localSheetId="3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localSheetId="1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" localSheetId="8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" localSheetId="2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" localSheetId="3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localSheetId="1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" localSheetId="8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" localSheetId="2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" localSheetId="3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localSheetId="1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" localSheetId="8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" localSheetId="2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" localSheetId="3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localSheetId="1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" localSheetId="8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" localSheetId="2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" localSheetId="3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localSheetId="1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" localSheetId="8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" localSheetId="2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" localSheetId="3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localSheetId="1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" localSheetId="8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" localSheetId="2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" localSheetId="3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localSheetId="1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" localSheetId="8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" localSheetId="2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" localSheetId="3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localSheetId="1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" localSheetId="8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" localSheetId="2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" localSheetId="3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3." localSheetId="1" hidden="1">{"cover",#N/A,TRUE,"Cover";"toc1",#N/A,TRUE,"TOC";"ts1",#N/A,TRUE,"Transaction Summary";"ei2",#N/A,TRUE,"Earnings Impact";"ad2",#N/A,TRUE,"accretion dilution"}</definedName>
    <definedName name="wrn.3." localSheetId="8" hidden="1">{"cover",#N/A,TRUE,"Cover";"toc1",#N/A,TRUE,"TOC";"ts1",#N/A,TRUE,"Transaction Summary";"ei2",#N/A,TRUE,"Earnings Impact";"ad2",#N/A,TRUE,"accretion dilution"}</definedName>
    <definedName name="wrn.3." localSheetId="2" hidden="1">{"cover",#N/A,TRUE,"Cover";"toc1",#N/A,TRUE,"TOC";"ts1",#N/A,TRUE,"Transaction Summary";"ei2",#N/A,TRUE,"Earnings Impact";"ad2",#N/A,TRUE,"accretion dilution"}</definedName>
    <definedName name="wrn.3." localSheetId="3" hidden="1">{"cover",#N/A,TRUE,"Cover";"toc1",#N/A,TRUE,"TOC";"ts1",#N/A,TRUE,"Transaction Summary";"ei2",#N/A,TRUE,"Earnings Impact";"ad2",#N/A,TRUE,"accretion dilution"}</definedName>
    <definedName name="wrn.30." localSheetId="1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" localSheetId="8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" localSheetId="2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" localSheetId="3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_.Per._.Cent." localSheetId="1" hidden="1">{#N/A,"30% Success",TRUE,"Sales Forecast";#N/A,#N/A,TRUE,"Sheet2"}</definedName>
    <definedName name="wrn.30._.Per._.Cent." localSheetId="8" hidden="1">{#N/A,"30% Success",TRUE,"Sales Forecast";#N/A,#N/A,TRUE,"Sheet2"}</definedName>
    <definedName name="wrn.30._.Per._.Cent." localSheetId="2" hidden="1">{#N/A,"30% Success",TRUE,"Sales Forecast";#N/A,#N/A,TRUE,"Sheet2"}</definedName>
    <definedName name="wrn.30._.Per._.Cent." localSheetId="3" hidden="1">{#N/A,"30% Success",TRUE,"Sales Forecast";#N/A,#N/A,TRUE,"Sheet2"}</definedName>
    <definedName name="wrn.31." localSheetId="1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" localSheetId="8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" localSheetId="2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" localSheetId="3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localSheetId="1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" localSheetId="8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" localSheetId="2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" localSheetId="3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localSheetId="1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" localSheetId="8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" localSheetId="2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" localSheetId="3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localSheetId="1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" localSheetId="8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" localSheetId="2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" localSheetId="3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 localSheetId="1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" localSheetId="8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" localSheetId="2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" localSheetId="3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localSheetId="1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" localSheetId="8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" localSheetId="2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" localSheetId="3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localSheetId="1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" localSheetId="8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" localSheetId="2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" localSheetId="3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localSheetId="1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" localSheetId="8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" localSheetId="2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" localSheetId="3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localSheetId="1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" localSheetId="8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" localSheetId="2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" localSheetId="3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4." localSheetId="1" hidden="1">{"toc1",#N/A,FALSE,"TOC";"cover",#N/A,FALSE,"Cover";"ts1",#N/A,FALSE,"Transaction Summary";"ei3",#N/A,FALSE,"Earnings Impact";"ad3",#N/A,FALSE,"accretion dilution"}</definedName>
    <definedName name="wrn.4." localSheetId="8" hidden="1">{"toc1",#N/A,FALSE,"TOC";"cover",#N/A,FALSE,"Cover";"ts1",#N/A,FALSE,"Transaction Summary";"ei3",#N/A,FALSE,"Earnings Impact";"ad3",#N/A,FALSE,"accretion dilution"}</definedName>
    <definedName name="wrn.4." localSheetId="2" hidden="1">{"toc1",#N/A,FALSE,"TOC";"cover",#N/A,FALSE,"Cover";"ts1",#N/A,FALSE,"Transaction Summary";"ei3",#N/A,FALSE,"Earnings Impact";"ad3",#N/A,FALSE,"accretion dilution"}</definedName>
    <definedName name="wrn.4." localSheetId="3" hidden="1">{"toc1",#N/A,FALSE,"TOC";"cover",#N/A,FALSE,"Cover";"ts1",#N/A,FALSE,"Transaction Summary";"ei3",#N/A,FALSE,"Earnings Impact";"ad3",#N/A,FALSE,"accretion dilution"}</definedName>
    <definedName name="wrn.40." localSheetId="1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" localSheetId="8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" localSheetId="2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" localSheetId="3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localSheetId="1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" localSheetId="8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" localSheetId="2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" localSheetId="3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localSheetId="1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" localSheetId="8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" localSheetId="2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" localSheetId="3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localSheetId="1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" localSheetId="8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" localSheetId="2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" localSheetId="3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localSheetId="1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" localSheetId="8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" localSheetId="2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" localSheetId="3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localSheetId="1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" localSheetId="8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" localSheetId="2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" localSheetId="3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localSheetId="1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" localSheetId="8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" localSheetId="2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" localSheetId="3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localSheetId="1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" localSheetId="8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" localSheetId="2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" localSheetId="3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localSheetId="1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" localSheetId="8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" localSheetId="2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" localSheetId="3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localSheetId="1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" localSheetId="8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" localSheetId="2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" localSheetId="3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5." localSheetId="1" hidden="1">{"cover",#N/A,TRUE,"Cover";"toc2",#N/A,TRUE,"TOC";"ts1",#N/A,TRUE,"Transaction Summary";"ei",#N/A,TRUE,"Earnings Impact";"ad",#N/A,TRUE,"accretion dilution";"hg",#N/A,TRUE,"Has-Gets"}</definedName>
    <definedName name="wrn.5." localSheetId="8" hidden="1">{"cover",#N/A,TRUE,"Cover";"toc2",#N/A,TRUE,"TOC";"ts1",#N/A,TRUE,"Transaction Summary";"ei",#N/A,TRUE,"Earnings Impact";"ad",#N/A,TRUE,"accretion dilution";"hg",#N/A,TRUE,"Has-Gets"}</definedName>
    <definedName name="wrn.5." localSheetId="2" hidden="1">{"cover",#N/A,TRUE,"Cover";"toc2",#N/A,TRUE,"TOC";"ts1",#N/A,TRUE,"Transaction Summary";"ei",#N/A,TRUE,"Earnings Impact";"ad",#N/A,TRUE,"accretion dilution";"hg",#N/A,TRUE,"Has-Gets"}</definedName>
    <definedName name="wrn.5." localSheetId="3" hidden="1">{"cover",#N/A,TRUE,"Cover";"toc2",#N/A,TRUE,"TOC";"ts1",#N/A,TRUE,"Transaction Summary";"ei",#N/A,TRUE,"Earnings Impact";"ad",#N/A,TRUE,"accretion dilution";"hg",#N/A,TRUE,"Has-Gets"}</definedName>
    <definedName name="wrn.50." localSheetId="1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" localSheetId="8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" localSheetId="2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" localSheetId="3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1." localSheetId="1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" localSheetId="8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" localSheetId="2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" localSheetId="3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localSheetId="1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" localSheetId="8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" localSheetId="2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" localSheetId="3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localSheetId="1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" localSheetId="8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" localSheetId="2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" localSheetId="3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localSheetId="1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" localSheetId="8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" localSheetId="2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" localSheetId="3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localSheetId="1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" localSheetId="8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" localSheetId="2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" localSheetId="3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localSheetId="1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" localSheetId="8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" localSheetId="2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" localSheetId="3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localSheetId="1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" localSheetId="8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" localSheetId="2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" localSheetId="3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localSheetId="1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" localSheetId="8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" localSheetId="2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" localSheetId="3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localSheetId="1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" localSheetId="8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" localSheetId="2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" localSheetId="3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 localSheetId="1" hidden="1">{"cover",#N/A,TRUE,"Cover";"toc2",#N/A,TRUE,"TOC";"ts1",#N/A,TRUE,"Transaction Summary";"ei1",#N/A,TRUE,"Earnings Impact";"ad1",#N/A,TRUE,"accretion dilution";"hg1",#N/A,TRUE,"Has-Gets"}</definedName>
    <definedName name="wrn.6." localSheetId="8" hidden="1">{"cover",#N/A,TRUE,"Cover";"toc2",#N/A,TRUE,"TOC";"ts1",#N/A,TRUE,"Transaction Summary";"ei1",#N/A,TRUE,"Earnings Impact";"ad1",#N/A,TRUE,"accretion dilution";"hg1",#N/A,TRUE,"Has-Gets"}</definedName>
    <definedName name="wrn.6." localSheetId="2" hidden="1">{"cover",#N/A,TRUE,"Cover";"toc2",#N/A,TRUE,"TOC";"ts1",#N/A,TRUE,"Transaction Summary";"ei1",#N/A,TRUE,"Earnings Impact";"ad1",#N/A,TRUE,"accretion dilution";"hg1",#N/A,TRUE,"Has-Gets"}</definedName>
    <definedName name="wrn.6." localSheetId="3" hidden="1">{"cover",#N/A,TRUE,"Cover";"toc2",#N/A,TRUE,"TOC";"ts1",#N/A,TRUE,"Transaction Summary";"ei1",#N/A,TRUE,"Earnings Impact";"ad1",#N/A,TRUE,"accretion dilution";"hg1",#N/A,TRUE,"Has-Gets"}</definedName>
    <definedName name="wrn.60." localSheetId="1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" localSheetId="8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" localSheetId="2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" localSheetId="3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localSheetId="1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" localSheetId="8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" localSheetId="2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" localSheetId="3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localSheetId="1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" localSheetId="8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" localSheetId="2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" localSheetId="3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localSheetId="1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" localSheetId="8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" localSheetId="2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" localSheetId="3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localSheetId="1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" localSheetId="8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" localSheetId="2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" localSheetId="3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localSheetId="1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" localSheetId="8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" localSheetId="2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" localSheetId="3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localSheetId="1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" localSheetId="8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" localSheetId="2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" localSheetId="3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localSheetId="1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" localSheetId="8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" localSheetId="2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" localSheetId="3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localSheetId="1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" localSheetId="8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" localSheetId="2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" localSheetId="3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localSheetId="1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" localSheetId="8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" localSheetId="2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" localSheetId="3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localSheetId="1" hidden="1">{"cover",#N/A,TRUE,"Cover";"toc2",#N/A,TRUE,"TOC";"ts1",#N/A,TRUE,"Transaction Summary";"ei2c",#N/A,TRUE,"Earnings Impact";"ad2",#N/A,TRUE,"accretion dilution";"hg2",#N/A,TRUE,"Has-Gets"}</definedName>
    <definedName name="wrn.7." localSheetId="8" hidden="1">{"cover",#N/A,TRUE,"Cover";"toc2",#N/A,TRUE,"TOC";"ts1",#N/A,TRUE,"Transaction Summary";"ei2c",#N/A,TRUE,"Earnings Impact";"ad2",#N/A,TRUE,"accretion dilution";"hg2",#N/A,TRUE,"Has-Gets"}</definedName>
    <definedName name="wrn.7." localSheetId="2" hidden="1">{"cover",#N/A,TRUE,"Cover";"toc2",#N/A,TRUE,"TOC";"ts1",#N/A,TRUE,"Transaction Summary";"ei2c",#N/A,TRUE,"Earnings Impact";"ad2",#N/A,TRUE,"accretion dilution";"hg2",#N/A,TRUE,"Has-Gets"}</definedName>
    <definedName name="wrn.7." localSheetId="3" hidden="1">{"cover",#N/A,TRUE,"Cover";"toc2",#N/A,TRUE,"TOC";"ts1",#N/A,TRUE,"Transaction Summary";"ei2c",#N/A,TRUE,"Earnings Impact";"ad2",#N/A,TRUE,"accretion dilution";"hg2",#N/A,TRUE,"Has-Gets"}</definedName>
    <definedName name="wrn.70." localSheetId="1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" localSheetId="8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" localSheetId="2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" localSheetId="3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_.Per._.Cent._.Success." localSheetId="1" hidden="1">{#N/A,"70% Success",FALSE,"Sales Forecast";#N/A,#N/A,FALSE,"Sheet2"}</definedName>
    <definedName name="wrn.70._.Per._.Cent._.Success." localSheetId="8" hidden="1">{#N/A,"70% Success",FALSE,"Sales Forecast";#N/A,#N/A,FALSE,"Sheet2"}</definedName>
    <definedName name="wrn.70._.Per._.Cent._.Success." localSheetId="2" hidden="1">{#N/A,"70% Success",FALSE,"Sales Forecast";#N/A,#N/A,FALSE,"Sheet2"}</definedName>
    <definedName name="wrn.70._.Per._.Cent._.Success." localSheetId="3" hidden="1">{#N/A,"70% Success",FALSE,"Sales Forecast";#N/A,#N/A,FALSE,"Sheet2"}</definedName>
    <definedName name="wrn.71." localSheetId="1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" localSheetId="8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" localSheetId="2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" localSheetId="3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localSheetId="1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" localSheetId="8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" localSheetId="2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" localSheetId="3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8." localSheetId="1" hidden="1">{"cover",#N/A,TRUE,"Cover";"toc2",#N/A,TRUE,"TOC";"ts1",#N/A,TRUE,"Transaction Summary";"ei3",#N/A,TRUE,"Earnings Impact";"ad3",#N/A,TRUE,"accretion dilution";"hg3",#N/A,TRUE,"Has-Gets"}</definedName>
    <definedName name="wrn.8." localSheetId="8" hidden="1">{"cover",#N/A,TRUE,"Cover";"toc2",#N/A,TRUE,"TOC";"ts1",#N/A,TRUE,"Transaction Summary";"ei3",#N/A,TRUE,"Earnings Impact";"ad3",#N/A,TRUE,"accretion dilution";"hg3",#N/A,TRUE,"Has-Gets"}</definedName>
    <definedName name="wrn.8." localSheetId="2" hidden="1">{"cover",#N/A,TRUE,"Cover";"toc2",#N/A,TRUE,"TOC";"ts1",#N/A,TRUE,"Transaction Summary";"ei3",#N/A,TRUE,"Earnings Impact";"ad3",#N/A,TRUE,"accretion dilution";"hg3",#N/A,TRUE,"Has-Gets"}</definedName>
    <definedName name="wrn.8." localSheetId="3" hidden="1">{"cover",#N/A,TRUE,"Cover";"toc2",#N/A,TRUE,"TOC";"ts1",#N/A,TRUE,"Transaction Summary";"ei3",#N/A,TRUE,"Earnings Impact";"ad3",#N/A,TRUE,"accretion dilution";"hg3",#N/A,TRUE,"Has-Gets"}</definedName>
    <definedName name="wrn.9." localSheetId="1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" localSheetId="8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" localSheetId="2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" localSheetId="3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Advertising._.Acum._.Julio._.00." localSheetId="1" hidden="1">{#N/A,#N/A,FALSE,"Acum Julio - 00"}</definedName>
    <definedName name="wrn.Advertising._.Acum._.Julio._.00." localSheetId="8" hidden="1">{#N/A,#N/A,FALSE,"Acum Julio - 00"}</definedName>
    <definedName name="wrn.Advertising._.Acum._.Julio._.00." localSheetId="2" hidden="1">{#N/A,#N/A,FALSE,"Acum Julio - 00"}</definedName>
    <definedName name="wrn.Advertising._.Acum._.Julio._.00." localSheetId="3" hidden="1">{#N/A,#N/A,FALSE,"Acum Julio - 00"}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3" hidden="1">{#N/A,#N/A,FALSE,"Aging Summary";#N/A,#N/A,FALSE,"Ratio Analysis";#N/A,#N/A,FALSE,"Test 120 Day Accts";#N/A,#N/A,FALSE,"Tickmarks"}</definedName>
    <definedName name="wrn.akerr" localSheetId="1" hidden="1">{#N/A,#N/A,FALSE,"ResRegn.A-kons.";#N/A,#N/A,FALSE,"Bal3112.A-kons.";#N/A,#N/A,FALSE,"Kont.a.A-kons.";#N/A,#N/A,FALSE,"Note 1-3";#N/A,#N/A,FALSE,"Note 4-10";#N/A,#N/A,FALSE,"Note11-12";#N/A,#N/A,FALSE,"Noter Balanse.A-kons.";#N/A,#N/A,FALSE,"Note 17-18.A-kons. ";#N/A,#N/A,FALSE,"Note 19 A-kons.";#N/A,#N/A,FALSE,"Note 20-22.A-kons.";#N/A,#N/A,FALSE,"Note 23 A-kons.";#N/A,#N/A,FALSE,"Note 24-31.A-kons.";#N/A,#N/A,FALSE,"Note 32-34 A-kons.";#N/A,#N/A,FALSE,"Note 35-36.A-kons.";#N/A,#N/A,FALSE,"Nøkkeltall"}</definedName>
    <definedName name="wrn.akerr" localSheetId="8" hidden="1">{#N/A,#N/A,FALSE,"ResRegn.A-kons.";#N/A,#N/A,FALSE,"Bal3112.A-kons.";#N/A,#N/A,FALSE,"Kont.a.A-kons.";#N/A,#N/A,FALSE,"Note 1-3";#N/A,#N/A,FALSE,"Note 4-10";#N/A,#N/A,FALSE,"Note11-12";#N/A,#N/A,FALSE,"Noter Balanse.A-kons.";#N/A,#N/A,FALSE,"Note 17-18.A-kons. ";#N/A,#N/A,FALSE,"Note 19 A-kons.";#N/A,#N/A,FALSE,"Note 20-22.A-kons.";#N/A,#N/A,FALSE,"Note 23 A-kons.";#N/A,#N/A,FALSE,"Note 24-31.A-kons.";#N/A,#N/A,FALSE,"Note 32-34 A-kons.";#N/A,#N/A,FALSE,"Note 35-36.A-kons.";#N/A,#N/A,FALSE,"Nøkkeltall"}</definedName>
    <definedName name="wrn.akerr" localSheetId="2" hidden="1">{#N/A,#N/A,FALSE,"ResRegn.A-kons.";#N/A,#N/A,FALSE,"Bal3112.A-kons.";#N/A,#N/A,FALSE,"Kont.a.A-kons.";#N/A,#N/A,FALSE,"Note 1-3";#N/A,#N/A,FALSE,"Note 4-10";#N/A,#N/A,FALSE,"Note11-12";#N/A,#N/A,FALSE,"Noter Balanse.A-kons.";#N/A,#N/A,FALSE,"Note 17-18.A-kons. ";#N/A,#N/A,FALSE,"Note 19 A-kons.";#N/A,#N/A,FALSE,"Note 20-22.A-kons.";#N/A,#N/A,FALSE,"Note 23 A-kons.";#N/A,#N/A,FALSE,"Note 24-31.A-kons.";#N/A,#N/A,FALSE,"Note 32-34 A-kons.";#N/A,#N/A,FALSE,"Note 35-36.A-kons.";#N/A,#N/A,FALSE,"Nøkkeltall"}</definedName>
    <definedName name="wrn.akerr" localSheetId="3" hidden="1">{#N/A,#N/A,FALSE,"ResRegn.A-kons.";#N/A,#N/A,FALSE,"Bal3112.A-kons.";#N/A,#N/A,FALSE,"Kont.a.A-kons.";#N/A,#N/A,FALSE,"Note 1-3";#N/A,#N/A,FALSE,"Note 4-10";#N/A,#N/A,FALSE,"Note11-12";#N/A,#N/A,FALSE,"Noter Balanse.A-kons.";#N/A,#N/A,FALSE,"Note 17-18.A-kons. ";#N/A,#N/A,FALSE,"Note 19 A-kons.";#N/A,#N/A,FALSE,"Note 20-22.A-kons.";#N/A,#N/A,FALSE,"Note 23 A-kons.";#N/A,#N/A,FALSE,"Note 24-31.A-kons.";#N/A,#N/A,FALSE,"Note 32-34 A-kons.";#N/A,#N/A,FALSE,"Note 35-36.A-kons.";#N/A,#N/A,FALSE,"Nøkkeltall"}</definedName>
    <definedName name="wrn.AkerRGI96." localSheetId="1" hidden="1">{#N/A,#N/A,FALSE,"ResRegn.A-kons.";#N/A,#N/A,FALSE,"Bal3112.A-kons.";#N/A,#N/A,FALSE,"Kont.a.A-kons.";#N/A,#N/A,FALSE,"Note 1-3";#N/A,#N/A,FALSE,"Note 4-10";#N/A,#N/A,FALSE,"Note11-12";#N/A,#N/A,FALSE,"Noter Balanse.A-kons.";#N/A,#N/A,FALSE,"Note 17-18.A-kons. ";#N/A,#N/A,FALSE,"Note 19 A-kons.";#N/A,#N/A,FALSE,"Note 20-22.A-kons.";#N/A,#N/A,FALSE,"Note 23 A-kons.";#N/A,#N/A,FALSE,"Note 24-31.A-kons.";#N/A,#N/A,FALSE,"Note 32-34 A-kons.";#N/A,#N/A,FALSE,"Note 35-36.A-kons.";#N/A,#N/A,FALSE,"Nøkkeltall"}</definedName>
    <definedName name="wrn.AkerRGI96." localSheetId="8" hidden="1">{#N/A,#N/A,FALSE,"ResRegn.A-kons.";#N/A,#N/A,FALSE,"Bal3112.A-kons.";#N/A,#N/A,FALSE,"Kont.a.A-kons.";#N/A,#N/A,FALSE,"Note 1-3";#N/A,#N/A,FALSE,"Note 4-10";#N/A,#N/A,FALSE,"Note11-12";#N/A,#N/A,FALSE,"Noter Balanse.A-kons.";#N/A,#N/A,FALSE,"Note 17-18.A-kons. ";#N/A,#N/A,FALSE,"Note 19 A-kons.";#N/A,#N/A,FALSE,"Note 20-22.A-kons.";#N/A,#N/A,FALSE,"Note 23 A-kons.";#N/A,#N/A,FALSE,"Note 24-31.A-kons.";#N/A,#N/A,FALSE,"Note 32-34 A-kons.";#N/A,#N/A,FALSE,"Note 35-36.A-kons.";#N/A,#N/A,FALSE,"Nøkkeltall"}</definedName>
    <definedName name="wrn.AkerRGI96." localSheetId="2" hidden="1">{#N/A,#N/A,FALSE,"ResRegn.A-kons.";#N/A,#N/A,FALSE,"Bal3112.A-kons.";#N/A,#N/A,FALSE,"Kont.a.A-kons.";#N/A,#N/A,FALSE,"Note 1-3";#N/A,#N/A,FALSE,"Note 4-10";#N/A,#N/A,FALSE,"Note11-12";#N/A,#N/A,FALSE,"Noter Balanse.A-kons.";#N/A,#N/A,FALSE,"Note 17-18.A-kons. ";#N/A,#N/A,FALSE,"Note 19 A-kons.";#N/A,#N/A,FALSE,"Note 20-22.A-kons.";#N/A,#N/A,FALSE,"Note 23 A-kons.";#N/A,#N/A,FALSE,"Note 24-31.A-kons.";#N/A,#N/A,FALSE,"Note 32-34 A-kons.";#N/A,#N/A,FALSE,"Note 35-36.A-kons.";#N/A,#N/A,FALSE,"Nøkkeltall"}</definedName>
    <definedName name="wrn.AkerRGI96." localSheetId="3" hidden="1">{#N/A,#N/A,FALSE,"ResRegn.A-kons.";#N/A,#N/A,FALSE,"Bal3112.A-kons.";#N/A,#N/A,FALSE,"Kont.a.A-kons.";#N/A,#N/A,FALSE,"Note 1-3";#N/A,#N/A,FALSE,"Note 4-10";#N/A,#N/A,FALSE,"Note11-12";#N/A,#N/A,FALSE,"Noter Balanse.A-kons.";#N/A,#N/A,FALSE,"Note 17-18.A-kons. ";#N/A,#N/A,FALSE,"Note 19 A-kons.";#N/A,#N/A,FALSE,"Note 20-22.A-kons.";#N/A,#N/A,FALSE,"Note 23 A-kons.";#N/A,#N/A,FALSE,"Note 24-31.A-kons.";#N/A,#N/A,FALSE,"Note 32-34 A-kons.";#N/A,#N/A,FALSE,"Note 35-36.A-kons.";#N/A,#N/A,FALSE,"Nøkkeltall"}</definedName>
    <definedName name="wrn.All." localSheetId="1" hidden="1">{"Cash Flow",#N/A,FALSE,"Model";"Debt Tables",#N/A,FALSE,"Model";"Income Statement",#N/A,FALSE,"Model"}</definedName>
    <definedName name="wrn.All." localSheetId="8" hidden="1">{"Cash Flow",#N/A,FALSE,"Model";"Debt Tables",#N/A,FALSE,"Model";"Income Statement",#N/A,FALSE,"Model"}</definedName>
    <definedName name="wrn.All." localSheetId="2" hidden="1">{"Cash Flow",#N/A,FALSE,"Model";"Debt Tables",#N/A,FALSE,"Model";"Income Statement",#N/A,FALSE,"Model"}</definedName>
    <definedName name="wrn.All." localSheetId="3" hidden="1">{"Cash Flow",#N/A,FALSE,"Model";"Debt Tables",#N/A,FALSE,"Model";"Income Statement",#N/A,FALSE,"Model"}</definedName>
    <definedName name="wrn.All._.Exhibits." localSheetId="1" hidden="1">{"Base",#N/A,FALSE,"DCF Calculation - Scenario 1";"Dollar",#N/A,FALSE,"Consolidated - Scenario 1";"CS",#N/A,FALSE,"Consolidated - Scenario 1";"Base",#N/A,FALSE,"New Facilities - Scenario 1";"Inc Stmt Dollar",#N/A,FALSE,"Houston Central";"Inc Stmt CS",#N/A,FALSE,"Houston Central";"Inc Stmt Dollar",#N/A,FALSE,"Victoria";"Inc Stmt CS",#N/A,FALSE,"Victoria";"Inc Stmt Dollar",#N/A,FALSE,"Denver";"Inc Stmt CS",#N/A,FALSE,"Denver";"Inc Stmt Dollar",#N/A,FALSE,"Amarillo";"Inc Stmt CS",#N/A,FALSE,"Amarillo";"Inc Stmt Dollar",#N/A,FALSE,"Kokomo";"Inc Stmt CS",#N/A,FALSE,"Kokomo";"Inc Stmt Dollar",#N/A,FALSE,"San Angelo";"Inc Stmt CS",#N/A,FALSE,"San Angelo";"Inc Stmt Dollar",#N/A,FALSE,"Mandan";"Inc Stmt CS",#N/A,FALSE,"Mandan";"Inc Stmt Dollar",#N/A,FALSE,"Fargo";"Inc Stmt CS",#N/A,FALSE,"Fargo";"Inc Stmt Dollar",#N/A,FALSE,"Lima";"Inc Stmt CS",#N/A,FALSE,"Lima";"Inc Stmt Dollar",#N/A,FALSE,"Mansfield";"Inc Stmt CS",#N/A,FALSE,"Mansfield";"Inc Stmt Dollar",#N/A,FALSE,"Detroit";"Inc Stmt CS",#N/A,FALSE,"Detroit";"Inc Stmt Dollar",#N/A,FALSE,"Harrisburg";"Inc Stmt CS",#N/A,FALSE,"Harrisburg";"Inc Stmt Dollar",#N/A,FALSE,"Savannah";"Inc Stmt CS",#N/A,FALSE,"Savannah";"Inc Stmt Dollar",#N/A,FALSE,"Easton";"Inc Stmt CS",#N/A,FALSE,"Easton"}</definedName>
    <definedName name="wrn.All._.Exhibits." localSheetId="8" hidden="1">{"Base",#N/A,FALSE,"DCF Calculation - Scenario 1";"Dollar",#N/A,FALSE,"Consolidated - Scenario 1";"CS",#N/A,FALSE,"Consolidated - Scenario 1";"Base",#N/A,FALSE,"New Facilities - Scenario 1";"Inc Stmt Dollar",#N/A,FALSE,"Houston Central";"Inc Stmt CS",#N/A,FALSE,"Houston Central";"Inc Stmt Dollar",#N/A,FALSE,"Victoria";"Inc Stmt CS",#N/A,FALSE,"Victoria";"Inc Stmt Dollar",#N/A,FALSE,"Denver";"Inc Stmt CS",#N/A,FALSE,"Denver";"Inc Stmt Dollar",#N/A,FALSE,"Amarillo";"Inc Stmt CS",#N/A,FALSE,"Amarillo";"Inc Stmt Dollar",#N/A,FALSE,"Kokomo";"Inc Stmt CS",#N/A,FALSE,"Kokomo";"Inc Stmt Dollar",#N/A,FALSE,"San Angelo";"Inc Stmt CS",#N/A,FALSE,"San Angelo";"Inc Stmt Dollar",#N/A,FALSE,"Mandan";"Inc Stmt CS",#N/A,FALSE,"Mandan";"Inc Stmt Dollar",#N/A,FALSE,"Fargo";"Inc Stmt CS",#N/A,FALSE,"Fargo";"Inc Stmt Dollar",#N/A,FALSE,"Lima";"Inc Stmt CS",#N/A,FALSE,"Lima";"Inc Stmt Dollar",#N/A,FALSE,"Mansfield";"Inc Stmt CS",#N/A,FALSE,"Mansfield";"Inc Stmt Dollar",#N/A,FALSE,"Detroit";"Inc Stmt CS",#N/A,FALSE,"Detroit";"Inc Stmt Dollar",#N/A,FALSE,"Harrisburg";"Inc Stmt CS",#N/A,FALSE,"Harrisburg";"Inc Stmt Dollar",#N/A,FALSE,"Savannah";"Inc Stmt CS",#N/A,FALSE,"Savannah";"Inc Stmt Dollar",#N/A,FALSE,"Easton";"Inc Stmt CS",#N/A,FALSE,"Easton"}</definedName>
    <definedName name="wrn.All._.Exhibits." localSheetId="2" hidden="1">{"Base",#N/A,FALSE,"DCF Calculation - Scenario 1";"Dollar",#N/A,FALSE,"Consolidated - Scenario 1";"CS",#N/A,FALSE,"Consolidated - Scenario 1";"Base",#N/A,FALSE,"New Facilities - Scenario 1";"Inc Stmt Dollar",#N/A,FALSE,"Houston Central";"Inc Stmt CS",#N/A,FALSE,"Houston Central";"Inc Stmt Dollar",#N/A,FALSE,"Victoria";"Inc Stmt CS",#N/A,FALSE,"Victoria";"Inc Stmt Dollar",#N/A,FALSE,"Denver";"Inc Stmt CS",#N/A,FALSE,"Denver";"Inc Stmt Dollar",#N/A,FALSE,"Amarillo";"Inc Stmt CS",#N/A,FALSE,"Amarillo";"Inc Stmt Dollar",#N/A,FALSE,"Kokomo";"Inc Stmt CS",#N/A,FALSE,"Kokomo";"Inc Stmt Dollar",#N/A,FALSE,"San Angelo";"Inc Stmt CS",#N/A,FALSE,"San Angelo";"Inc Stmt Dollar",#N/A,FALSE,"Mandan";"Inc Stmt CS",#N/A,FALSE,"Mandan";"Inc Stmt Dollar",#N/A,FALSE,"Fargo";"Inc Stmt CS",#N/A,FALSE,"Fargo";"Inc Stmt Dollar",#N/A,FALSE,"Lima";"Inc Stmt CS",#N/A,FALSE,"Lima";"Inc Stmt Dollar",#N/A,FALSE,"Mansfield";"Inc Stmt CS",#N/A,FALSE,"Mansfield";"Inc Stmt Dollar",#N/A,FALSE,"Detroit";"Inc Stmt CS",#N/A,FALSE,"Detroit";"Inc Stmt Dollar",#N/A,FALSE,"Harrisburg";"Inc Stmt CS",#N/A,FALSE,"Harrisburg";"Inc Stmt Dollar",#N/A,FALSE,"Savannah";"Inc Stmt CS",#N/A,FALSE,"Savannah";"Inc Stmt Dollar",#N/A,FALSE,"Easton";"Inc Stmt CS",#N/A,FALSE,"Easton"}</definedName>
    <definedName name="wrn.All._.Exhibits." localSheetId="3" hidden="1">{"Base",#N/A,FALSE,"DCF Calculation - Scenario 1";"Dollar",#N/A,FALSE,"Consolidated - Scenario 1";"CS",#N/A,FALSE,"Consolidated - Scenario 1";"Base",#N/A,FALSE,"New Facilities - Scenario 1";"Inc Stmt Dollar",#N/A,FALSE,"Houston Central";"Inc Stmt CS",#N/A,FALSE,"Houston Central";"Inc Stmt Dollar",#N/A,FALSE,"Victoria";"Inc Stmt CS",#N/A,FALSE,"Victoria";"Inc Stmt Dollar",#N/A,FALSE,"Denver";"Inc Stmt CS",#N/A,FALSE,"Denver";"Inc Stmt Dollar",#N/A,FALSE,"Amarillo";"Inc Stmt CS",#N/A,FALSE,"Amarillo";"Inc Stmt Dollar",#N/A,FALSE,"Kokomo";"Inc Stmt CS",#N/A,FALSE,"Kokomo";"Inc Stmt Dollar",#N/A,FALSE,"San Angelo";"Inc Stmt CS",#N/A,FALSE,"San Angelo";"Inc Stmt Dollar",#N/A,FALSE,"Mandan";"Inc Stmt CS",#N/A,FALSE,"Mandan";"Inc Stmt Dollar",#N/A,FALSE,"Fargo";"Inc Stmt CS",#N/A,FALSE,"Fargo";"Inc Stmt Dollar",#N/A,FALSE,"Lima";"Inc Stmt CS",#N/A,FALSE,"Lima";"Inc Stmt Dollar",#N/A,FALSE,"Mansfield";"Inc Stmt CS",#N/A,FALSE,"Mansfield";"Inc Stmt Dollar",#N/A,FALSE,"Detroit";"Inc Stmt CS",#N/A,FALSE,"Detroit";"Inc Stmt Dollar",#N/A,FALSE,"Harrisburg";"Inc Stmt CS",#N/A,FALSE,"Harrisburg";"Inc Stmt Dollar",#N/A,FALSE,"Savannah";"Inc Stmt CS",#N/A,FALSE,"Savannah";"Inc Stmt Dollar",#N/A,FALSE,"Easton";"Inc Stmt CS",#N/A,FALSE,"Easton"}</definedName>
    <definedName name="wrn.all_sheets." localSheetId="1" hidden="1">{#N/A,#N/A,FALSE,"compcoval";#N/A,#N/A,FALSE,"optionval"}</definedName>
    <definedName name="wrn.all_sheets." localSheetId="8" hidden="1">{#N/A,#N/A,FALSE,"compcoval";#N/A,#N/A,FALSE,"optionval"}</definedName>
    <definedName name="wrn.all_sheets." localSheetId="2" hidden="1">{#N/A,#N/A,FALSE,"compcoval";#N/A,#N/A,FALSE,"optionval"}</definedName>
    <definedName name="wrn.all_sheets." localSheetId="3" hidden="1">{#N/A,#N/A,FALSE,"compcoval";#N/A,#N/A,FALSE,"optionval"}</definedName>
    <definedName name="wrn.ALLE._.ÅRSKJEMAER.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wrn.ALLE._.ÅRSKJEMAER." localSheetId="8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wrn.ALLE._.ÅRSKJEMAER." localSheetId="2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wrn.ALLE._.ÅRSKJEMAER." localSheetId="3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wrn.Alligator." localSheetId="1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lligator." localSheetId="8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lligator." localSheetId="2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lligator." localSheetId="3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NÁLISE." localSheetId="1" hidden="1">{"ANÁLISES-ATIVO",#N/A,FALSE,"ANÁLISES";"ANÁLISES-PASSIVO",#N/A,FALSE,"ANÁLISES";"ANÁLISES-RESULTADO",#N/A,FALSE,"ANÁLISES"}</definedName>
    <definedName name="wrn.ANÁLISE." localSheetId="8" hidden="1">{"ANÁLISES-ATIVO",#N/A,FALSE,"ANÁLISES";"ANÁLISES-PASSIVO",#N/A,FALSE,"ANÁLISES";"ANÁLISES-RESULTADO",#N/A,FALSE,"ANÁLISES"}</definedName>
    <definedName name="wrn.ANÁLISE." localSheetId="2" hidden="1">{"ANÁLISES-ATIVO",#N/A,FALSE,"ANÁLISES";"ANÁLISES-PASSIVO",#N/A,FALSE,"ANÁLISES";"ANÁLISES-RESULTADO",#N/A,FALSE,"ANÁLISES"}</definedName>
    <definedName name="wrn.ANÁLISE." localSheetId="3" hidden="1">{"ANÁLISES-ATIVO",#N/A,FALSE,"ANÁLISES";"ANÁLISES-PASSIVO",#N/A,FALSE,"ANÁLISES";"ANÁLISES-RESULTADO",#N/A,FALSE,"ANÁLISES"}</definedName>
    <definedName name="wrn.ANNUAL._.ACCOUNTS._.FORM." localSheetId="1" hidden="1">{#N/A,#N/A,FALSE,"FORM 6.1 ";#N/A,#N/A,FALSE,"FORM 6.2";#N/A,#N/A,FALSE,"FORM 6.3";#N/A,#N/A,FALSE,"FORM 6.4";#N/A,#N/A,FALSE,"FORM 6.5";#N/A,#N/A,FALSE,"FORM 6.6 ";#N/A,#N/A,FALSE,"FORM 6.7 ";#N/A,#N/A,FALSE,"FORM 6.8 ";#N/A,#N/A,FALSE,"FORM 6.9";#N/A,#N/A,FALSE,"FORM 6.10 ";#N/A,#N/A,FALSE,"FORM 6.11 ";#N/A,#N/A,FALSE,"FORM 6.12 ";#N/A,#N/A,FALSE,"FORM 6.13 ";#N/A,#N/A,FALSE,"FORM 6.14";#N/A,#N/A,FALSE,"FORM 6.15 ";#N/A,#N/A,FALSE,"FORM 6.16 ";#N/A,#N/A,FALSE,"FORM 6.17 ";#N/A,#N/A,FALSE,"FORM 6.18 ";#N/A,#N/A,FALSE,"FORM 6.19 ";#N/A,#N/A,FALSE,"FORM 6.20 ";#N/A,#N/A,FALSE,"FORM 6.21";#N/A,#N/A,FALSE,"FORM 6.22 ";#N/A,#N/A,FALSE,"FORM 6.23 ";#N/A,#N/A,FALSE,"FORM 6.24 ";#N/A,#N/A,FALSE,"FORM 6.25";#N/A,#N/A,FALSE,"FORM 6.26 ";#N/A,#N/A,FALSE,"FORM 6.27";#N/A,#N/A,FALSE,"FORM 6.28 ";#N/A,#N/A,FALSE,"FORM 6.29";#N/A,#N/A,FALSE,"FORM 6.30";#N/A,#N/A,FALSE,"FORM 6.31"}</definedName>
    <definedName name="wrn.ANNUAL._.ACCOUNTS._.FORM." localSheetId="8" hidden="1">{#N/A,#N/A,FALSE,"FORM 6.1 ";#N/A,#N/A,FALSE,"FORM 6.2";#N/A,#N/A,FALSE,"FORM 6.3";#N/A,#N/A,FALSE,"FORM 6.4";#N/A,#N/A,FALSE,"FORM 6.5";#N/A,#N/A,FALSE,"FORM 6.6 ";#N/A,#N/A,FALSE,"FORM 6.7 ";#N/A,#N/A,FALSE,"FORM 6.8 ";#N/A,#N/A,FALSE,"FORM 6.9";#N/A,#N/A,FALSE,"FORM 6.10 ";#N/A,#N/A,FALSE,"FORM 6.11 ";#N/A,#N/A,FALSE,"FORM 6.12 ";#N/A,#N/A,FALSE,"FORM 6.13 ";#N/A,#N/A,FALSE,"FORM 6.14";#N/A,#N/A,FALSE,"FORM 6.15 ";#N/A,#N/A,FALSE,"FORM 6.16 ";#N/A,#N/A,FALSE,"FORM 6.17 ";#N/A,#N/A,FALSE,"FORM 6.18 ";#N/A,#N/A,FALSE,"FORM 6.19 ";#N/A,#N/A,FALSE,"FORM 6.20 ";#N/A,#N/A,FALSE,"FORM 6.21";#N/A,#N/A,FALSE,"FORM 6.22 ";#N/A,#N/A,FALSE,"FORM 6.23 ";#N/A,#N/A,FALSE,"FORM 6.24 ";#N/A,#N/A,FALSE,"FORM 6.25";#N/A,#N/A,FALSE,"FORM 6.26 ";#N/A,#N/A,FALSE,"FORM 6.27";#N/A,#N/A,FALSE,"FORM 6.28 ";#N/A,#N/A,FALSE,"FORM 6.29";#N/A,#N/A,FALSE,"FORM 6.30";#N/A,#N/A,FALSE,"FORM 6.31"}</definedName>
    <definedName name="wrn.ANNUAL._.ACCOUNTS._.FORM." localSheetId="2" hidden="1">{#N/A,#N/A,FALSE,"FORM 6.1 ";#N/A,#N/A,FALSE,"FORM 6.2";#N/A,#N/A,FALSE,"FORM 6.3";#N/A,#N/A,FALSE,"FORM 6.4";#N/A,#N/A,FALSE,"FORM 6.5";#N/A,#N/A,FALSE,"FORM 6.6 ";#N/A,#N/A,FALSE,"FORM 6.7 ";#N/A,#N/A,FALSE,"FORM 6.8 ";#N/A,#N/A,FALSE,"FORM 6.9";#N/A,#N/A,FALSE,"FORM 6.10 ";#N/A,#N/A,FALSE,"FORM 6.11 ";#N/A,#N/A,FALSE,"FORM 6.12 ";#N/A,#N/A,FALSE,"FORM 6.13 ";#N/A,#N/A,FALSE,"FORM 6.14";#N/A,#N/A,FALSE,"FORM 6.15 ";#N/A,#N/A,FALSE,"FORM 6.16 ";#N/A,#N/A,FALSE,"FORM 6.17 ";#N/A,#N/A,FALSE,"FORM 6.18 ";#N/A,#N/A,FALSE,"FORM 6.19 ";#N/A,#N/A,FALSE,"FORM 6.20 ";#N/A,#N/A,FALSE,"FORM 6.21";#N/A,#N/A,FALSE,"FORM 6.22 ";#N/A,#N/A,FALSE,"FORM 6.23 ";#N/A,#N/A,FALSE,"FORM 6.24 ";#N/A,#N/A,FALSE,"FORM 6.25";#N/A,#N/A,FALSE,"FORM 6.26 ";#N/A,#N/A,FALSE,"FORM 6.27";#N/A,#N/A,FALSE,"FORM 6.28 ";#N/A,#N/A,FALSE,"FORM 6.29";#N/A,#N/A,FALSE,"FORM 6.30";#N/A,#N/A,FALSE,"FORM 6.31"}</definedName>
    <definedName name="wrn.ANNUAL._.ACCOUNTS._.FORM." localSheetId="3" hidden="1">{#N/A,#N/A,FALSE,"FORM 6.1 ";#N/A,#N/A,FALSE,"FORM 6.2";#N/A,#N/A,FALSE,"FORM 6.3";#N/A,#N/A,FALSE,"FORM 6.4";#N/A,#N/A,FALSE,"FORM 6.5";#N/A,#N/A,FALSE,"FORM 6.6 ";#N/A,#N/A,FALSE,"FORM 6.7 ";#N/A,#N/A,FALSE,"FORM 6.8 ";#N/A,#N/A,FALSE,"FORM 6.9";#N/A,#N/A,FALSE,"FORM 6.10 ";#N/A,#N/A,FALSE,"FORM 6.11 ";#N/A,#N/A,FALSE,"FORM 6.12 ";#N/A,#N/A,FALSE,"FORM 6.13 ";#N/A,#N/A,FALSE,"FORM 6.14";#N/A,#N/A,FALSE,"FORM 6.15 ";#N/A,#N/A,FALSE,"FORM 6.16 ";#N/A,#N/A,FALSE,"FORM 6.17 ";#N/A,#N/A,FALSE,"FORM 6.18 ";#N/A,#N/A,FALSE,"FORM 6.19 ";#N/A,#N/A,FALSE,"FORM 6.20 ";#N/A,#N/A,FALSE,"FORM 6.21";#N/A,#N/A,FALSE,"FORM 6.22 ";#N/A,#N/A,FALSE,"FORM 6.23 ";#N/A,#N/A,FALSE,"FORM 6.24 ";#N/A,#N/A,FALSE,"FORM 6.25";#N/A,#N/A,FALSE,"FORM 6.26 ";#N/A,#N/A,FALSE,"FORM 6.27";#N/A,#N/A,FALSE,"FORM 6.28 ";#N/A,#N/A,FALSE,"FORM 6.29";#N/A,#N/A,FALSE,"FORM 6.30";#N/A,#N/A,FALSE,"FORM 6.31"}</definedName>
    <definedName name="wrn.aogt." localSheetId="1" hidden="1">{#N/A,#N/A,FALSE,"Res_Albatross";#N/A,#N/A,FALSE,"Bal_Albatross";#N/A,#N/A,FALSE,"Kont_Albatross";#N/A,#N/A,FALSE,"Note 1-5";#N/A,#N/A,FALSE,"Note 6-9";#N/A,#N/A,FALSE,"Bal_note10-14";#N/A,#N/A,FALSE,"Note 15-16";#N/A,#N/A,FALSE,"Note 17-19";#N/A,#N/A,FALSE,"Note 20-23";#N/A,#N/A,FALSE,"Nøkkeltall"}</definedName>
    <definedName name="wrn.aogt." localSheetId="8" hidden="1">{#N/A,#N/A,FALSE,"Res_Albatross";#N/A,#N/A,FALSE,"Bal_Albatross";#N/A,#N/A,FALSE,"Kont_Albatross";#N/A,#N/A,FALSE,"Note 1-5";#N/A,#N/A,FALSE,"Note 6-9";#N/A,#N/A,FALSE,"Bal_note10-14";#N/A,#N/A,FALSE,"Note 15-16";#N/A,#N/A,FALSE,"Note 17-19";#N/A,#N/A,FALSE,"Note 20-23";#N/A,#N/A,FALSE,"Nøkkeltall"}</definedName>
    <definedName name="wrn.aogt." localSheetId="2" hidden="1">{#N/A,#N/A,FALSE,"Res_Albatross";#N/A,#N/A,FALSE,"Bal_Albatross";#N/A,#N/A,FALSE,"Kont_Albatross";#N/A,#N/A,FALSE,"Note 1-5";#N/A,#N/A,FALSE,"Note 6-9";#N/A,#N/A,FALSE,"Bal_note10-14";#N/A,#N/A,FALSE,"Note 15-16";#N/A,#N/A,FALSE,"Note 17-19";#N/A,#N/A,FALSE,"Note 20-23";#N/A,#N/A,FALSE,"Nøkkeltall"}</definedName>
    <definedName name="wrn.aogt." localSheetId="3" hidden="1">{#N/A,#N/A,FALSE,"Res_Albatross";#N/A,#N/A,FALSE,"Bal_Albatross";#N/A,#N/A,FALSE,"Kont_Albatross";#N/A,#N/A,FALSE,"Note 1-5";#N/A,#N/A,FALSE,"Note 6-9";#N/A,#N/A,FALSE,"Bal_note10-14";#N/A,#N/A,FALSE,"Note 15-16";#N/A,#N/A,FALSE,"Note 17-19";#N/A,#N/A,FALSE,"Note 20-23";#N/A,#N/A,FALSE,"Nøkkeltall"}</definedName>
    <definedName name="wrn.assumptions." localSheetId="1" hidden="1">{"assumptions1",#N/A,FALSE,"Valuation Analysis";"assumptions2",#N/A,FALSE,"Valuation Analysis"}</definedName>
    <definedName name="wrn.assumptions." localSheetId="8" hidden="1">{"assumptions1",#N/A,FALSE,"Valuation Analysis";"assumptions2",#N/A,FALSE,"Valuation Analysis"}</definedName>
    <definedName name="wrn.assumptions." localSheetId="2" hidden="1">{"assumptions1",#N/A,FALSE,"Valuation Analysis";"assumptions2",#N/A,FALSE,"Valuation Analysis"}</definedName>
    <definedName name="wrn.assumptions." localSheetId="3" hidden="1">{"assumptions1",#N/A,FALSE,"Valuation Analysis";"assumptions2",#N/A,FALSE,"Valuation Analysis"}</definedName>
    <definedName name="wrn.balance._.sheet." localSheetId="1" hidden="1">{"bs",#N/A,FALSE,"SCF"}</definedName>
    <definedName name="wrn.balance._.sheet." localSheetId="8" hidden="1">{"bs",#N/A,FALSE,"SCF"}</definedName>
    <definedName name="wrn.balance._.sheet." localSheetId="2" hidden="1">{"bs",#N/A,FALSE,"SCF"}</definedName>
    <definedName name="wrn.balance._.sheet." localSheetId="3" hidden="1">{"bs",#N/A,FALSE,"SCF"}</definedName>
    <definedName name="wrn.Basic._.Report." localSheetId="1" hidden="1">{#N/A,#N/A,FALSE,"New Depr Sch-150% DB";#N/A,#N/A,FALSE,"Cash Flows RLP";#N/A,#N/A,FALSE,"IRR";#N/A,#N/A,FALSE,"Proforma IS";#N/A,#N/A,FALSE,"Assumptions"}</definedName>
    <definedName name="wrn.Basic._.Report." localSheetId="8" hidden="1">{#N/A,#N/A,FALSE,"New Depr Sch-150% DB";#N/A,#N/A,FALSE,"Cash Flows RLP";#N/A,#N/A,FALSE,"IRR";#N/A,#N/A,FALSE,"Proforma IS";#N/A,#N/A,FALSE,"Assumptions"}</definedName>
    <definedName name="wrn.Basic._.Report." localSheetId="2" hidden="1">{#N/A,#N/A,FALSE,"New Depr Sch-150% DB";#N/A,#N/A,FALSE,"Cash Flows RLP";#N/A,#N/A,FALSE,"IRR";#N/A,#N/A,FALSE,"Proforma IS";#N/A,#N/A,FALSE,"Assumptions"}</definedName>
    <definedName name="wrn.Basic._.Report." localSheetId="3" hidden="1">{#N/A,#N/A,FALSE,"New Depr Sch-150% DB";#N/A,#N/A,FALSE,"Cash Flows RLP";#N/A,#N/A,FALSE,"IRR";#N/A,#N/A,FALSE,"Proforma IS";#N/A,#N/A,FALSE,"Assumptions"}</definedName>
    <definedName name="wrn.Board._.Pack." localSheetId="1" hidden="1">{"Board Income Statement",#N/A,FALSE,"Board Summary";"Board Balance Sheet",#N/A,FALSE,"Board Summary";"Board Cash Flow",#N/A,FALSE,"Board Summary"}</definedName>
    <definedName name="wrn.Board._.Pack." localSheetId="8" hidden="1">{"Board Income Statement",#N/A,FALSE,"Board Summary";"Board Balance Sheet",#N/A,FALSE,"Board Summary";"Board Cash Flow",#N/A,FALSE,"Board Summary"}</definedName>
    <definedName name="wrn.Board._.Pack." localSheetId="2" hidden="1">{"Board Income Statement",#N/A,FALSE,"Board Summary";"Board Balance Sheet",#N/A,FALSE,"Board Summary";"Board Cash Flow",#N/A,FALSE,"Board Summary"}</definedName>
    <definedName name="wrn.Board._.Pack." localSheetId="3" hidden="1">{"Board Income Statement",#N/A,FALSE,"Board Summary";"Board Balance Sheet",#N/A,FALSE,"Board Summary";"Board Cash Flow",#N/A,FALSE,"Board Summary"}</definedName>
    <definedName name="wrn.CASO._.BASE." localSheetId="1" hidden="1">{"SCENARIOS",#N/A,FALSE,"Resumen de escenario";"INFORHIPOT",#N/A,FALSE,"hipotesis";"INFORA8",#N/A,FALSE,"A-8";"INFORSS",#N/A,FALSE,"SSUR";"SCENARIOS",#N/A,FALSE,"consolidado"}</definedName>
    <definedName name="wrn.CASO._.BASE." localSheetId="8" hidden="1">{"SCENARIOS",#N/A,FALSE,"Resumen de escenario";"INFORHIPOT",#N/A,FALSE,"hipotesis";"INFORA8",#N/A,FALSE,"A-8";"INFORSS",#N/A,FALSE,"SSUR";"SCENARIOS",#N/A,FALSE,"consolidado"}</definedName>
    <definedName name="wrn.CASO._.BASE." localSheetId="2" hidden="1">{"SCENARIOS",#N/A,FALSE,"Resumen de escenario";"INFORHIPOT",#N/A,FALSE,"hipotesis";"INFORA8",#N/A,FALSE,"A-8";"INFORSS",#N/A,FALSE,"SSUR";"SCENARIOS",#N/A,FALSE,"consolidado"}</definedName>
    <definedName name="wrn.CASO._.BASE." localSheetId="3" hidden="1">{"SCENARIOS",#N/A,FALSE,"Resumen de escenario";"INFORHIPOT",#N/A,FALSE,"hipotesis";"INFORA8",#N/A,FALSE,"A-8";"INFORSS",#N/A,FALSE,"SSUR";"SCENARIOS",#N/A,FALSE,"consolidado"}</definedName>
    <definedName name="wrn.Clarobook." localSheetId="1" hidden="1">{#N/A,#N/A,TRUE,"índice";#N/A,#N/A,TRUE,"bp";#N/A,#N/A,TRUE,"dre";#N/A,#N/A,TRUE,"mpl";#N/A,#N/A,TRUE,"doar";#N/A,#N/A,TRUE,"fc";#N/A,#N/A,TRUE,"cta_rec";#N/A,#N/A,TRUE,"Estoque";#N/A,#N/A,TRUE,"Estoque_Det";#N/A,#N/A,TRUE,"Despesas Antecipadas";#N/A,#N/A,TRUE,"IReCS";#N/A,#N/A,TRUE,"BaseNegativa";#N/A,#N/A,TRUE,"CS";#N/A,#N/A,TRUE,"AjCS";#N/A,#N/A,TRUE,"Prej.Fiscal";#N/A,#N/A,TRUE,"IR";#N/A,#N/A,TRUE,"AjIR";#N/A,#N/A,TRUE,"Permanente";"Permanente_gráfico",#N/A,TRUE,"Permanente";#N/A,#N/A,TRUE,"Capitalização";"Financiamentos Mensal",#N/A,TRUE,"Financiamentos";"Financiamentos Movimentação",#N/A,TRUE,"Financiamentos";#N/A,#N/A,TRUE,"Soc.Ligadas";#N/A,#N/A,TRUE,"Capital";#N/A,#N/A,TRUE,"indicadores";#N/A,#N/A,TRUE,"Receita";#N/A,#N/A,TRUE,"CPV";#N/A,#N/A,TRUE,"Financeiras"}</definedName>
    <definedName name="wrn.Clarobook." localSheetId="8" hidden="1">{#N/A,#N/A,TRUE,"índice";#N/A,#N/A,TRUE,"bp";#N/A,#N/A,TRUE,"dre";#N/A,#N/A,TRUE,"mpl";#N/A,#N/A,TRUE,"doar";#N/A,#N/A,TRUE,"fc";#N/A,#N/A,TRUE,"cta_rec";#N/A,#N/A,TRUE,"Estoque";#N/A,#N/A,TRUE,"Estoque_Det";#N/A,#N/A,TRUE,"Despesas Antecipadas";#N/A,#N/A,TRUE,"IReCS";#N/A,#N/A,TRUE,"BaseNegativa";#N/A,#N/A,TRUE,"CS";#N/A,#N/A,TRUE,"AjCS";#N/A,#N/A,TRUE,"Prej.Fiscal";#N/A,#N/A,TRUE,"IR";#N/A,#N/A,TRUE,"AjIR";#N/A,#N/A,TRUE,"Permanente";"Permanente_gráfico",#N/A,TRUE,"Permanente";#N/A,#N/A,TRUE,"Capitalização";"Financiamentos Mensal",#N/A,TRUE,"Financiamentos";"Financiamentos Movimentação",#N/A,TRUE,"Financiamentos";#N/A,#N/A,TRUE,"Soc.Ligadas";#N/A,#N/A,TRUE,"Capital";#N/A,#N/A,TRUE,"indicadores";#N/A,#N/A,TRUE,"Receita";#N/A,#N/A,TRUE,"CPV";#N/A,#N/A,TRUE,"Financeiras"}</definedName>
    <definedName name="wrn.Clarobook." localSheetId="2" hidden="1">{#N/A,#N/A,TRUE,"índice";#N/A,#N/A,TRUE,"bp";#N/A,#N/A,TRUE,"dre";#N/A,#N/A,TRUE,"mpl";#N/A,#N/A,TRUE,"doar";#N/A,#N/A,TRUE,"fc";#N/A,#N/A,TRUE,"cta_rec";#N/A,#N/A,TRUE,"Estoque";#N/A,#N/A,TRUE,"Estoque_Det";#N/A,#N/A,TRUE,"Despesas Antecipadas";#N/A,#N/A,TRUE,"IReCS";#N/A,#N/A,TRUE,"BaseNegativa";#N/A,#N/A,TRUE,"CS";#N/A,#N/A,TRUE,"AjCS";#N/A,#N/A,TRUE,"Prej.Fiscal";#N/A,#N/A,TRUE,"IR";#N/A,#N/A,TRUE,"AjIR";#N/A,#N/A,TRUE,"Permanente";"Permanente_gráfico",#N/A,TRUE,"Permanente";#N/A,#N/A,TRUE,"Capitalização";"Financiamentos Mensal",#N/A,TRUE,"Financiamentos";"Financiamentos Movimentação",#N/A,TRUE,"Financiamentos";#N/A,#N/A,TRUE,"Soc.Ligadas";#N/A,#N/A,TRUE,"Capital";#N/A,#N/A,TRUE,"indicadores";#N/A,#N/A,TRUE,"Receita";#N/A,#N/A,TRUE,"CPV";#N/A,#N/A,TRUE,"Financeiras"}</definedName>
    <definedName name="wrn.Clarobook." localSheetId="3" hidden="1">{#N/A,#N/A,TRUE,"índice";#N/A,#N/A,TRUE,"bp";#N/A,#N/A,TRUE,"dre";#N/A,#N/A,TRUE,"mpl";#N/A,#N/A,TRUE,"doar";#N/A,#N/A,TRUE,"fc";#N/A,#N/A,TRUE,"cta_rec";#N/A,#N/A,TRUE,"Estoque";#N/A,#N/A,TRUE,"Estoque_Det";#N/A,#N/A,TRUE,"Despesas Antecipadas";#N/A,#N/A,TRUE,"IReCS";#N/A,#N/A,TRUE,"BaseNegativa";#N/A,#N/A,TRUE,"CS";#N/A,#N/A,TRUE,"AjCS";#N/A,#N/A,TRUE,"Prej.Fiscal";#N/A,#N/A,TRUE,"IR";#N/A,#N/A,TRUE,"AjIR";#N/A,#N/A,TRUE,"Permanente";"Permanente_gráfico",#N/A,TRUE,"Permanente";#N/A,#N/A,TRUE,"Capitalização";"Financiamentos Mensal",#N/A,TRUE,"Financiamentos";"Financiamentos Movimentação",#N/A,TRUE,"Financiamentos";#N/A,#N/A,TRUE,"Soc.Ligadas";#N/A,#N/A,TRUE,"Capital";#N/A,#N/A,TRUE,"indicadores";#N/A,#N/A,TRUE,"Receita";#N/A,#N/A,TRUE,"CPV";#N/A,#N/A,TRUE,"Financeiras"}</definedName>
    <definedName name="WRN.CLIENT_PRE" localSheetId="1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WRN.CLIENT_PRE" localSheetId="8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WRN.CLIENT_PRE" localSheetId="2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WRN.CLIENT_PRE" localSheetId="3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wrn.client_pre111" localSheetId="1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wrn.client_pre111" localSheetId="8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wrn.client_pre111" localSheetId="2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wrn.client_pre111" localSheetId="3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wrn.client_quant111" localSheetId="1" hidden="1">{#N/A,"Tabelas de quantidade",FALSE,"Entradas";"CLIENTE",#N/A,FALSE,"HW";"CLIENTE",#N/A,FALSE,"SW";"CLIENTE",#N/A,FALSE,"TELESSUP.";"CLIENTE",#N/A,FALSE,"DCN &amp; Acess";"CLIENTE",#N/A,FALSE,"Sobressalentes";"CLIENTE",#N/A,FALSE,"Mat. Instal.";"CLIENTE",#N/A,FALSE,"Doc. Técnica";"CLIENTE",#N/A,FALSE,"Serviços";"CLIENTE",#N/A,FALSE,"Treinamento"}</definedName>
    <definedName name="wrn.client_quant111" localSheetId="8" hidden="1">{#N/A,"Tabelas de quantidade",FALSE,"Entradas";"CLIENTE",#N/A,FALSE,"HW";"CLIENTE",#N/A,FALSE,"SW";"CLIENTE",#N/A,FALSE,"TELESSUP.";"CLIENTE",#N/A,FALSE,"DCN &amp; Acess";"CLIENTE",#N/A,FALSE,"Sobressalentes";"CLIENTE",#N/A,FALSE,"Mat. Instal.";"CLIENTE",#N/A,FALSE,"Doc. Técnica";"CLIENTE",#N/A,FALSE,"Serviços";"CLIENTE",#N/A,FALSE,"Treinamento"}</definedName>
    <definedName name="wrn.client_quant111" localSheetId="2" hidden="1">{#N/A,"Tabelas de quantidade",FALSE,"Entradas";"CLIENTE",#N/A,FALSE,"HW";"CLIENTE",#N/A,FALSE,"SW";"CLIENTE",#N/A,FALSE,"TELESSUP.";"CLIENTE",#N/A,FALSE,"DCN &amp; Acess";"CLIENTE",#N/A,FALSE,"Sobressalentes";"CLIENTE",#N/A,FALSE,"Mat. Instal.";"CLIENTE",#N/A,FALSE,"Doc. Técnica";"CLIENTE",#N/A,FALSE,"Serviços";"CLIENTE",#N/A,FALSE,"Treinamento"}</definedName>
    <definedName name="wrn.client_quant111" localSheetId="3" hidden="1">{#N/A,"Tabelas de quantidade",FALSE,"Entradas";"CLIENTE",#N/A,FALSE,"HW";"CLIENTE",#N/A,FALSE,"SW";"CLIENTE",#N/A,FALSE,"TELESSUP.";"CLIENTE",#N/A,FALSE,"DCN &amp; Acess";"CLIENTE",#N/A,FALSE,"Sobressalentes";"CLIENTE",#N/A,FALSE,"Mat. Instal.";"CLIENTE",#N/A,FALSE,"Doc. Técnica";"CLIENTE",#N/A,FALSE,"Serviços";"CLIENTE",#N/A,FALSE,"Treinamento"}</definedName>
    <definedName name="wrn.clientcopy." localSheetId="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localSheetId="8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localSheetId="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localSheetId="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E_PRECO." localSheetId="1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wrn.CLIENTE_PRECO." localSheetId="8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wrn.CLIENTE_PRECO." localSheetId="2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wrn.CLIENTE_PRECO." localSheetId="3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wrn.cliente_preco111" localSheetId="1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wrn.cliente_preco111" localSheetId="8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wrn.cliente_preco111" localSheetId="2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wrn.cliente_preco111" localSheetId="3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wrn.CLIENTE_PRECO2" localSheetId="1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wrn.CLIENTE_PRECO2" localSheetId="8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wrn.CLIENTE_PRECO2" localSheetId="2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wrn.CLIENTE_PRECO2" localSheetId="3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wrn.CLIENTE_QUANT." localSheetId="1" hidden="1">{#N/A,"Tabelas de quantidade",FALSE,"Entradas";"CLIENTE",#N/A,FALSE,"HW";"CLIENTE",#N/A,FALSE,"SW";"CLIENTE",#N/A,FALSE,"TELESSUP.";"CLIENTE",#N/A,FALSE,"DCN &amp; Acess";"CLIENTE",#N/A,FALSE,"Sobressalentes";"CLIENTE",#N/A,FALSE,"Mat. Instal.";"CLIENTE",#N/A,FALSE,"Doc. Técnica";"CLIENTE",#N/A,FALSE,"Serviços";"CLIENTE",#N/A,FALSE,"Treinamento"}</definedName>
    <definedName name="wrn.CLIENTE_QUANT." localSheetId="8" hidden="1">{#N/A,"Tabelas de quantidade",FALSE,"Entradas";"CLIENTE",#N/A,FALSE,"HW";"CLIENTE",#N/A,FALSE,"SW";"CLIENTE",#N/A,FALSE,"TELESSUP.";"CLIENTE",#N/A,FALSE,"DCN &amp; Acess";"CLIENTE",#N/A,FALSE,"Sobressalentes";"CLIENTE",#N/A,FALSE,"Mat. Instal.";"CLIENTE",#N/A,FALSE,"Doc. Técnica";"CLIENTE",#N/A,FALSE,"Serviços";"CLIENTE",#N/A,FALSE,"Treinamento"}</definedName>
    <definedName name="wrn.CLIENTE_QUANT." localSheetId="2" hidden="1">{#N/A,"Tabelas de quantidade",FALSE,"Entradas";"CLIENTE",#N/A,FALSE,"HW";"CLIENTE",#N/A,FALSE,"SW";"CLIENTE",#N/A,FALSE,"TELESSUP.";"CLIENTE",#N/A,FALSE,"DCN &amp; Acess";"CLIENTE",#N/A,FALSE,"Sobressalentes";"CLIENTE",#N/A,FALSE,"Mat. Instal.";"CLIENTE",#N/A,FALSE,"Doc. Técnica";"CLIENTE",#N/A,FALSE,"Serviços";"CLIENTE",#N/A,FALSE,"Treinamento"}</definedName>
    <definedName name="wrn.CLIENTE_QUANT." localSheetId="3" hidden="1">{#N/A,"Tabelas de quantidade",FALSE,"Entradas";"CLIENTE",#N/A,FALSE,"HW";"CLIENTE",#N/A,FALSE,"SW";"CLIENTE",#N/A,FALSE,"TELESSUP.";"CLIENTE",#N/A,FALSE,"DCN &amp; Acess";"CLIENTE",#N/A,FALSE,"Sobressalentes";"CLIENTE",#N/A,FALSE,"Mat. Instal.";"CLIENTE",#N/A,FALSE,"Doc. Técnica";"CLIENTE",#N/A,FALSE,"Serviços";"CLIENTE",#N/A,FALSE,"Treinamento"}</definedName>
    <definedName name="wrn.CMF." localSheetId="1" hidden="1">{"CMF",#N/A,TRUE,"HW";"CMF",#N/A,TRUE,"SW";"CMF",#N/A,TRUE,"TELESSUP.";"CMF",#N/A,TRUE,"DCN &amp; Acess";"CMF",#N/A,TRUE,"Sobressalentes";"CMF",#N/A,TRUE,"Mat. Instal.";"CMF",#N/A,TRUE,"Doc. Técnica"}</definedName>
    <definedName name="wrn.CMF." localSheetId="8" hidden="1">{"CMF",#N/A,TRUE,"HW";"CMF",#N/A,TRUE,"SW";"CMF",#N/A,TRUE,"TELESSUP.";"CMF",#N/A,TRUE,"DCN &amp; Acess";"CMF",#N/A,TRUE,"Sobressalentes";"CMF",#N/A,TRUE,"Mat. Instal.";"CMF",#N/A,TRUE,"Doc. Técnica"}</definedName>
    <definedName name="wrn.CMF." localSheetId="2" hidden="1">{"CMF",#N/A,TRUE,"HW";"CMF",#N/A,TRUE,"SW";"CMF",#N/A,TRUE,"TELESSUP.";"CMF",#N/A,TRUE,"DCN &amp; Acess";"CMF",#N/A,TRUE,"Sobressalentes";"CMF",#N/A,TRUE,"Mat. Instal.";"CMF",#N/A,TRUE,"Doc. Técnica"}</definedName>
    <definedName name="wrn.CMF." localSheetId="3" hidden="1">{"CMF",#N/A,TRUE,"HW";"CMF",#N/A,TRUE,"SW";"CMF",#N/A,TRUE,"TELESSUP.";"CMF",#N/A,TRUE,"DCN &amp; Acess";"CMF",#N/A,TRUE,"Sobressalentes";"CMF",#N/A,TRUE,"Mat. Instal.";"CMF",#N/A,TRUE,"Doc. Técnica"}</definedName>
    <definedName name="wrn.CMF111" localSheetId="1" hidden="1">{"CMF",#N/A,TRUE,"HW";"CMF",#N/A,TRUE,"SW";"CMF",#N/A,TRUE,"TELESSUP.";"CMF",#N/A,TRUE,"DCN &amp; Acess";"CMF",#N/A,TRUE,"Sobressalentes";"CMF",#N/A,TRUE,"Mat. Instal.";"CMF",#N/A,TRUE,"Doc. Técnica"}</definedName>
    <definedName name="wrn.CMF111" localSheetId="8" hidden="1">{"CMF",#N/A,TRUE,"HW";"CMF",#N/A,TRUE,"SW";"CMF",#N/A,TRUE,"TELESSUP.";"CMF",#N/A,TRUE,"DCN &amp; Acess";"CMF",#N/A,TRUE,"Sobressalentes";"CMF",#N/A,TRUE,"Mat. Instal.";"CMF",#N/A,TRUE,"Doc. Técnica"}</definedName>
    <definedName name="wrn.CMF111" localSheetId="2" hidden="1">{"CMF",#N/A,TRUE,"HW";"CMF",#N/A,TRUE,"SW";"CMF",#N/A,TRUE,"TELESSUP.";"CMF",#N/A,TRUE,"DCN &amp; Acess";"CMF",#N/A,TRUE,"Sobressalentes";"CMF",#N/A,TRUE,"Mat. Instal.";"CMF",#N/A,TRUE,"Doc. Técnica"}</definedName>
    <definedName name="wrn.CMF111" localSheetId="3" hidden="1">{"CMF",#N/A,TRUE,"HW";"CMF",#N/A,TRUE,"SW";"CMF",#N/A,TRUE,"TELESSUP.";"CMF",#N/A,TRUE,"DCN &amp; Acess";"CMF",#N/A,TRUE,"Sobressalentes";"CMF",#N/A,TRUE,"Mat. Instal.";"CMF",#N/A,TRUE,"Doc. Técnica"}</definedName>
    <definedName name="wrn.comp_prjctn_paybck." localSheetId="1" hidden="1">{#N/A,#N/A,FALSE,"Bene";#N/A,#N/A,FALSE,"Scen1"}</definedName>
    <definedName name="wrn.comp_prjctn_paybck." localSheetId="8" hidden="1">{#N/A,#N/A,FALSE,"Bene";#N/A,#N/A,FALSE,"Scen1"}</definedName>
    <definedName name="wrn.comp_prjctn_paybck." localSheetId="2" hidden="1">{#N/A,#N/A,FALSE,"Bene";#N/A,#N/A,FALSE,"Scen1"}</definedName>
    <definedName name="wrn.comp_prjctn_paybck." localSheetId="3" hidden="1">{#N/A,#N/A,FALSE,"Bene";#N/A,#N/A,FALSE,"Scen1"}</definedName>
    <definedName name="wrn.Complete._.Report." localSheetId="1" hidden="1">{#N/A,#N/A,FALSE,"Assumptions";#N/A,#N/A,FALSE,"Proforma IS";#N/A,#N/A,FALSE,"Cash Flows RLP";#N/A,#N/A,FALSE,"IRR";#N/A,#N/A,FALSE,"New Depr Sch-150% DB";#N/A,#N/A,FALSE,"Comments"}</definedName>
    <definedName name="wrn.Complete._.Report." localSheetId="8" hidden="1">{#N/A,#N/A,FALSE,"Assumptions";#N/A,#N/A,FALSE,"Proforma IS";#N/A,#N/A,FALSE,"Cash Flows RLP";#N/A,#N/A,FALSE,"IRR";#N/A,#N/A,FALSE,"New Depr Sch-150% DB";#N/A,#N/A,FALSE,"Comments"}</definedName>
    <definedName name="wrn.Complete._.Report." localSheetId="2" hidden="1">{#N/A,#N/A,FALSE,"Assumptions";#N/A,#N/A,FALSE,"Proforma IS";#N/A,#N/A,FALSE,"Cash Flows RLP";#N/A,#N/A,FALSE,"IRR";#N/A,#N/A,FALSE,"New Depr Sch-150% DB";#N/A,#N/A,FALSE,"Comments"}</definedName>
    <definedName name="wrn.Complete._.Report." localSheetId="3" hidden="1">{#N/A,#N/A,FALSE,"Assumptions";#N/A,#N/A,FALSE,"Proforma IS";#N/A,#N/A,FALSE,"Cash Flows RLP";#N/A,#N/A,FALSE,"IRR";#N/A,#N/A,FALSE,"New Depr Sch-150% DB";#N/A,#N/A,FALSE,"Comments"}</definedName>
    <definedName name="wrn.contributory._.asset._.charges." localSheetId="1" hidden="1">{"contributory1",#N/A,FALSE,"Contributory Assets Detail";"contributory2",#N/A,FALSE,"Contributory Assets Detail"}</definedName>
    <definedName name="wrn.contributory._.asset._.charges." localSheetId="8" hidden="1">{"contributory1",#N/A,FALSE,"Contributory Assets Detail";"contributory2",#N/A,FALSE,"Contributory Assets Detail"}</definedName>
    <definedName name="wrn.contributory._.asset._.charges." localSheetId="2" hidden="1">{"contributory1",#N/A,FALSE,"Contributory Assets Detail";"contributory2",#N/A,FALSE,"Contributory Assets Detail"}</definedName>
    <definedName name="wrn.contributory._.asset._.charges." localSheetId="3" hidden="1">{"contributory1",#N/A,FALSE,"Contributory Assets Detail";"contributory2",#N/A,FALSE,"Contributory Assets Detail"}</definedName>
    <definedName name="wrn.cuadros." localSheetId="1" hidden="1">{"anex_I",#N/A,FALSE,"Anexos";#N/A,#N/A,FALSE,"Carát 12_97";"ESP",#N/A,FALSE,"eecc";"rdo",#N/A,FALSE,"eecc";"evpn98",#N/A,FALSE,"eecc";"evpn97",#N/A,FALSE,"eecc";"anex_II",#N/A,FALSE,"Anexos";"anex_III",#N/A,FALSE,"Anexos";"anex_IV",#N/A,FALSE,"Anexos";"anex_V",#N/A,FALSE,"Anexos";"anex_VI",#N/A,FALSE,"Anexos";"anex_VII",#N/A,FALSE,"Anexos"}</definedName>
    <definedName name="wrn.cuadros." localSheetId="8" hidden="1">{"anex_I",#N/A,FALSE,"Anexos";#N/A,#N/A,FALSE,"Carát 12_97";"ESP",#N/A,FALSE,"eecc";"rdo",#N/A,FALSE,"eecc";"evpn98",#N/A,FALSE,"eecc";"evpn97",#N/A,FALSE,"eecc";"anex_II",#N/A,FALSE,"Anexos";"anex_III",#N/A,FALSE,"Anexos";"anex_IV",#N/A,FALSE,"Anexos";"anex_V",#N/A,FALSE,"Anexos";"anex_VI",#N/A,FALSE,"Anexos";"anex_VII",#N/A,FALSE,"Anexos"}</definedName>
    <definedName name="wrn.cuadros." localSheetId="2" hidden="1">{"anex_I",#N/A,FALSE,"Anexos";#N/A,#N/A,FALSE,"Carát 12_97";"ESP",#N/A,FALSE,"eecc";"rdo",#N/A,FALSE,"eecc";"evpn98",#N/A,FALSE,"eecc";"evpn97",#N/A,FALSE,"eecc";"anex_II",#N/A,FALSE,"Anexos";"anex_III",#N/A,FALSE,"Anexos";"anex_IV",#N/A,FALSE,"Anexos";"anex_V",#N/A,FALSE,"Anexos";"anex_VI",#N/A,FALSE,"Anexos";"anex_VII",#N/A,FALSE,"Anexos"}</definedName>
    <definedName name="wrn.cuadros." localSheetId="3" hidden="1">{"anex_I",#N/A,FALSE,"Anexos";#N/A,#N/A,FALSE,"Carát 12_97";"ESP",#N/A,FALSE,"eecc";"rdo",#N/A,FALSE,"eecc";"evpn98",#N/A,FALSE,"eecc";"evpn97",#N/A,FALSE,"eecc";"anex_II",#N/A,FALSE,"Anexos";"anex_III",#N/A,FALSE,"Anexos";"anex_IV",#N/A,FALSE,"Anexos";"anex_V",#N/A,FALSE,"Anexos";"anex_VI",#N/A,FALSE,"Anexos";"anex_VII",#N/A,FALSE,"Anexos"}</definedName>
    <definedName name="wrn.ddd" localSheetId="1" hidden="1">{#N/A,#N/A,TRUE,"forside";#N/A,#N/A,TRUE,"Res_AOGT";#N/A,#N/A,TRUE,"Bal_AOGT";#N/A,#N/A,TRUE,"Kont_AOGT";#N/A,#N/A,TRUE,"Note 1-5";#N/A,#N/A,TRUE,"Note 6-9";#N/A,#N/A,TRUE,"Bal_note10-14";#N/A,#N/A,TRUE,"Note 15-16";#N/A,#N/A,TRUE,"Note 17-19";#N/A,#N/A,TRUE,"Note 19 forts.";#N/A,#N/A,TRUE,"Note 20-23";#N/A,#N/A,TRUE,"Nøkkeltall"}</definedName>
    <definedName name="wrn.ddd" localSheetId="8" hidden="1">{#N/A,#N/A,TRUE,"forside";#N/A,#N/A,TRUE,"Res_AOGT";#N/A,#N/A,TRUE,"Bal_AOGT";#N/A,#N/A,TRUE,"Kont_AOGT";#N/A,#N/A,TRUE,"Note 1-5";#N/A,#N/A,TRUE,"Note 6-9";#N/A,#N/A,TRUE,"Bal_note10-14";#N/A,#N/A,TRUE,"Note 15-16";#N/A,#N/A,TRUE,"Note 17-19";#N/A,#N/A,TRUE,"Note 19 forts.";#N/A,#N/A,TRUE,"Note 20-23";#N/A,#N/A,TRUE,"Nøkkeltall"}</definedName>
    <definedName name="wrn.ddd" localSheetId="2" hidden="1">{#N/A,#N/A,TRUE,"forside";#N/A,#N/A,TRUE,"Res_AOGT";#N/A,#N/A,TRUE,"Bal_AOGT";#N/A,#N/A,TRUE,"Kont_AOGT";#N/A,#N/A,TRUE,"Note 1-5";#N/A,#N/A,TRUE,"Note 6-9";#N/A,#N/A,TRUE,"Bal_note10-14";#N/A,#N/A,TRUE,"Note 15-16";#N/A,#N/A,TRUE,"Note 17-19";#N/A,#N/A,TRUE,"Note 19 forts.";#N/A,#N/A,TRUE,"Note 20-23";#N/A,#N/A,TRUE,"Nøkkeltall"}</definedName>
    <definedName name="wrn.ddd" localSheetId="3" hidden="1">{#N/A,#N/A,TRUE,"forside";#N/A,#N/A,TRUE,"Res_AOGT";#N/A,#N/A,TRUE,"Bal_AOGT";#N/A,#N/A,TRUE,"Kont_AOGT";#N/A,#N/A,TRUE,"Note 1-5";#N/A,#N/A,TRUE,"Note 6-9";#N/A,#N/A,TRUE,"Bal_note10-14";#N/A,#N/A,TRUE,"Note 15-16";#N/A,#N/A,TRUE,"Note 17-19";#N/A,#N/A,TRUE,"Note 19 forts.";#N/A,#N/A,TRUE,"Note 20-23";#N/A,#N/A,TRUE,"Nøkkeltall"}</definedName>
    <definedName name="wrn.Decision._.Memo." localSheetId="1" hidden="1">{"Summary",#N/A,TRUE,"Summary";"Assumptions",#N/A,TRUE,"Assumptions";"Decision Memo",#N/A,TRUE,"Ratios";"Decision Memo",#N/A,TRUE,"Fin. Stat.";"IRR",#N/A,TRUE,"IRR";"Decision Memo",#N/A,TRUE,"Sales - Trend";"Polymer Prices",#N/A,TRUE,"Pricing";"Decision Memo",#N/A,TRUE,"Operating Costs";"Decision Memo",#N/A,TRUE,"Feedstock Prices";"Decision Memo",#N/A,TRUE,"PPE-Dep'n";"Decision Memo",#N/A,TRUE,"Debt"}</definedName>
    <definedName name="wrn.Decision._.Memo." localSheetId="8" hidden="1">{"Summary",#N/A,TRUE,"Summary";"Assumptions",#N/A,TRUE,"Assumptions";"Decision Memo",#N/A,TRUE,"Ratios";"Decision Memo",#N/A,TRUE,"Fin. Stat.";"IRR",#N/A,TRUE,"IRR";"Decision Memo",#N/A,TRUE,"Sales - Trend";"Polymer Prices",#N/A,TRUE,"Pricing";"Decision Memo",#N/A,TRUE,"Operating Costs";"Decision Memo",#N/A,TRUE,"Feedstock Prices";"Decision Memo",#N/A,TRUE,"PPE-Dep'n";"Decision Memo",#N/A,TRUE,"Debt"}</definedName>
    <definedName name="wrn.Decision._.Memo." localSheetId="2" hidden="1">{"Summary",#N/A,TRUE,"Summary";"Assumptions",#N/A,TRUE,"Assumptions";"Decision Memo",#N/A,TRUE,"Ratios";"Decision Memo",#N/A,TRUE,"Fin. Stat.";"IRR",#N/A,TRUE,"IRR";"Decision Memo",#N/A,TRUE,"Sales - Trend";"Polymer Prices",#N/A,TRUE,"Pricing";"Decision Memo",#N/A,TRUE,"Operating Costs";"Decision Memo",#N/A,TRUE,"Feedstock Prices";"Decision Memo",#N/A,TRUE,"PPE-Dep'n";"Decision Memo",#N/A,TRUE,"Debt"}</definedName>
    <definedName name="wrn.Decision._.Memo." localSheetId="3" hidden="1">{"Summary",#N/A,TRUE,"Summary";"Assumptions",#N/A,TRUE,"Assumptions";"Decision Memo",#N/A,TRUE,"Ratios";"Decision Memo",#N/A,TRUE,"Fin. Stat.";"IRR",#N/A,TRUE,"IRR";"Decision Memo",#N/A,TRUE,"Sales - Trend";"Polymer Prices",#N/A,TRUE,"Pricing";"Decision Memo",#N/A,TRUE,"Operating Costs";"Decision Memo",#N/A,TRUE,"Feedstock Prices";"Decision Memo",#N/A,TRUE,"PPE-Dep'n";"Decision Memo",#N/A,TRUE,"Debt"}</definedName>
    <definedName name="wrn.Despesas._.Diferidas._.Indedutíveis._.de._.1998." localSheetId="1" hidden="1">{"Despesas Diferidas Indedutíveis de 1998",#N/A,FALSE,"Impressão"}</definedName>
    <definedName name="wrn.Despesas._.Diferidas._.Indedutíveis._.de._.1998." localSheetId="8" hidden="1">{"Despesas Diferidas Indedutíveis de 1998",#N/A,FALSE,"Impressão"}</definedName>
    <definedName name="wrn.Despesas._.Diferidas._.Indedutíveis._.de._.1998." localSheetId="2" hidden="1">{"Despesas Diferidas Indedutíveis de 1998",#N/A,FALSE,"Impressão"}</definedName>
    <definedName name="wrn.Despesas._.Diferidas._.Indedutíveis._.de._.1998." localSheetId="3" hidden="1">{"Despesas Diferidas Indedutíveis de 1998",#N/A,FALSE,"Impressão"}</definedName>
    <definedName name="wrn.Despesas._.Operacionais." localSheetId="1" hidden="1">{#N/A,#N/A,FALSE,"Campinas";#N/A,#N/A,FALSE,"Sales";#N/A,#N/A,FALSE,"Para de Minas";#N/A,#N/A,FALSE,"Alem Paraiba";#N/A,#N/A,FALSE,"Toledo";#N/A,#N/A,FALSE,"Toledo Nutri";#N/A,#N/A,FALSE,"Consolidado"}</definedName>
    <definedName name="wrn.Despesas._.Operacionais." localSheetId="8" hidden="1">{#N/A,#N/A,FALSE,"Campinas";#N/A,#N/A,FALSE,"Sales";#N/A,#N/A,FALSE,"Para de Minas";#N/A,#N/A,FALSE,"Alem Paraiba";#N/A,#N/A,FALSE,"Toledo";#N/A,#N/A,FALSE,"Toledo Nutri";#N/A,#N/A,FALSE,"Consolidado"}</definedName>
    <definedName name="wrn.Despesas._.Operacionais." localSheetId="2" hidden="1">{#N/A,#N/A,FALSE,"Campinas";#N/A,#N/A,FALSE,"Sales";#N/A,#N/A,FALSE,"Para de Minas";#N/A,#N/A,FALSE,"Alem Paraiba";#N/A,#N/A,FALSE,"Toledo";#N/A,#N/A,FALSE,"Toledo Nutri";#N/A,#N/A,FALSE,"Consolidado"}</definedName>
    <definedName name="wrn.Despesas._.Operacionais." localSheetId="3" hidden="1">{#N/A,#N/A,FALSE,"Campinas";#N/A,#N/A,FALSE,"Sales";#N/A,#N/A,FALSE,"Para de Minas";#N/A,#N/A,FALSE,"Alem Paraiba";#N/A,#N/A,FALSE,"Toledo";#N/A,#N/A,FALSE,"Toledo Nutri";#N/A,#N/A,FALSE,"Consolidado"}</definedName>
    <definedName name="wrn.DIVISÃO." localSheetId="1" hidden="1">{"DIVISÃO-MÊS",#N/A,FALSE,"TOTAL";"DIVISÃO-ACUMULADO",#N/A,FALSE,"TOTAL"}</definedName>
    <definedName name="wrn.DIVISÃO." localSheetId="8" hidden="1">{"DIVISÃO-MÊS",#N/A,FALSE,"TOTAL";"DIVISÃO-ACUMULADO",#N/A,FALSE,"TOTAL"}</definedName>
    <definedName name="wrn.DIVISÃO." localSheetId="2" hidden="1">{"DIVISÃO-MÊS",#N/A,FALSE,"TOTAL";"DIVISÃO-ACUMULADO",#N/A,FALSE,"TOTAL"}</definedName>
    <definedName name="wrn.DIVISÃO." localSheetId="3" hidden="1">{"DIVISÃO-MÊS",#N/A,FALSE,"TOTAL";"DIVISÃO-ACUMULADO",#N/A,FALSE,"TOTAL"}</definedName>
    <definedName name="wrn.documentation." localSheetId="1" hidden="1">{"document1",#N/A,FALSE,"Documentation";"document2",#N/A,FALSE,"Documentation"}</definedName>
    <definedName name="wrn.documentation." localSheetId="8" hidden="1">{"document1",#N/A,FALSE,"Documentation";"document2",#N/A,FALSE,"Documentation"}</definedName>
    <definedName name="wrn.documentation." localSheetId="2" hidden="1">{"document1",#N/A,FALSE,"Documentation";"document2",#N/A,FALSE,"Documentation"}</definedName>
    <definedName name="wrn.documentation." localSheetId="3" hidden="1">{"document1",#N/A,FALSE,"Documentation";"document2",#N/A,FALSE,"Documentation"}</definedName>
    <definedName name="wrn.EKSKL.._.PM._.FORM." localSheetId="1" hidden="1">{#N/A,#N/A,TRUE,"Skjema 6.18 ";#N/A,#N/A,TRUE,"Skjema 6.19 ";#N/A,#N/A,TRUE,"Skjema 6.20 ";#N/A,#N/A,TRUE,"Skjema 6.21";#N/A,#N/A,TRUE,"Skjema 6.22 ";#N/A,#N/A,TRUE,"Skjema 6.23 ";#N/A,#N/A,TRUE,"Skjema 6.24 ";#N/A,#N/A,TRUE,"Skjema 6.25";#N/A,#N/A,TRUE,"Skjema 6.26 ";#N/A,#N/A,TRUE,"Skjema 6.27";#N/A,#N/A,TRUE,"Skjema 6.28 ";#N/A,#N/A,TRUE,"Skjema 6.29";#N/A,#N/A,TRUE,"Skjema 6.30"}</definedName>
    <definedName name="wrn.EKSKL.._.PM._.FORM." localSheetId="8" hidden="1">{#N/A,#N/A,TRUE,"Skjema 6.18 ";#N/A,#N/A,TRUE,"Skjema 6.19 ";#N/A,#N/A,TRUE,"Skjema 6.20 ";#N/A,#N/A,TRUE,"Skjema 6.21";#N/A,#N/A,TRUE,"Skjema 6.22 ";#N/A,#N/A,TRUE,"Skjema 6.23 ";#N/A,#N/A,TRUE,"Skjema 6.24 ";#N/A,#N/A,TRUE,"Skjema 6.25";#N/A,#N/A,TRUE,"Skjema 6.26 ";#N/A,#N/A,TRUE,"Skjema 6.27";#N/A,#N/A,TRUE,"Skjema 6.28 ";#N/A,#N/A,TRUE,"Skjema 6.29";#N/A,#N/A,TRUE,"Skjema 6.30"}</definedName>
    <definedName name="wrn.EKSKL.._.PM._.FORM." localSheetId="2" hidden="1">{#N/A,#N/A,TRUE,"Skjema 6.18 ";#N/A,#N/A,TRUE,"Skjema 6.19 ";#N/A,#N/A,TRUE,"Skjema 6.20 ";#N/A,#N/A,TRUE,"Skjema 6.21";#N/A,#N/A,TRUE,"Skjema 6.22 ";#N/A,#N/A,TRUE,"Skjema 6.23 ";#N/A,#N/A,TRUE,"Skjema 6.24 ";#N/A,#N/A,TRUE,"Skjema 6.25";#N/A,#N/A,TRUE,"Skjema 6.26 ";#N/A,#N/A,TRUE,"Skjema 6.27";#N/A,#N/A,TRUE,"Skjema 6.28 ";#N/A,#N/A,TRUE,"Skjema 6.29";#N/A,#N/A,TRUE,"Skjema 6.30"}</definedName>
    <definedName name="wrn.EKSKL.._.PM._.FORM." localSheetId="3" hidden="1">{#N/A,#N/A,TRUE,"Skjema 6.18 ";#N/A,#N/A,TRUE,"Skjema 6.19 ";#N/A,#N/A,TRUE,"Skjema 6.20 ";#N/A,#N/A,TRUE,"Skjema 6.21";#N/A,#N/A,TRUE,"Skjema 6.22 ";#N/A,#N/A,TRUE,"Skjema 6.23 ";#N/A,#N/A,TRUE,"Skjema 6.24 ";#N/A,#N/A,TRUE,"Skjema 6.25";#N/A,#N/A,TRUE,"Skjema 6.26 ";#N/A,#N/A,TRUE,"Skjema 6.27";#N/A,#N/A,TRUE,"Skjema 6.28 ";#N/A,#N/A,TRUE,"Skjema 6.29";#N/A,#N/A,TRUE,"Skjema 6.30"}</definedName>
    <definedName name="wrn.EKSKL.._.PM._.SKJEMAER." localSheetId="1" hidden="1">{#N/A,#N/A,TRUE,"Skjema 6.5";#N/A,#N/A,TRUE,"Skjema 6.18 ";#N/A,#N/A,TRUE,"Skjema 6.19 ";#N/A,#N/A,TRUE,"Skjema 6.20 ";#N/A,#N/A,TRUE,"Skjema 6.21";#N/A,#N/A,TRUE,"Skjema 6.22 ";#N/A,#N/A,TRUE,"Skjema 6.23 ";#N/A,#N/A,TRUE,"Skjema 6.24 ";#N/A,#N/A,TRUE,"Skjema 6.25";#N/A,#N/A,TRUE,"Skjema 6.26 ";#N/A,#N/A,TRUE,"Skjema 6.27";#N/A,#N/A,TRUE,"Skjema 6.28 ";#N/A,#N/A,TRUE,"Skjema 6.29";#N/A,#N/A,TRUE,"Skjema 6.30";#N/A,#N/A,TRUE,"Skjema 6.31b"}</definedName>
    <definedName name="wrn.EKSKL.._.PM._.SKJEMAER." localSheetId="8" hidden="1">{#N/A,#N/A,TRUE,"Skjema 6.5";#N/A,#N/A,TRUE,"Skjema 6.18 ";#N/A,#N/A,TRUE,"Skjema 6.19 ";#N/A,#N/A,TRUE,"Skjema 6.20 ";#N/A,#N/A,TRUE,"Skjema 6.21";#N/A,#N/A,TRUE,"Skjema 6.22 ";#N/A,#N/A,TRUE,"Skjema 6.23 ";#N/A,#N/A,TRUE,"Skjema 6.24 ";#N/A,#N/A,TRUE,"Skjema 6.25";#N/A,#N/A,TRUE,"Skjema 6.26 ";#N/A,#N/A,TRUE,"Skjema 6.27";#N/A,#N/A,TRUE,"Skjema 6.28 ";#N/A,#N/A,TRUE,"Skjema 6.29";#N/A,#N/A,TRUE,"Skjema 6.30";#N/A,#N/A,TRUE,"Skjema 6.31b"}</definedName>
    <definedName name="wrn.EKSKL.._.PM._.SKJEMAER." localSheetId="2" hidden="1">{#N/A,#N/A,TRUE,"Skjema 6.5";#N/A,#N/A,TRUE,"Skjema 6.18 ";#N/A,#N/A,TRUE,"Skjema 6.19 ";#N/A,#N/A,TRUE,"Skjema 6.20 ";#N/A,#N/A,TRUE,"Skjema 6.21";#N/A,#N/A,TRUE,"Skjema 6.22 ";#N/A,#N/A,TRUE,"Skjema 6.23 ";#N/A,#N/A,TRUE,"Skjema 6.24 ";#N/A,#N/A,TRUE,"Skjema 6.25";#N/A,#N/A,TRUE,"Skjema 6.26 ";#N/A,#N/A,TRUE,"Skjema 6.27";#N/A,#N/A,TRUE,"Skjema 6.28 ";#N/A,#N/A,TRUE,"Skjema 6.29";#N/A,#N/A,TRUE,"Skjema 6.30";#N/A,#N/A,TRUE,"Skjema 6.31b"}</definedName>
    <definedName name="wrn.EKSKL.._.PM._.SKJEMAER." localSheetId="3" hidden="1">{#N/A,#N/A,TRUE,"Skjema 6.5";#N/A,#N/A,TRUE,"Skjema 6.18 ";#N/A,#N/A,TRUE,"Skjema 6.19 ";#N/A,#N/A,TRUE,"Skjema 6.20 ";#N/A,#N/A,TRUE,"Skjema 6.21";#N/A,#N/A,TRUE,"Skjema 6.22 ";#N/A,#N/A,TRUE,"Skjema 6.23 ";#N/A,#N/A,TRUE,"Skjema 6.24 ";#N/A,#N/A,TRUE,"Skjema 6.25";#N/A,#N/A,TRUE,"Skjema 6.26 ";#N/A,#N/A,TRUE,"Skjema 6.27";#N/A,#N/A,TRUE,"Skjema 6.28 ";#N/A,#N/A,TRUE,"Skjema 6.29";#N/A,#N/A,TRUE,"Skjema 6.30";#N/A,#N/A,TRUE,"Skjema 6.31b"}</definedName>
    <definedName name="wrn.ely." localSheetId="1" hidden="1">{#N/A,#N/A,FALSE,"fw or db 98 up"}</definedName>
    <definedName name="wrn.ely." localSheetId="8" hidden="1">{#N/A,#N/A,FALSE,"fw or db 98 up"}</definedName>
    <definedName name="wrn.ely." localSheetId="2" hidden="1">{#N/A,#N/A,FALSE,"fw or db 98 up"}</definedName>
    <definedName name="wrn.ely." localSheetId="3" hidden="1">{#N/A,#N/A,FALSE,"fw or db 98 up"}</definedName>
    <definedName name="wrn.Exhibit_draft_report." localSheetId="1" hidden="1">{"Historic",#N/A,FALSE,"Historic IS";"BS",#N/A,FALSE,"DCF BS conversion";"Market_summary_2",#N/A,FALSE,"Market summary";"GCM_summary",#N/A,FALSE,"Market approach";"DCF",#N/A,FALSE,"DCF Projected IS unlevered";"DCF_value",#N/A,FALSE,"DCF Indications of value"}</definedName>
    <definedName name="wrn.Exhibit_draft_report." localSheetId="8" hidden="1">{"Historic",#N/A,FALSE,"Historic IS";"BS",#N/A,FALSE,"DCF BS conversion";"Market_summary_2",#N/A,FALSE,"Market summary";"GCM_summary",#N/A,FALSE,"Market approach";"DCF",#N/A,FALSE,"DCF Projected IS unlevered";"DCF_value",#N/A,FALSE,"DCF Indications of value"}</definedName>
    <definedName name="wrn.Exhibit_draft_report." localSheetId="2" hidden="1">{"Historic",#N/A,FALSE,"Historic IS";"BS",#N/A,FALSE,"DCF BS conversion";"Market_summary_2",#N/A,FALSE,"Market summary";"GCM_summary",#N/A,FALSE,"Market approach";"DCF",#N/A,FALSE,"DCF Projected IS unlevered";"DCF_value",#N/A,FALSE,"DCF Indications of value"}</definedName>
    <definedName name="wrn.Exhibit_draft_report." localSheetId="3" hidden="1">{"Historic",#N/A,FALSE,"Historic IS";"BS",#N/A,FALSE,"DCF BS conversion";"Market_summary_2",#N/A,FALSE,"Market summary";"GCM_summary",#N/A,FALSE,"Market approach";"DCF",#N/A,FALSE,"DCF Projected IS unlevered";"DCF_value",#N/A,FALSE,"DCF Indications of value"}</definedName>
    <definedName name="wrn.EXHIBITS." localSheetId="1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wrn.EXHIBITS." localSheetId="8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wrn.EXHIBITS." localSheetId="2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wrn.EXHIBITS." localSheetId="3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wrn.EXPENSES._.98._.US." localSheetId="1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8._.US." localSheetId="8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8._.US." localSheetId="2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8._.US." localSheetId="3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localSheetId="1" hidden="1">{"Reais 99 MKT",#N/A,TRUE,"MKT";"Reais 99 BUSS",#N/A,TRUE,"BusOper";"Reais 99 TECH",#N/A,TRUE,"Tech";"Reais 99 LOCAL",#N/A,TRUE,"LocalProg";"Reais 99 GA",#N/A,TRUE,"G&amp;A";"Reais 99 CONSOL",#N/A,TRUE,"Consolidate"}</definedName>
    <definedName name="wrn.EXPENSES._.99._.REAL." localSheetId="8" hidden="1">{"Reais 99 MKT",#N/A,TRUE,"MKT";"Reais 99 BUSS",#N/A,TRUE,"BusOper";"Reais 99 TECH",#N/A,TRUE,"Tech";"Reais 99 LOCAL",#N/A,TRUE,"LocalProg";"Reais 99 GA",#N/A,TRUE,"G&amp;A";"Reais 99 CONSOL",#N/A,TRUE,"Consolidate"}</definedName>
    <definedName name="wrn.EXPENSES._.99._.REAL." localSheetId="2" hidden="1">{"Reais 99 MKT",#N/A,TRUE,"MKT";"Reais 99 BUSS",#N/A,TRUE,"BusOper";"Reais 99 TECH",#N/A,TRUE,"Tech";"Reais 99 LOCAL",#N/A,TRUE,"LocalProg";"Reais 99 GA",#N/A,TRUE,"G&amp;A";"Reais 99 CONSOL",#N/A,TRUE,"Consolidate"}</definedName>
    <definedName name="wrn.EXPENSES._.99._.REAL." localSheetId="3" hidden="1">{"Reais 99 MKT",#N/A,TRUE,"MKT";"Reais 99 BUSS",#N/A,TRUE,"BusOper";"Reais 99 TECH",#N/A,TRUE,"Tech";"Reais 99 LOCAL",#N/A,TRUE,"LocalProg";"Reais 99 GA",#N/A,TRUE,"G&amp;A";"Reais 99 CONSOL",#N/A,TRUE,"Consolidate"}</definedName>
    <definedName name="wrn.fff" localSheetId="1" hidden="1">{#N/A,#N/A,FALSE,"Res.regn.Aker a.s";#N/A,#N/A,FALSE,"Balanse3112.Aker a.s";#N/A,#N/A,FALSE,"Kont.anal.Aker a.s ";#N/A,#N/A,FALSE,"Noter 1-2.Aker a.s";#N/A,#N/A,FALSE,"Noter 3-7.Aker a.s";#N/A,#N/A,FALSE,"Rev.beretning 95"}</definedName>
    <definedName name="wrn.fff" localSheetId="8" hidden="1">{#N/A,#N/A,FALSE,"Res.regn.Aker a.s";#N/A,#N/A,FALSE,"Balanse3112.Aker a.s";#N/A,#N/A,FALSE,"Kont.anal.Aker a.s ";#N/A,#N/A,FALSE,"Noter 1-2.Aker a.s";#N/A,#N/A,FALSE,"Noter 3-7.Aker a.s";#N/A,#N/A,FALSE,"Rev.beretning 95"}</definedName>
    <definedName name="wrn.fff" localSheetId="2" hidden="1">{#N/A,#N/A,FALSE,"Res.regn.Aker a.s";#N/A,#N/A,FALSE,"Balanse3112.Aker a.s";#N/A,#N/A,FALSE,"Kont.anal.Aker a.s ";#N/A,#N/A,FALSE,"Noter 1-2.Aker a.s";#N/A,#N/A,FALSE,"Noter 3-7.Aker a.s";#N/A,#N/A,FALSE,"Rev.beretning 95"}</definedName>
    <definedName name="wrn.fff" localSheetId="3" hidden="1">{#N/A,#N/A,FALSE,"Res.regn.Aker a.s";#N/A,#N/A,FALSE,"Balanse3112.Aker a.s";#N/A,#N/A,FALSE,"Kont.anal.Aker a.s ";#N/A,#N/A,FALSE,"Noter 1-2.Aker a.s";#N/A,#N/A,FALSE,"Noter 3-7.Aker a.s";#N/A,#N/A,FALSE,"Rev.beretning 95"}</definedName>
    <definedName name="wrn.ffg" localSheetId="1" hidden="1">{#N/A,#N/A,FALSE,"REGNSKAPSUTDRAG DIVISJON";#N/A,#N/A,FALSE,"Nøkkeltall"}</definedName>
    <definedName name="wrn.ffg" localSheetId="8" hidden="1">{#N/A,#N/A,FALSE,"REGNSKAPSUTDRAG DIVISJON";#N/A,#N/A,FALSE,"Nøkkeltall"}</definedName>
    <definedName name="wrn.ffg" localSheetId="2" hidden="1">{#N/A,#N/A,FALSE,"REGNSKAPSUTDRAG DIVISJON";#N/A,#N/A,FALSE,"Nøkkeltall"}</definedName>
    <definedName name="wrn.ffg" localSheetId="3" hidden="1">{#N/A,#N/A,FALSE,"REGNSKAPSUTDRAG DIVISJON";#N/A,#N/A,FALSE,"Nøkkeltall"}</definedName>
    <definedName name="wrn.filecopy." localSheetId="1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localSheetId="8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localSheetId="2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localSheetId="3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NANCIAL._.MONTH." localSheetId="1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." localSheetId="8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." localSheetId="2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." localSheetId="3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localSheetId="1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MONTHS." localSheetId="8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MONTHS." localSheetId="2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MONTHS." localSheetId="3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localSheetId="1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." localSheetId="8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." localSheetId="2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." localSheetId="3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localSheetId="1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FINANCIAL._.US._.MONTHS." localSheetId="8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FINANCIAL._.US._.MONTHS." localSheetId="2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FINANCIAL._.US._.MONTHS." localSheetId="3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FS97." localSheetId="1" hidden="1">{#N/A,#N/A,FALSE,"Capa";#N/A,#N/A,FALSE,"Balance";#N/A,#N/A,FALSE,"P&amp; L";#N/A,#N/A,FALSE,"DMPL";#N/A,#N/A,FALSE,"DOAR";#N/A,#N/A,FALSE,"G &amp; L";#N/A,#N/A,FALSE,"P&amp;L R$";#N/A,#N/A,FALSE,"P&amp;L US";#N/A,#N/A,FALSE,"Custo R$";#N/A,#N/A,FALSE,"Custo US$"}</definedName>
    <definedName name="wrn.FS97." localSheetId="8" hidden="1">{#N/A,#N/A,FALSE,"Capa";#N/A,#N/A,FALSE,"Balance";#N/A,#N/A,FALSE,"P&amp; L";#N/A,#N/A,FALSE,"DMPL";#N/A,#N/A,FALSE,"DOAR";#N/A,#N/A,FALSE,"G &amp; L";#N/A,#N/A,FALSE,"P&amp;L R$";#N/A,#N/A,FALSE,"P&amp;L US";#N/A,#N/A,FALSE,"Custo R$";#N/A,#N/A,FALSE,"Custo US$"}</definedName>
    <definedName name="wrn.FS97." localSheetId="2" hidden="1">{#N/A,#N/A,FALSE,"Capa";#N/A,#N/A,FALSE,"Balance";#N/A,#N/A,FALSE,"P&amp; L";#N/A,#N/A,FALSE,"DMPL";#N/A,#N/A,FALSE,"DOAR";#N/A,#N/A,FALSE,"G &amp; L";#N/A,#N/A,FALSE,"P&amp;L R$";#N/A,#N/A,FALSE,"P&amp;L US";#N/A,#N/A,FALSE,"Custo R$";#N/A,#N/A,FALSE,"Custo US$"}</definedName>
    <definedName name="wrn.FS97." localSheetId="3" hidden="1">{#N/A,#N/A,FALSE,"Capa";#N/A,#N/A,FALSE,"Balance";#N/A,#N/A,FALSE,"P&amp; L";#N/A,#N/A,FALSE,"DMPL";#N/A,#N/A,FALSE,"DOAR";#N/A,#N/A,FALSE,"G &amp; L";#N/A,#N/A,FALSE,"P&amp;L R$";#N/A,#N/A,FALSE,"P&amp;L US";#N/A,#N/A,FALSE,"Custo R$";#N/A,#N/A,FALSE,"Custo US$"}</definedName>
    <definedName name="wrn.gleachår." localSheetId="1" hidden="1">{#N/A,#N/A,TRUE,"forside";#N/A,#N/A,TRUE,"Res_AOGT";#N/A,#N/A,TRUE,"Bal_AOGT";#N/A,#N/A,TRUE,"Kont_AOGT";#N/A,#N/A,TRUE,"Note 1-5";#N/A,#N/A,TRUE,"Note 6-9";#N/A,#N/A,TRUE,"Bal_note10-14";#N/A,#N/A,TRUE,"Note 15-16";#N/A,#N/A,TRUE,"Note 17-19";#N/A,#N/A,TRUE,"Note 19 forts.";#N/A,#N/A,TRUE,"Note 20-23";#N/A,#N/A,TRUE,"Nøkkeltall"}</definedName>
    <definedName name="wrn.gleachår." localSheetId="8" hidden="1">{#N/A,#N/A,TRUE,"forside";#N/A,#N/A,TRUE,"Res_AOGT";#N/A,#N/A,TRUE,"Bal_AOGT";#N/A,#N/A,TRUE,"Kont_AOGT";#N/A,#N/A,TRUE,"Note 1-5";#N/A,#N/A,TRUE,"Note 6-9";#N/A,#N/A,TRUE,"Bal_note10-14";#N/A,#N/A,TRUE,"Note 15-16";#N/A,#N/A,TRUE,"Note 17-19";#N/A,#N/A,TRUE,"Note 19 forts.";#N/A,#N/A,TRUE,"Note 20-23";#N/A,#N/A,TRUE,"Nøkkeltall"}</definedName>
    <definedName name="wrn.gleachår." localSheetId="2" hidden="1">{#N/A,#N/A,TRUE,"forside";#N/A,#N/A,TRUE,"Res_AOGT";#N/A,#N/A,TRUE,"Bal_AOGT";#N/A,#N/A,TRUE,"Kont_AOGT";#N/A,#N/A,TRUE,"Note 1-5";#N/A,#N/A,TRUE,"Note 6-9";#N/A,#N/A,TRUE,"Bal_note10-14";#N/A,#N/A,TRUE,"Note 15-16";#N/A,#N/A,TRUE,"Note 17-19";#N/A,#N/A,TRUE,"Note 19 forts.";#N/A,#N/A,TRUE,"Note 20-23";#N/A,#N/A,TRUE,"Nøkkeltall"}</definedName>
    <definedName name="wrn.gleachår." localSheetId="3" hidden="1">{#N/A,#N/A,TRUE,"forside";#N/A,#N/A,TRUE,"Res_AOGT";#N/A,#N/A,TRUE,"Bal_AOGT";#N/A,#N/A,TRUE,"Kont_AOGT";#N/A,#N/A,TRUE,"Note 1-5";#N/A,#N/A,TRUE,"Note 6-9";#N/A,#N/A,TRUE,"Bal_note10-14";#N/A,#N/A,TRUE,"Note 15-16";#N/A,#N/A,TRUE,"Note 17-19";#N/A,#N/A,TRUE,"Note 19 forts.";#N/A,#N/A,TRUE,"Note 20-23";#N/A,#N/A,TRUE,"Nøkkeltall"}</definedName>
    <definedName name="wrn.grafico." localSheetId="1" hidden="1">{#N/A,#N/A,FALSE,"Graficos    ( 9 )"}</definedName>
    <definedName name="wrn.grafico." localSheetId="8" hidden="1">{#N/A,#N/A,FALSE,"Graficos    ( 9 )"}</definedName>
    <definedName name="wrn.grafico." localSheetId="2" hidden="1">{#N/A,#N/A,FALSE,"Graficos    ( 9 )"}</definedName>
    <definedName name="wrn.grafico." localSheetId="3" hidden="1">{#N/A,#N/A,FALSE,"Graficos    ( 9 )"}</definedName>
    <definedName name="wrn.gross._.margin._.detail." localSheetId="1" hidden="1">{"gross_margin1",#N/A,FALSE,"Gross Margin Detail";"gross_margin2",#N/A,FALSE,"Gross Margin Detail"}</definedName>
    <definedName name="wrn.gross._.margin._.detail." localSheetId="8" hidden="1">{"gross_margin1",#N/A,FALSE,"Gross Margin Detail";"gross_margin2",#N/A,FALSE,"Gross Margin Detail"}</definedName>
    <definedName name="wrn.gross._.margin._.detail." localSheetId="2" hidden="1">{"gross_margin1",#N/A,FALSE,"Gross Margin Detail";"gross_margin2",#N/A,FALSE,"Gross Margin Detail"}</definedName>
    <definedName name="wrn.gross._.margin._.detail." localSheetId="3" hidden="1">{"gross_margin1",#N/A,FALSE,"Gross Margin Detail";"gross_margin2",#N/A,FALSE,"Gross Margin Detail"}</definedName>
    <definedName name="wrn.GUABIPET." localSheetId="1" hidden="1">{"TOTAL GUABIPET",#N/A,FALSE,"P E T";"BIRIBA",#N/A,FALSE,"P E T";"FARO",#N/A,FALSE,"P E T";"FARO FILHOTES",#N/A,FALSE,"P E T";"HEROI",#N/A,FALSE,"P E T";"MASCOTE",#N/A,FALSE,"P E T";"RUNO",#N/A,FALSE,"P E T";"TOP CAT CARNE",#N/A,FALSE,"P E T";"TOP CAT PEIXE",#N/A,FALSE,"P E T";"GORJEIO P.PRETO",#N/A,FALSE,"P E T";"GORJEIO PERIQUITO",#N/A,FALSE,"P E T";"GORJEIO CANARIO",#N/A,FALSE,"P E T";"LIMP CAT",#N/A,FALSE,"P E T";"OUTROS",#N/A,FALSE,"P E T"}</definedName>
    <definedName name="wrn.GUABIPET." localSheetId="8" hidden="1">{"TOTAL GUABIPET",#N/A,FALSE,"P E T";"BIRIBA",#N/A,FALSE,"P E T";"FARO",#N/A,FALSE,"P E T";"FARO FILHOTES",#N/A,FALSE,"P E T";"HEROI",#N/A,FALSE,"P E T";"MASCOTE",#N/A,FALSE,"P E T";"RUNO",#N/A,FALSE,"P E T";"TOP CAT CARNE",#N/A,FALSE,"P E T";"TOP CAT PEIXE",#N/A,FALSE,"P E T";"GORJEIO P.PRETO",#N/A,FALSE,"P E T";"GORJEIO PERIQUITO",#N/A,FALSE,"P E T";"GORJEIO CANARIO",#N/A,FALSE,"P E T";"LIMP CAT",#N/A,FALSE,"P E T";"OUTROS",#N/A,FALSE,"P E T"}</definedName>
    <definedName name="wrn.GUABIPET." localSheetId="2" hidden="1">{"TOTAL GUABIPET",#N/A,FALSE,"P E T";"BIRIBA",#N/A,FALSE,"P E T";"FARO",#N/A,FALSE,"P E T";"FARO FILHOTES",#N/A,FALSE,"P E T";"HEROI",#N/A,FALSE,"P E T";"MASCOTE",#N/A,FALSE,"P E T";"RUNO",#N/A,FALSE,"P E T";"TOP CAT CARNE",#N/A,FALSE,"P E T";"TOP CAT PEIXE",#N/A,FALSE,"P E T";"GORJEIO P.PRETO",#N/A,FALSE,"P E T";"GORJEIO PERIQUITO",#N/A,FALSE,"P E T";"GORJEIO CANARIO",#N/A,FALSE,"P E T";"LIMP CAT",#N/A,FALSE,"P E T";"OUTROS",#N/A,FALSE,"P E T"}</definedName>
    <definedName name="wrn.GUABIPET." localSheetId="3" hidden="1">{"TOTAL GUABIPET",#N/A,FALSE,"P E T";"BIRIBA",#N/A,FALSE,"P E T";"FARO",#N/A,FALSE,"P E T";"FARO FILHOTES",#N/A,FALSE,"P E T";"HEROI",#N/A,FALSE,"P E T";"MASCOTE",#N/A,FALSE,"P E T";"RUNO",#N/A,FALSE,"P E T";"TOP CAT CARNE",#N/A,FALSE,"P E T";"TOP CAT PEIXE",#N/A,FALSE,"P E T";"GORJEIO P.PRETO",#N/A,FALSE,"P E T";"GORJEIO PERIQUITO",#N/A,FALSE,"P E T";"GORJEIO CANARIO",#N/A,FALSE,"P E T";"LIMP CAT",#N/A,FALSE,"P E T";"OUTROS",#N/A,FALSE,"P E T"}</definedName>
    <definedName name="wrn.historical._.performance." localSheetId="1" hidden="1">{"historical acquirer",#N/A,FALSE,"Historical Performance";"historical target",#N/A,FALSE,"Historical Performance"}</definedName>
    <definedName name="wrn.historical._.performance." localSheetId="8" hidden="1">{"historical acquirer",#N/A,FALSE,"Historical Performance";"historical target",#N/A,FALSE,"Historical Performance"}</definedName>
    <definedName name="wrn.historical._.performance." localSheetId="2" hidden="1">{"historical acquirer",#N/A,FALSE,"Historical Performance";"historical target",#N/A,FALSE,"Historical Performance"}</definedName>
    <definedName name="wrn.historical._.performance." localSheetId="3" hidden="1">{"historical acquirer",#N/A,FALSE,"Historical Performance";"historical target",#N/A,FALSE,"Historical Performance"}</definedName>
    <definedName name="wrn.holding." localSheetId="1" hidden="1">{#N/A,#N/A,FALSE,"forside";#N/A,#N/A,FALSE,"ResRegn.A-kons.";#N/A,#N/A,FALSE,"Bal3112.A-kons.";#N/A,#N/A,FALSE,"Kont.a.A-kons.";#N/A,#N/A,FALSE,"Note 4-10";#N/A,#N/A,FALSE,"Noter Balanse.A-kons.";#N/A,#N/A,FALSE,"Note 17-18.A-kons. ";#N/A,#N/A,FALSE,"Note 20-22.A-kons.";#N/A,#N/A,FALSE,"Note 23 A-kons.";#N/A,#N/A,FALSE,"Note 24-31.A-kons.";#N/A,#N/A,FALSE,"Nøkkeltall"}</definedName>
    <definedName name="wrn.holding." localSheetId="8" hidden="1">{#N/A,#N/A,FALSE,"forside";#N/A,#N/A,FALSE,"ResRegn.A-kons.";#N/A,#N/A,FALSE,"Bal3112.A-kons.";#N/A,#N/A,FALSE,"Kont.a.A-kons.";#N/A,#N/A,FALSE,"Note 4-10";#N/A,#N/A,FALSE,"Noter Balanse.A-kons.";#N/A,#N/A,FALSE,"Note 17-18.A-kons. ";#N/A,#N/A,FALSE,"Note 20-22.A-kons.";#N/A,#N/A,FALSE,"Note 23 A-kons.";#N/A,#N/A,FALSE,"Note 24-31.A-kons.";#N/A,#N/A,FALSE,"Nøkkeltall"}</definedName>
    <definedName name="wrn.holding." localSheetId="2" hidden="1">{#N/A,#N/A,FALSE,"forside";#N/A,#N/A,FALSE,"ResRegn.A-kons.";#N/A,#N/A,FALSE,"Bal3112.A-kons.";#N/A,#N/A,FALSE,"Kont.a.A-kons.";#N/A,#N/A,FALSE,"Note 4-10";#N/A,#N/A,FALSE,"Noter Balanse.A-kons.";#N/A,#N/A,FALSE,"Note 17-18.A-kons. ";#N/A,#N/A,FALSE,"Note 20-22.A-kons.";#N/A,#N/A,FALSE,"Note 23 A-kons.";#N/A,#N/A,FALSE,"Note 24-31.A-kons.";#N/A,#N/A,FALSE,"Nøkkeltall"}</definedName>
    <definedName name="wrn.holding." localSheetId="3" hidden="1">{#N/A,#N/A,FALSE,"forside";#N/A,#N/A,FALSE,"ResRegn.A-kons.";#N/A,#N/A,FALSE,"Bal3112.A-kons.";#N/A,#N/A,FALSE,"Kont.a.A-kons.";#N/A,#N/A,FALSE,"Note 4-10";#N/A,#N/A,FALSE,"Noter Balanse.A-kons.";#N/A,#N/A,FALSE,"Note 17-18.A-kons. ";#N/A,#N/A,FALSE,"Note 20-22.A-kons.";#N/A,#N/A,FALSE,"Note 23 A-kons.";#N/A,#N/A,FALSE,"Note 24-31.A-kons.";#N/A,#N/A,FALSE,"Nøkkeltall"}</definedName>
    <definedName name="wrn.impresión.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" localSheetId="8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localSheetId="8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são." localSheetId="1" hidden="1">{#N/A,#N/A,FALSE,"Comp. Mês";#N/A,#N/A,FALSE,"Comp. Acum.";#N/A,#N/A,FALSE,"SAÍDA";#N/A,#N/A,FALSE,"Aberturas";#N/A,#N/A,FALSE,"DETALHES"}</definedName>
    <definedName name="wrn.Impressão." localSheetId="8" hidden="1">{#N/A,#N/A,FALSE,"Comp. Mês";#N/A,#N/A,FALSE,"Comp. Acum.";#N/A,#N/A,FALSE,"SAÍDA";#N/A,#N/A,FALSE,"Aberturas";#N/A,#N/A,FALSE,"DETALHES"}</definedName>
    <definedName name="wrn.Impressão." localSheetId="2" hidden="1">{#N/A,#N/A,FALSE,"Comp. Mês";#N/A,#N/A,FALSE,"Comp. Acum.";#N/A,#N/A,FALSE,"SAÍDA";#N/A,#N/A,FALSE,"Aberturas";#N/A,#N/A,FALSE,"DETALHES"}</definedName>
    <definedName name="wrn.Impressão." localSheetId="3" hidden="1">{#N/A,#N/A,FALSE,"Comp. Mês";#N/A,#N/A,FALSE,"Comp. Acum.";#N/A,#N/A,FALSE,"SAÍDA";#N/A,#N/A,FALSE,"Aberturas";#N/A,#N/A,FALSE,"DETALHES"}</definedName>
    <definedName name="wrn.IMPRESSO." localSheetId="1" hidden="1">{#N/A,#N/A,FALSE,"Plan1";#N/A,#N/A,FALSE,"Plan2"}</definedName>
    <definedName name="wrn.IMPRESSO." localSheetId="8" hidden="1">{#N/A,#N/A,FALSE,"Plan1";#N/A,#N/A,FALSE,"Plan2"}</definedName>
    <definedName name="wrn.IMPRESSO." localSheetId="2" hidden="1">{#N/A,#N/A,FALSE,"Plan1";#N/A,#N/A,FALSE,"Plan2"}</definedName>
    <definedName name="wrn.IMPRESSO." localSheetId="3" hidden="1">{#N/A,#N/A,FALSE,"Plan1";#N/A,#N/A,FALSE,"Plan2"}</definedName>
    <definedName name="wrn.Impricomp." localSheetId="1" hidden="1">{#N/A,#N/A,FALSE,"RCom";#N/A,#N/A,FALSE,"RCom-Acum.";#N/A,#N/A,FALSE,"PET";#N/A,#N/A,FALSE,"PET-Acum.";#N/A,#N/A,FALSE,"Nutri";#N/A,#N/A,FALSE,"Nutri-Acum.";#N/A,#N/A,FALSE,"Laborat.";#N/A,#N/A,FALSE,"Laborat.-Acum.";#N/A,#N/A,FALSE,"Outros";#N/A,#N/A,FALSE,"Outros-Acum."}</definedName>
    <definedName name="wrn.Impricomp." localSheetId="8" hidden="1">{#N/A,#N/A,FALSE,"RCom";#N/A,#N/A,FALSE,"RCom-Acum.";#N/A,#N/A,FALSE,"PET";#N/A,#N/A,FALSE,"PET-Acum.";#N/A,#N/A,FALSE,"Nutri";#N/A,#N/A,FALSE,"Nutri-Acum.";#N/A,#N/A,FALSE,"Laborat.";#N/A,#N/A,FALSE,"Laborat.-Acum.";#N/A,#N/A,FALSE,"Outros";#N/A,#N/A,FALSE,"Outros-Acum."}</definedName>
    <definedName name="wrn.Impricomp." localSheetId="2" hidden="1">{#N/A,#N/A,FALSE,"RCom";#N/A,#N/A,FALSE,"RCom-Acum.";#N/A,#N/A,FALSE,"PET";#N/A,#N/A,FALSE,"PET-Acum.";#N/A,#N/A,FALSE,"Nutri";#N/A,#N/A,FALSE,"Nutri-Acum.";#N/A,#N/A,FALSE,"Laborat.";#N/A,#N/A,FALSE,"Laborat.-Acum.";#N/A,#N/A,FALSE,"Outros";#N/A,#N/A,FALSE,"Outros-Acum."}</definedName>
    <definedName name="wrn.Impricomp." localSheetId="3" hidden="1">{#N/A,#N/A,FALSE,"RCom";#N/A,#N/A,FALSE,"RCom-Acum.";#N/A,#N/A,FALSE,"PET";#N/A,#N/A,FALSE,"PET-Acum.";#N/A,#N/A,FALSE,"Nutri";#N/A,#N/A,FALSE,"Nutri-Acum.";#N/A,#N/A,FALSE,"Laborat.";#N/A,#N/A,FALSE,"Laborat.-Acum.";#N/A,#N/A,FALSE,"Outros";#N/A,#N/A,FALSE,"Outros-Acum."}</definedName>
    <definedName name="wrn.ImpriDiv." localSheetId="1" hidden="1">{#N/A,#N/A,FALSE,"RCom";#N/A,#N/A,FALSE,"RCom-Acum.";#N/A,#N/A,FALSE,"PET";#N/A,#N/A,FALSE,"Pet-Acum.";#N/A,#N/A,FALSE,"Nutri";#N/A,#N/A,FALSE,"Nutri-Acum.";#N/A,#N/A,FALSE,"Laborat.";#N/A,#N/A,FALSE,"Laborat.-Acum.";#N/A,#N/A,FALSE,"Outros";#N/A,#N/A,FALSE,"Outros-Acum."}</definedName>
    <definedName name="wrn.ImpriDiv." localSheetId="8" hidden="1">{#N/A,#N/A,FALSE,"RCom";#N/A,#N/A,FALSE,"RCom-Acum.";#N/A,#N/A,FALSE,"PET";#N/A,#N/A,FALSE,"Pet-Acum.";#N/A,#N/A,FALSE,"Nutri";#N/A,#N/A,FALSE,"Nutri-Acum.";#N/A,#N/A,FALSE,"Laborat.";#N/A,#N/A,FALSE,"Laborat.-Acum.";#N/A,#N/A,FALSE,"Outros";#N/A,#N/A,FALSE,"Outros-Acum."}</definedName>
    <definedName name="wrn.ImpriDiv." localSheetId="2" hidden="1">{#N/A,#N/A,FALSE,"RCom";#N/A,#N/A,FALSE,"RCom-Acum.";#N/A,#N/A,FALSE,"PET";#N/A,#N/A,FALSE,"Pet-Acum.";#N/A,#N/A,FALSE,"Nutri";#N/A,#N/A,FALSE,"Nutri-Acum.";#N/A,#N/A,FALSE,"Laborat.";#N/A,#N/A,FALSE,"Laborat.-Acum.";#N/A,#N/A,FALSE,"Outros";#N/A,#N/A,FALSE,"Outros-Acum."}</definedName>
    <definedName name="wrn.ImpriDiv." localSheetId="3" hidden="1">{#N/A,#N/A,FALSE,"RCom";#N/A,#N/A,FALSE,"RCom-Acum.";#N/A,#N/A,FALSE,"PET";#N/A,#N/A,FALSE,"Pet-Acum.";#N/A,#N/A,FALSE,"Nutri";#N/A,#N/A,FALSE,"Nutri-Acum.";#N/A,#N/A,FALSE,"Laborat.";#N/A,#N/A,FALSE,"Laborat.-Acum.";#N/A,#N/A,FALSE,"Outros";#N/A,#N/A,FALSE,"Outros-Acum."}</definedName>
    <definedName name="wrn.Imprimir." localSheetId="1" hidden="1">{"tabela",#N/A,FALSE,"Tabela";"decoração",#N/A,FALSE,"Decor.";"Informações",#N/A,FALSE,"Inform."}</definedName>
    <definedName name="wrn.Imprimir." localSheetId="8" hidden="1">{"tabela",#N/A,FALSE,"Tabela";"decoração",#N/A,FALSE,"Decor.";"Informações",#N/A,FALSE,"Inform."}</definedName>
    <definedName name="wrn.Imprimir." localSheetId="2" hidden="1">{"tabela",#N/A,FALSE,"Tabela";"decoração",#N/A,FALSE,"Decor.";"Informações",#N/A,FALSE,"Inform."}</definedName>
    <definedName name="wrn.Imprimir." localSheetId="3" hidden="1">{"tabela",#N/A,FALSE,"Tabela";"decoração",#N/A,FALSE,"Decor.";"Informações",#N/A,FALSE,"Inform."}</definedName>
    <definedName name="wrn.input._.sheet." localSheetId="1" hidden="1">{#N/A,#N/A,FALSE,"TICKERS INPUT SHEET"}</definedName>
    <definedName name="wrn.input._.sheet." localSheetId="8" hidden="1">{#N/A,#N/A,FALSE,"TICKERS INPUT SHEET"}</definedName>
    <definedName name="wrn.input._.sheet." localSheetId="2" hidden="1">{#N/A,#N/A,FALSE,"TICKERS INPUT SHEET"}</definedName>
    <definedName name="wrn.input._.sheet." localSheetId="3" hidden="1">{#N/A,#N/A,FALSE,"TICKERS INPUT SHEET"}</definedName>
    <definedName name="wrn.INT.._.MELLOMV." localSheetId="1" hidden="1">{#N/A,#N/A,FALSE,"Skjema 6.5"}</definedName>
    <definedName name="wrn.INT.._.MELLOMV." localSheetId="8" hidden="1">{#N/A,#N/A,FALSE,"Skjema 6.5"}</definedName>
    <definedName name="wrn.INT.._.MELLOMV." localSheetId="2" hidden="1">{#N/A,#N/A,FALSE,"Skjema 6.5"}</definedName>
    <definedName name="wrn.INT.._.MELLOMV." localSheetId="3" hidden="1">{#N/A,#N/A,FALSE,"Skjema 6.5"}</definedName>
    <definedName name="wrn.IQRCGMES." localSheetId="1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rn.IQRCGMES." localSheetId="8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rn.IQRCGMES." localSheetId="2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rn.IQRCGMES." localSheetId="3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rn.Junta._.Principal." localSheetId="1" hidden="1">{#N/A,#N/A,FALSE,"VENTAS";#N/A,#N/A,FALSE,"U. BRUTA";#N/A,#N/A,FALSE,"G. PERSONAL";#N/A,#N/A,FALSE,"G. OPERACION";#N/A,#N/A,FALSE,"G. DEPYAM";#N/A,#N/A,FALSE,"INGRESOS";#N/A,#N/A,FALSE,"G.o P.1";#N/A,#N/A,FALSE,"3%Informe Junta";#N/A,#N/A,FALSE,"P Y G (2)";#N/A,#N/A,FALSE,"CART. PROV.";#N/A,#N/A,FALSE,"Usecmes";#N/A,#N/A,FALSE,"Usecacu"}</definedName>
    <definedName name="wrn.Junta._.Principal." localSheetId="8" hidden="1">{#N/A,#N/A,FALSE,"VENTAS";#N/A,#N/A,FALSE,"U. BRUTA";#N/A,#N/A,FALSE,"G. PERSONAL";#N/A,#N/A,FALSE,"G. OPERACION";#N/A,#N/A,FALSE,"G. DEPYAM";#N/A,#N/A,FALSE,"INGRESOS";#N/A,#N/A,FALSE,"G.o P.1";#N/A,#N/A,FALSE,"3%Informe Junta";#N/A,#N/A,FALSE,"P Y G (2)";#N/A,#N/A,FALSE,"CART. PROV.";#N/A,#N/A,FALSE,"Usecmes";#N/A,#N/A,FALSE,"Usecacu"}</definedName>
    <definedName name="wrn.Junta._.Principal." localSheetId="2" hidden="1">{#N/A,#N/A,FALSE,"VENTAS";#N/A,#N/A,FALSE,"U. BRUTA";#N/A,#N/A,FALSE,"G. PERSONAL";#N/A,#N/A,FALSE,"G. OPERACION";#N/A,#N/A,FALSE,"G. DEPYAM";#N/A,#N/A,FALSE,"INGRESOS";#N/A,#N/A,FALSE,"G.o P.1";#N/A,#N/A,FALSE,"3%Informe Junta";#N/A,#N/A,FALSE,"P Y G (2)";#N/A,#N/A,FALSE,"CART. PROV.";#N/A,#N/A,FALSE,"Usecmes";#N/A,#N/A,FALSE,"Usecacu"}</definedName>
    <definedName name="wrn.Junta._.Principal." localSheetId="3" hidden="1">{#N/A,#N/A,FALSE,"VENTAS";#N/A,#N/A,FALSE,"U. BRUTA";#N/A,#N/A,FALSE,"G. PERSONAL";#N/A,#N/A,FALSE,"G. OPERACION";#N/A,#N/A,FALSE,"G. DEPYAM";#N/A,#N/A,FALSE,"INGRESOS";#N/A,#N/A,FALSE,"G.o P.1";#N/A,#N/A,FALSE,"3%Informe Junta";#N/A,#N/A,FALSE,"P Y G (2)";#N/A,#N/A,FALSE,"CART. PROV.";#N/A,#N/A,FALSE,"Usecmes";#N/A,#N/A,FALSE,"Usecacu"}</definedName>
    <definedName name="wrn.kleyner." localSheetId="1" hidden="1">{#N/A,#N/A,TRUE,"Equity Summary Sheet";#N/A,#N/A,TRUE,"Feedstock Prices";#N/A,#N/A,TRUE,"Disburse";#N/A,#N/A,TRUE,"Feedstock";#N/A,#N/A,TRUE,"Operating";#N/A,#N/A,TRUE,"Market-IFC";#N/A,#N/A,TRUE,"Pricing";#N/A,#N/A,TRUE,"Operating Costs";#N/A,#N/A,TRUE,"Sales - Trend";#N/A,#N/A,TRUE,"PPE-Dep'n";#N/A,#N/A,TRUE,"Oper. Costs";#N/A,#N/A,TRUE,"BS Items";#N/A,#N/A,TRUE,"Debt";#N/A,#N/A,TRUE,"No Expansion";#N/A,#N/A,TRUE,"Sensitivity";#N/A,#N/A,TRUE,"Fin. Stat.";#N/A,#N/A,TRUE,"IRR";#N/A,#N/A,TRUE,"Ratios";#N/A,#N/A,TRUE,"Assumptions";#N/A,#N/A,TRUE,"Summary";#N/A,#N/A,TRUE,"Dividends"}</definedName>
    <definedName name="wrn.kleyner." localSheetId="8" hidden="1">{#N/A,#N/A,TRUE,"Equity Summary Sheet";#N/A,#N/A,TRUE,"Feedstock Prices";#N/A,#N/A,TRUE,"Disburse";#N/A,#N/A,TRUE,"Feedstock";#N/A,#N/A,TRUE,"Operating";#N/A,#N/A,TRUE,"Market-IFC";#N/A,#N/A,TRUE,"Pricing";#N/A,#N/A,TRUE,"Operating Costs";#N/A,#N/A,TRUE,"Sales - Trend";#N/A,#N/A,TRUE,"PPE-Dep'n";#N/A,#N/A,TRUE,"Oper. Costs";#N/A,#N/A,TRUE,"BS Items";#N/A,#N/A,TRUE,"Debt";#N/A,#N/A,TRUE,"No Expansion";#N/A,#N/A,TRUE,"Sensitivity";#N/A,#N/A,TRUE,"Fin. Stat.";#N/A,#N/A,TRUE,"IRR";#N/A,#N/A,TRUE,"Ratios";#N/A,#N/A,TRUE,"Assumptions";#N/A,#N/A,TRUE,"Summary";#N/A,#N/A,TRUE,"Dividends"}</definedName>
    <definedName name="wrn.kleyner." localSheetId="2" hidden="1">{#N/A,#N/A,TRUE,"Equity Summary Sheet";#N/A,#N/A,TRUE,"Feedstock Prices";#N/A,#N/A,TRUE,"Disburse";#N/A,#N/A,TRUE,"Feedstock";#N/A,#N/A,TRUE,"Operating";#N/A,#N/A,TRUE,"Market-IFC";#N/A,#N/A,TRUE,"Pricing";#N/A,#N/A,TRUE,"Operating Costs";#N/A,#N/A,TRUE,"Sales - Trend";#N/A,#N/A,TRUE,"PPE-Dep'n";#N/A,#N/A,TRUE,"Oper. Costs";#N/A,#N/A,TRUE,"BS Items";#N/A,#N/A,TRUE,"Debt";#N/A,#N/A,TRUE,"No Expansion";#N/A,#N/A,TRUE,"Sensitivity";#N/A,#N/A,TRUE,"Fin. Stat.";#N/A,#N/A,TRUE,"IRR";#N/A,#N/A,TRUE,"Ratios";#N/A,#N/A,TRUE,"Assumptions";#N/A,#N/A,TRUE,"Summary";#N/A,#N/A,TRUE,"Dividends"}</definedName>
    <definedName name="wrn.kleyner." localSheetId="3" hidden="1">{#N/A,#N/A,TRUE,"Equity Summary Sheet";#N/A,#N/A,TRUE,"Feedstock Prices";#N/A,#N/A,TRUE,"Disburse";#N/A,#N/A,TRUE,"Feedstock";#N/A,#N/A,TRUE,"Operating";#N/A,#N/A,TRUE,"Market-IFC";#N/A,#N/A,TRUE,"Pricing";#N/A,#N/A,TRUE,"Operating Costs";#N/A,#N/A,TRUE,"Sales - Trend";#N/A,#N/A,TRUE,"PPE-Dep'n";#N/A,#N/A,TRUE,"Oper. Costs";#N/A,#N/A,TRUE,"BS Items";#N/A,#N/A,TRUE,"Debt";#N/A,#N/A,TRUE,"No Expansion";#N/A,#N/A,TRUE,"Sensitivity";#N/A,#N/A,TRUE,"Fin. Stat.";#N/A,#N/A,TRUE,"IRR";#N/A,#N/A,TRUE,"Ratios";#N/A,#N/A,TRUE,"Assumptions";#N/A,#N/A,TRUE,"Summary";#N/A,#N/A,TRUE,"Dividends"}</definedName>
    <definedName name="wrn.MergerModel." localSheetId="1" hidden="1">{"Deal",#N/A,FALSE,"Deal";"acquiror",#N/A,FALSE,"Acquiror";"Target",#N/A,FALSE,"Target"}</definedName>
    <definedName name="wrn.MergerModel." localSheetId="8" hidden="1">{"Deal",#N/A,FALSE,"Deal";"acquiror",#N/A,FALSE,"Acquiror";"Target",#N/A,FALSE,"Target"}</definedName>
    <definedName name="wrn.MergerModel." localSheetId="2" hidden="1">{"Deal",#N/A,FALSE,"Deal";"acquiror",#N/A,FALSE,"Acquiror";"Target",#N/A,FALSE,"Target"}</definedName>
    <definedName name="wrn.MergerModel." localSheetId="3" hidden="1">{"Deal",#N/A,FALSE,"Deal";"acquiror",#N/A,FALSE,"Acquiror";"Target",#N/A,FALSE,"Target"}</definedName>
    <definedName name="wrn.Model.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wrn.Model." localSheetId="8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wrn.Model.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wrn.Model.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wrn.Monthly._.BS._.and._.PL." localSheetId="6" hidden="1">{"ASSETS",#N/A,TRUE,"Assets";"LIABILITIES",#N/A,TRUE,"Liab&amp;Equity";"INCOME STATEMENT",#N/A,TRUE,"IncStatement"}</definedName>
    <definedName name="wrn.Monthly._.BS._.and._.PL." localSheetId="7" hidden="1">{"ASSETS",#N/A,TRUE,"Assets";"LIABILITIES",#N/A,TRUE,"Liab&amp;Equity";"INCOME STATEMENT",#N/A,TRUE,"IncStatement"}</definedName>
    <definedName name="wrn.Monthly._.BS._.and._.PL." localSheetId="1" hidden="1">{"ASSETS",#N/A,TRUE,"Assets";"LIABILITIES",#N/A,TRUE,"Liab&amp;Equity";"INCOME STATEMENT",#N/A,TRUE,"IncStatement"}</definedName>
    <definedName name="wrn.Monthly._.BS._.and._.PL." localSheetId="8" hidden="1">{"ASSETS",#N/A,TRUE,"Assets";"LIABILITIES",#N/A,TRUE,"Liab&amp;Equity";"INCOME STATEMENT",#N/A,TRUE,"IncStatement"}</definedName>
    <definedName name="wrn.Monthly._.BS._.and._.PL." localSheetId="2" hidden="1">{"ASSETS",#N/A,TRUE,"Assets";"LIABILITIES",#N/A,TRUE,"Liab&amp;Equity";"INCOME STATEMENT",#N/A,TRUE,"IncStatement"}</definedName>
    <definedName name="wrn.Monthly._.BS._.and._.PL." localSheetId="3" hidden="1">{"ASSETS",#N/A,TRUE,"Assets";"LIABILITIES",#N/A,TRUE,"Liab&amp;Equity";"INCOME STATEMENT",#N/A,TRUE,"IncStatement"}</definedName>
    <definedName name="wrn.Monthly._.BS._.and._.PL." localSheetId="4" hidden="1">{"ASSETS",#N/A,TRUE,"Assets";"LIABILITIES",#N/A,TRUE,"Liab&amp;Equity";"INCOME STATEMENT",#N/A,TRUE,"IncStatement"}</definedName>
    <definedName name="wrn.Monthly._.BS._.and._.PL." localSheetId="5" hidden="1">{"ASSETS",#N/A,TRUE,"Assets";"LIABILITIES",#N/A,TRUE,"Liab&amp;Equity";"INCOME STATEMENT",#N/A,TRUE,"IncStatement"}</definedName>
    <definedName name="wrn.Mthly._.support._.schedules." localSheetId="6" hidden="1">{"Schedule A 1",#N/A,FALSE,"Schedule A-1";"Schedule A 2",#N/A,FALSE,"Schedule A-2";"Schedule A 3",#N/A,FALSE,"Schedule A-3";"Schedule A 4",#N/A,FALSE,"Schedule A-4";"Schedule A 5",#N/A,FALSE,"Schedule A-5";"Schedule L-1",#N/A,FALSE,"Schedule L-1";"Schedule A 6",#N/A,FALSE,"Schedule A-6";"Schedule L-2",#N/A,FALSE,"Schedule L-2";"Schedule L 3 (1)",#N/A,FALSE,"Schedule L-3 (1)";"Schedule L 3 (2)",#N/A,FALSE,"Schedule L-3 (2)";"Schedule L 3 (3)",#N/A,FALSE,"Schedule L-3 (3)";"Schedule L 3 (4)",#N/A,FALSE,"Schedule L-3 (4)";"Schedule L 3 (5)",#N/A,FALSE,"Schedule L-3 (5)";"Schedule l 1",#N/A,FALSE,"Schedule I-1";"Schedule l 2",#N/A,FALSE,"Schedule I-2";"Schedule l 3",#N/A,FALSE,"Schedule I-3";"Schedule l 4",#N/A,FALSE,"Schedule I-4";"Schedule L-4",#N/A,FALSE,"Schedule L-4";"Schedule l-5",#N/A,FALSE,"Anex 1"}</definedName>
    <definedName name="wrn.Mthly._.support._.schedules." localSheetId="7" hidden="1">{"Schedule A 1",#N/A,FALSE,"Schedule A-1";"Schedule A 2",#N/A,FALSE,"Schedule A-2";"Schedule A 3",#N/A,FALSE,"Schedule A-3";"Schedule A 4",#N/A,FALSE,"Schedule A-4";"Schedule A 5",#N/A,FALSE,"Schedule A-5";"Schedule L-1",#N/A,FALSE,"Schedule L-1";"Schedule A 6",#N/A,FALSE,"Schedule A-6";"Schedule L-2",#N/A,FALSE,"Schedule L-2";"Schedule L 3 (1)",#N/A,FALSE,"Schedule L-3 (1)";"Schedule L 3 (2)",#N/A,FALSE,"Schedule L-3 (2)";"Schedule L 3 (3)",#N/A,FALSE,"Schedule L-3 (3)";"Schedule L 3 (4)",#N/A,FALSE,"Schedule L-3 (4)";"Schedule L 3 (5)",#N/A,FALSE,"Schedule L-3 (5)";"Schedule l 1",#N/A,FALSE,"Schedule I-1";"Schedule l 2",#N/A,FALSE,"Schedule I-2";"Schedule l 3",#N/A,FALSE,"Schedule I-3";"Schedule l 4",#N/A,FALSE,"Schedule I-4";"Schedule L-4",#N/A,FALSE,"Schedule L-4";"Schedule l-5",#N/A,FALSE,"Anex 1"}</definedName>
    <definedName name="wrn.Mthly._.support._.schedules." localSheetId="1" hidden="1">{"Schedule A 1",#N/A,FALSE,"Schedule A-1";"Schedule A 2",#N/A,FALSE,"Schedule A-2";"Schedule A 3",#N/A,FALSE,"Schedule A-3";"Schedule A 4",#N/A,FALSE,"Schedule A-4";"Schedule A 5",#N/A,FALSE,"Schedule A-5";"Schedule L-1",#N/A,FALSE,"Schedule L-1";"Schedule A 6",#N/A,FALSE,"Schedule A-6";"Schedule L-2",#N/A,FALSE,"Schedule L-2";"Schedule L 3 (1)",#N/A,FALSE,"Schedule L-3 (1)";"Schedule L 3 (2)",#N/A,FALSE,"Schedule L-3 (2)";"Schedule L 3 (3)",#N/A,FALSE,"Schedule L-3 (3)";"Schedule L 3 (4)",#N/A,FALSE,"Schedule L-3 (4)";"Schedule L 3 (5)",#N/A,FALSE,"Schedule L-3 (5)";"Schedule l 1",#N/A,FALSE,"Schedule I-1";"Schedule l 2",#N/A,FALSE,"Schedule I-2";"Schedule l 3",#N/A,FALSE,"Schedule I-3";"Schedule l 4",#N/A,FALSE,"Schedule I-4";"Schedule L-4",#N/A,FALSE,"Schedule L-4";"Schedule l-5",#N/A,FALSE,"Anex 1"}</definedName>
    <definedName name="wrn.Mthly._.support._.schedules." localSheetId="8" hidden="1">{"Schedule A 1",#N/A,FALSE,"Schedule A-1";"Schedule A 2",#N/A,FALSE,"Schedule A-2";"Schedule A 3",#N/A,FALSE,"Schedule A-3";"Schedule A 4",#N/A,FALSE,"Schedule A-4";"Schedule A 5",#N/A,FALSE,"Schedule A-5";"Schedule L-1",#N/A,FALSE,"Schedule L-1";"Schedule A 6",#N/A,FALSE,"Schedule A-6";"Schedule L-2",#N/A,FALSE,"Schedule L-2";"Schedule L 3 (1)",#N/A,FALSE,"Schedule L-3 (1)";"Schedule L 3 (2)",#N/A,FALSE,"Schedule L-3 (2)";"Schedule L 3 (3)",#N/A,FALSE,"Schedule L-3 (3)";"Schedule L 3 (4)",#N/A,FALSE,"Schedule L-3 (4)";"Schedule L 3 (5)",#N/A,FALSE,"Schedule L-3 (5)";"Schedule l 1",#N/A,FALSE,"Schedule I-1";"Schedule l 2",#N/A,FALSE,"Schedule I-2";"Schedule l 3",#N/A,FALSE,"Schedule I-3";"Schedule l 4",#N/A,FALSE,"Schedule I-4";"Schedule L-4",#N/A,FALSE,"Schedule L-4";"Schedule l-5",#N/A,FALSE,"Anex 1"}</definedName>
    <definedName name="wrn.Mthly._.support._.schedules." localSheetId="2" hidden="1">{"Schedule A 1",#N/A,FALSE,"Schedule A-1";"Schedule A 2",#N/A,FALSE,"Schedule A-2";"Schedule A 3",#N/A,FALSE,"Schedule A-3";"Schedule A 4",#N/A,FALSE,"Schedule A-4";"Schedule A 5",#N/A,FALSE,"Schedule A-5";"Schedule L-1",#N/A,FALSE,"Schedule L-1";"Schedule A 6",#N/A,FALSE,"Schedule A-6";"Schedule L-2",#N/A,FALSE,"Schedule L-2";"Schedule L 3 (1)",#N/A,FALSE,"Schedule L-3 (1)";"Schedule L 3 (2)",#N/A,FALSE,"Schedule L-3 (2)";"Schedule L 3 (3)",#N/A,FALSE,"Schedule L-3 (3)";"Schedule L 3 (4)",#N/A,FALSE,"Schedule L-3 (4)";"Schedule L 3 (5)",#N/A,FALSE,"Schedule L-3 (5)";"Schedule l 1",#N/A,FALSE,"Schedule I-1";"Schedule l 2",#N/A,FALSE,"Schedule I-2";"Schedule l 3",#N/A,FALSE,"Schedule I-3";"Schedule l 4",#N/A,FALSE,"Schedule I-4";"Schedule L-4",#N/A,FALSE,"Schedule L-4";"Schedule l-5",#N/A,FALSE,"Anex 1"}</definedName>
    <definedName name="wrn.Mthly._.support._.schedules." localSheetId="3" hidden="1">{"Schedule A 1",#N/A,FALSE,"Schedule A-1";"Schedule A 2",#N/A,FALSE,"Schedule A-2";"Schedule A 3",#N/A,FALSE,"Schedule A-3";"Schedule A 4",#N/A,FALSE,"Schedule A-4";"Schedule A 5",#N/A,FALSE,"Schedule A-5";"Schedule L-1",#N/A,FALSE,"Schedule L-1";"Schedule A 6",#N/A,FALSE,"Schedule A-6";"Schedule L-2",#N/A,FALSE,"Schedule L-2";"Schedule L 3 (1)",#N/A,FALSE,"Schedule L-3 (1)";"Schedule L 3 (2)",#N/A,FALSE,"Schedule L-3 (2)";"Schedule L 3 (3)",#N/A,FALSE,"Schedule L-3 (3)";"Schedule L 3 (4)",#N/A,FALSE,"Schedule L-3 (4)";"Schedule L 3 (5)",#N/A,FALSE,"Schedule L-3 (5)";"Schedule l 1",#N/A,FALSE,"Schedule I-1";"Schedule l 2",#N/A,FALSE,"Schedule I-2";"Schedule l 3",#N/A,FALSE,"Schedule I-3";"Schedule l 4",#N/A,FALSE,"Schedule I-4";"Schedule L-4",#N/A,FALSE,"Schedule L-4";"Schedule l-5",#N/A,FALSE,"Anex 1"}</definedName>
    <definedName name="wrn.Mthly._.support._.schedules." localSheetId="4" hidden="1">{"Schedule A 1",#N/A,FALSE,"Schedule A-1";"Schedule A 2",#N/A,FALSE,"Schedule A-2";"Schedule A 3",#N/A,FALSE,"Schedule A-3";"Schedule A 4",#N/A,FALSE,"Schedule A-4";"Schedule A 5",#N/A,FALSE,"Schedule A-5";"Schedule L-1",#N/A,FALSE,"Schedule L-1";"Schedule A 6",#N/A,FALSE,"Schedule A-6";"Schedule L-2",#N/A,FALSE,"Schedule L-2";"Schedule L 3 (1)",#N/A,FALSE,"Schedule L-3 (1)";"Schedule L 3 (2)",#N/A,FALSE,"Schedule L-3 (2)";"Schedule L 3 (3)",#N/A,FALSE,"Schedule L-3 (3)";"Schedule L 3 (4)",#N/A,FALSE,"Schedule L-3 (4)";"Schedule L 3 (5)",#N/A,FALSE,"Schedule L-3 (5)";"Schedule l 1",#N/A,FALSE,"Schedule I-1";"Schedule l 2",#N/A,FALSE,"Schedule I-2";"Schedule l 3",#N/A,FALSE,"Schedule I-3";"Schedule l 4",#N/A,FALSE,"Schedule I-4";"Schedule L-4",#N/A,FALSE,"Schedule L-4";"Schedule l-5",#N/A,FALSE,"Anex 1"}</definedName>
    <definedName name="wrn.Mthly._.support._.schedules." localSheetId="5" hidden="1">{"Schedule A 1",#N/A,FALSE,"Schedule A-1";"Schedule A 2",#N/A,FALSE,"Schedule A-2";"Schedule A 3",#N/A,FALSE,"Schedule A-3";"Schedule A 4",#N/A,FALSE,"Schedule A-4";"Schedule A 5",#N/A,FALSE,"Schedule A-5";"Schedule L-1",#N/A,FALSE,"Schedule L-1";"Schedule A 6",#N/A,FALSE,"Schedule A-6";"Schedule L-2",#N/A,FALSE,"Schedule L-2";"Schedule L 3 (1)",#N/A,FALSE,"Schedule L-3 (1)";"Schedule L 3 (2)",#N/A,FALSE,"Schedule L-3 (2)";"Schedule L 3 (3)",#N/A,FALSE,"Schedule L-3 (3)";"Schedule L 3 (4)",#N/A,FALSE,"Schedule L-3 (4)";"Schedule L 3 (5)",#N/A,FALSE,"Schedule L-3 (5)";"Schedule l 1",#N/A,FALSE,"Schedule I-1";"Schedule l 2",#N/A,FALSE,"Schedule I-2";"Schedule l 3",#N/A,FALSE,"Schedule I-3";"Schedule l 4",#N/A,FALSE,"Schedule I-4";"Schedule L-4",#N/A,FALSE,"Schedule L-4";"Schedule l-5",#N/A,FALSE,"Anex 1"}</definedName>
    <definedName name="wrn.Multiples._.Calculation." localSheetId="1" hidden="1">{#N/A,#N/A,FALSE,"GCM Data Sum";#N/A,#N/A,FALSE,"TIC-Calculation";#N/A,#N/A,FALSE,"TIC  Multiples";#N/A,#N/A,FALSE,"P-E &amp; Price to Book Multiples";#N/A,#N/A,FALSE,"Margins-EBITDA-to-Growth"}</definedName>
    <definedName name="wrn.Multiples._.Calculation." localSheetId="8" hidden="1">{#N/A,#N/A,FALSE,"GCM Data Sum";#N/A,#N/A,FALSE,"TIC-Calculation";#N/A,#N/A,FALSE,"TIC  Multiples";#N/A,#N/A,FALSE,"P-E &amp; Price to Book Multiples";#N/A,#N/A,FALSE,"Margins-EBITDA-to-Growth"}</definedName>
    <definedName name="wrn.Multiples._.Calculation." localSheetId="2" hidden="1">{#N/A,#N/A,FALSE,"GCM Data Sum";#N/A,#N/A,FALSE,"TIC-Calculation";#N/A,#N/A,FALSE,"TIC  Multiples";#N/A,#N/A,FALSE,"P-E &amp; Price to Book Multiples";#N/A,#N/A,FALSE,"Margins-EBITDA-to-Growth"}</definedName>
    <definedName name="wrn.Multiples._.Calculation." localSheetId="3" hidden="1">{#N/A,#N/A,FALSE,"GCM Data Sum";#N/A,#N/A,FALSE,"TIC-Calculation";#N/A,#N/A,FALSE,"TIC  Multiples";#N/A,#N/A,FALSE,"P-E &amp; Price to Book Multiples";#N/A,#N/A,FALSE,"Margins-EBITDA-to-Growth"}</definedName>
    <definedName name="wrn.Nico." localSheetId="1" hidden="1">{#N/A,#N/A,TRUE,"Cover";#N/A,#N/A,TRUE,"Transaction Summary";#N/A,#N/A,TRUE,"Earnings Impact";#N/A,#N/A,TRUE,"accretion dilution"}</definedName>
    <definedName name="wrn.Nico." localSheetId="8" hidden="1">{#N/A,#N/A,TRUE,"Cover";#N/A,#N/A,TRUE,"Transaction Summary";#N/A,#N/A,TRUE,"Earnings Impact";#N/A,#N/A,TRUE,"accretion dilution"}</definedName>
    <definedName name="wrn.Nico." localSheetId="2" hidden="1">{#N/A,#N/A,TRUE,"Cover";#N/A,#N/A,TRUE,"Transaction Summary";#N/A,#N/A,TRUE,"Earnings Impact";#N/A,#N/A,TRUE,"accretion dilution"}</definedName>
    <definedName name="wrn.Nico." localSheetId="3" hidden="1">{#N/A,#N/A,TRUE,"Cover";#N/A,#N/A,TRUE,"Transaction Summary";#N/A,#N/A,TRUE,"Earnings Impact";#N/A,#N/A,TRUE,"accretion dilution"}</definedName>
    <definedName name="wrn.NUTRISERVIÇOS." localSheetId="1" hidden="1">{"TOTAL NUTRISERVIÇOS",#N/A,FALSE,"NUTRI";"PREMIX",#N/A,FALSE,"NUTRI";"NUCLEOS",#N/A,FALSE,"NUTRI";"MATERIAS PRIMAS",#N/A,FALSE,"NUTRI";"OUTROS",#N/A,FALSE,"NUTRI"}</definedName>
    <definedName name="wrn.NUTRISERVIÇOS." localSheetId="8" hidden="1">{"TOTAL NUTRISERVIÇOS",#N/A,FALSE,"NUTRI";"PREMIX",#N/A,FALSE,"NUTRI";"NUCLEOS",#N/A,FALSE,"NUTRI";"MATERIAS PRIMAS",#N/A,FALSE,"NUTRI";"OUTROS",#N/A,FALSE,"NUTRI"}</definedName>
    <definedName name="wrn.NUTRISERVIÇOS." localSheetId="2" hidden="1">{"TOTAL NUTRISERVIÇOS",#N/A,FALSE,"NUTRI";"PREMIX",#N/A,FALSE,"NUTRI";"NUCLEOS",#N/A,FALSE,"NUTRI";"MATERIAS PRIMAS",#N/A,FALSE,"NUTRI";"OUTROS",#N/A,FALSE,"NUTRI"}</definedName>
    <definedName name="wrn.NUTRISERVIÇOS." localSheetId="3" hidden="1">{"TOTAL NUTRISERVIÇOS",#N/A,FALSE,"NUTRI";"PREMIX",#N/A,FALSE,"NUTRI";"NUCLEOS",#N/A,FALSE,"NUTRI";"MATERIAS PRIMAS",#N/A,FALSE,"NUTRI";"OUTROS",#N/A,FALSE,"NUTRI"}</definedName>
    <definedName name="wrn.PL." localSheetId="1" hidden="1">{"20 Years",#N/A,FALSE,"P&amp;Ls";"2001",#N/A,FALSE,"P&amp;Ls"}</definedName>
    <definedName name="wrn.PL." localSheetId="8" hidden="1">{"20 Years",#N/A,FALSE,"P&amp;Ls";"2001",#N/A,FALSE,"P&amp;Ls"}</definedName>
    <definedName name="wrn.PL." localSheetId="2" hidden="1">{"20 Years",#N/A,FALSE,"P&amp;Ls";"2001",#N/A,FALSE,"P&amp;Ls"}</definedName>
    <definedName name="wrn.PL." localSheetId="3" hidden="1">{"20 Years",#N/A,FALSE,"P&amp;Ls";"2001",#N/A,FALSE,"P&amp;Ls"}</definedName>
    <definedName name="wrn.Presentacion." localSheetId="1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wrn.Presentacion." localSheetId="8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wrn.Presentacion." localSheetId="2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wrn.Presentacion." localSheetId="3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wrn.print." localSheetId="1" hidden="1">{#N/A,#N/A,FALSE,"Japan 2003";#N/A,#N/A,FALSE,"Sheet2"}</definedName>
    <definedName name="wrn.print." localSheetId="8" hidden="1">{#N/A,#N/A,FALSE,"Japan 2003";#N/A,#N/A,FALSE,"Sheet2"}</definedName>
    <definedName name="wrn.print." localSheetId="2" hidden="1">{#N/A,#N/A,FALSE,"Japan 2003";#N/A,#N/A,FALSE,"Sheet2"}</definedName>
    <definedName name="wrn.print." localSheetId="3" hidden="1">{#N/A,#N/A,FALSE,"Japan 2003";#N/A,#N/A,FALSE,"Sheet2"}</definedName>
    <definedName name="wrn.PRINT._.ALL." localSheetId="1" hidden="1">{#N/A,#N/A,FALSE,"Pharm";#N/A,#N/A,FALSE,"WWCM"}</definedName>
    <definedName name="wrn.PRINT._.ALL." localSheetId="8" hidden="1">{#N/A,#N/A,FALSE,"Pharm";#N/A,#N/A,FALSE,"WWCM"}</definedName>
    <definedName name="wrn.PRINT._.ALL." localSheetId="2" hidden="1">{#N/A,#N/A,FALSE,"Pharm";#N/A,#N/A,FALSE,"WWCM"}</definedName>
    <definedName name="wrn.PRINT._.ALL." localSheetId="3" hidden="1">{#N/A,#N/A,FALSE,"Pharm";#N/A,#N/A,FALSE,"WWCM"}</definedName>
    <definedName name="wrn.Print._.All._.Exhibits." localSheetId="1" hidden="1">{"Inc Stmt Dollar",#N/A,FALSE,"IS";"Inc Stmt CS",#N/A,FALSE,"IS";"BS Dollar",#N/A,FALSE,"BS";"BS CS",#N/A,FALSE,"BS";"CF Dollar",#N/A,FALSE,"CF";"Ratio No.1",#N/A,FALSE,"Ratio";"Ratio No.2",#N/A,FALSE,"Ratio"}</definedName>
    <definedName name="wrn.Print._.All._.Exhibits." localSheetId="8" hidden="1">{"Inc Stmt Dollar",#N/A,FALSE,"IS";"Inc Stmt CS",#N/A,FALSE,"IS";"BS Dollar",#N/A,FALSE,"BS";"BS CS",#N/A,FALSE,"BS";"CF Dollar",#N/A,FALSE,"CF";"Ratio No.1",#N/A,FALSE,"Ratio";"Ratio No.2",#N/A,FALSE,"Ratio"}</definedName>
    <definedName name="wrn.Print._.All._.Exhibits." localSheetId="2" hidden="1">{"Inc Stmt Dollar",#N/A,FALSE,"IS";"Inc Stmt CS",#N/A,FALSE,"IS";"BS Dollar",#N/A,FALSE,"BS";"BS CS",#N/A,FALSE,"BS";"CF Dollar",#N/A,FALSE,"CF";"Ratio No.1",#N/A,FALSE,"Ratio";"Ratio No.2",#N/A,FALSE,"Ratio"}</definedName>
    <definedName name="wrn.Print._.All._.Exhibits." localSheetId="3" hidden="1">{"Inc Stmt Dollar",#N/A,FALSE,"IS";"Inc Stmt CS",#N/A,FALSE,"IS";"BS Dollar",#N/A,FALSE,"BS";"BS CS",#N/A,FALSE,"BS";"CF Dollar",#N/A,FALSE,"CF";"Ratio No.1",#N/A,FALSE,"Ratio";"Ratio No.2",#N/A,FALSE,"Ratio"}</definedName>
    <definedName name="wrn.print._.all._.sheets." localSheetId="1" hidden="1">{"summary",#N/A,FALSE,"Valuation Analysis";"assumptions1",#N/A,FALSE,"Valuation Analysis";"assumptions2",#N/A,FALSE,"Valuation Analysis"}</definedName>
    <definedName name="wrn.print._.all._.sheets." localSheetId="8" hidden="1">{"summary",#N/A,FALSE,"Valuation Analysis";"assumptions1",#N/A,FALSE,"Valuation Analysis";"assumptions2",#N/A,FALSE,"Valuation Analysis"}</definedName>
    <definedName name="wrn.print._.all._.sheets." localSheetId="2" hidden="1">{"summary",#N/A,FALSE,"Valuation Analysis";"assumptions1",#N/A,FALSE,"Valuation Analysis";"assumptions2",#N/A,FALSE,"Valuation Analysis"}</definedName>
    <definedName name="wrn.print._.all._.sheets." localSheetId="3" hidden="1">{"summary",#N/A,FALSE,"Valuation Analysis";"assumptions1",#N/A,FALSE,"Valuation Analysis";"assumptions2",#N/A,FALSE,"Valuation Analysis"}</definedName>
    <definedName name="wrn.Print._.Blank._.Exhibit." localSheetId="1" hidden="1">{"Extra 1",#N/A,FALSE,"Blank"}</definedName>
    <definedName name="wrn.Print._.Blank._.Exhibit." localSheetId="8" hidden="1">{"Extra 1",#N/A,FALSE,"Blank"}</definedName>
    <definedName name="wrn.Print._.Blank._.Exhibit." localSheetId="2" hidden="1">{"Extra 1",#N/A,FALSE,"Blank"}</definedName>
    <definedName name="wrn.Print._.Blank._.Exhibit." localSheetId="3" hidden="1">{"Extra 1",#N/A,FALSE,"Blank"}</definedName>
    <definedName name="wrn.Print._.BS._.Exhibits." localSheetId="1" hidden="1">{"BS Dollar",#N/A,FALSE,"BS";"BS CS",#N/A,FALSE,"BS"}</definedName>
    <definedName name="wrn.Print._.BS._.Exhibits." localSheetId="8" hidden="1">{"BS Dollar",#N/A,FALSE,"BS";"BS CS",#N/A,FALSE,"BS"}</definedName>
    <definedName name="wrn.Print._.BS._.Exhibits." localSheetId="2" hidden="1">{"BS Dollar",#N/A,FALSE,"BS";"BS CS",#N/A,FALSE,"BS"}</definedName>
    <definedName name="wrn.Print._.BS._.Exhibits." localSheetId="3" hidden="1">{"BS Dollar",#N/A,FALSE,"BS";"BS CS",#N/A,FALSE,"BS"}</definedName>
    <definedName name="wrn.Print._.CF._.Exhibit." localSheetId="1" hidden="1">{"CF Dollar",#N/A,FALSE,"CF"}</definedName>
    <definedName name="wrn.Print._.CF._.Exhibit." localSheetId="8" hidden="1">{"CF Dollar",#N/A,FALSE,"CF"}</definedName>
    <definedName name="wrn.Print._.CF._.Exhibit." localSheetId="2" hidden="1">{"CF Dollar",#N/A,FALSE,"CF"}</definedName>
    <definedName name="wrn.Print._.CF._.Exhibit." localSheetId="3" hidden="1">{"CF Dollar",#N/A,FALSE,"CF"}</definedName>
    <definedName name="wrn.Print._.IS._.Exhibits." localSheetId="1" hidden="1">{"Inc Stmt Dollar",#N/A,FALSE,"IS";"Inc Stmt CS",#N/A,FALSE,"IS"}</definedName>
    <definedName name="wrn.Print._.IS._.Exhibits." localSheetId="8" hidden="1">{"Inc Stmt Dollar",#N/A,FALSE,"IS";"Inc Stmt CS",#N/A,FALSE,"IS"}</definedName>
    <definedName name="wrn.Print._.IS._.Exhibits." localSheetId="2" hidden="1">{"Inc Stmt Dollar",#N/A,FALSE,"IS";"Inc Stmt CS",#N/A,FALSE,"IS"}</definedName>
    <definedName name="wrn.Print._.IS._.Exhibits." localSheetId="3" hidden="1">{"Inc Stmt Dollar",#N/A,FALSE,"IS";"Inc Stmt CS",#N/A,FALSE,"IS"}</definedName>
    <definedName name="wrn.Print._.Ratio._.Exhibits." localSheetId="1" hidden="1">{"Ratio No.1",#N/A,FALSE,"Ratio";"Ratio No.2",#N/A,FALSE,"Ratio"}</definedName>
    <definedName name="wrn.Print._.Ratio._.Exhibits." localSheetId="8" hidden="1">{"Ratio No.1",#N/A,FALSE,"Ratio";"Ratio No.2",#N/A,FALSE,"Ratio"}</definedName>
    <definedName name="wrn.Print._.Ratio._.Exhibits." localSheetId="2" hidden="1">{"Ratio No.1",#N/A,FALSE,"Ratio";"Ratio No.2",#N/A,FALSE,"Ratio"}</definedName>
    <definedName name="wrn.Print._.Ratio._.Exhibits." localSheetId="3" hidden="1">{"Ratio No.1",#N/A,FALSE,"Ratio";"Ratio No.2",#N/A,FALSE,"Ratio"}</definedName>
    <definedName name="wrn.Proforma._.1." localSheetId="1" hidden="1">{"side1",#N/A,FALSE,"ResRegn.A-kons.";"Side2",#N/A,FALSE,"Bal3112.A-kons."}</definedName>
    <definedName name="wrn.Proforma._.1." localSheetId="8" hidden="1">{"side1",#N/A,FALSE,"ResRegn.A-kons.";"Side2",#N/A,FALSE,"Bal3112.A-kons."}</definedName>
    <definedName name="wrn.Proforma._.1." localSheetId="2" hidden="1">{"side1",#N/A,FALSE,"ResRegn.A-kons.";"Side2",#N/A,FALSE,"Bal3112.A-kons."}</definedName>
    <definedName name="wrn.Proforma._.1." localSheetId="3" hidden="1">{"side1",#N/A,FALSE,"ResRegn.A-kons.";"Side2",#N/A,FALSE,"Bal3112.A-kons."}</definedName>
    <definedName name="wrn.Projected._.Data._.and._.Subject._.Company._.Data." localSheetId="1" hidden="1">{#N/A,#N/A,FALSE,"Projected Data &amp; SUBJECT-INPUTS"}</definedName>
    <definedName name="wrn.Projected._.Data._.and._.Subject._.Company._.Data." localSheetId="8" hidden="1">{#N/A,#N/A,FALSE,"Projected Data &amp; SUBJECT-INPUTS"}</definedName>
    <definedName name="wrn.Projected._.Data._.and._.Subject._.Company._.Data." localSheetId="2" hidden="1">{#N/A,#N/A,FALSE,"Projected Data &amp; SUBJECT-INPUTS"}</definedName>
    <definedName name="wrn.Projected._.Data._.and._.Subject._.Company._.Data." localSheetId="3" hidden="1">{#N/A,#N/A,FALSE,"Projected Data &amp; SUBJECT-INPUTS"}</definedName>
    <definedName name="wrn.PROVIR97." localSheetId="1" hidden="1">{#N/A,#N/A,FALSE,"IR E CS 1997";#N/A,#N/A,FALSE,"PR ND";#N/A,#N/A,FALSE,"8191";#N/A,#N/A,FALSE,"8383";#N/A,#N/A,FALSE,"MP 1024";#N/A,#N/A,FALSE,"AD_EX_97";#N/A,#N/A,FALSE,"BD 97"}</definedName>
    <definedName name="wrn.PROVIR97." localSheetId="8" hidden="1">{#N/A,#N/A,FALSE,"IR E CS 1997";#N/A,#N/A,FALSE,"PR ND";#N/A,#N/A,FALSE,"8191";#N/A,#N/A,FALSE,"8383";#N/A,#N/A,FALSE,"MP 1024";#N/A,#N/A,FALSE,"AD_EX_97";#N/A,#N/A,FALSE,"BD 97"}</definedName>
    <definedName name="wrn.PROVIR97." localSheetId="2" hidden="1">{#N/A,#N/A,FALSE,"IR E CS 1997";#N/A,#N/A,FALSE,"PR ND";#N/A,#N/A,FALSE,"8191";#N/A,#N/A,FALSE,"8383";#N/A,#N/A,FALSE,"MP 1024";#N/A,#N/A,FALSE,"AD_EX_97";#N/A,#N/A,FALSE,"BD 97"}</definedName>
    <definedName name="wrn.PROVIR97." localSheetId="3" hidden="1">{#N/A,#N/A,FALSE,"IR E CS 1997";#N/A,#N/A,FALSE,"PR ND";#N/A,#N/A,FALSE,"8191";#N/A,#N/A,FALSE,"8383";#N/A,#N/A,FALSE,"MP 1024";#N/A,#N/A,FALSE,"AD_EX_97";#N/A,#N/A,FALSE,"BD 97"}</definedName>
    <definedName name="wrn.Quick._.Summary." localSheetId="1" hidden="1">{"Decision Memo",#N/A,TRUE,"Ratios";"IRR",#N/A,TRUE,"IRR";"Decision Memo",#N/A,TRUE,"Fin. Stat.";"Summary",#N/A,TRUE,"Debt"}</definedName>
    <definedName name="wrn.Quick._.Summary." localSheetId="8" hidden="1">{"Decision Memo",#N/A,TRUE,"Ratios";"IRR",#N/A,TRUE,"IRR";"Decision Memo",#N/A,TRUE,"Fin. Stat.";"Summary",#N/A,TRUE,"Debt"}</definedName>
    <definedName name="wrn.Quick._.Summary." localSheetId="2" hidden="1">{"Decision Memo",#N/A,TRUE,"Ratios";"IRR",#N/A,TRUE,"IRR";"Decision Memo",#N/A,TRUE,"Fin. Stat.";"Summary",#N/A,TRUE,"Debt"}</definedName>
    <definedName name="wrn.Quick._.Summary." localSheetId="3" hidden="1">{"Decision Memo",#N/A,TRUE,"Ratios";"IRR",#N/A,TRUE,"IRR";"Decision Memo",#N/A,TRUE,"Fin. Stat.";"Summary",#N/A,TRUE,"Debt"}</definedName>
    <definedName name="wrn.RAÇÕES._.COMERCIAIS." localSheetId="1" hidden="1">{"BOVINOS CORTE",#N/A,FALSE,"R_COM";"BOVINOS LEITE",#N/A,FALSE,"R_COM";"EQUINOS",#N/A,FALSE,"R_COM";"AQUICULTURA",#N/A,FALSE,"R_COM";"SUINOS",#N/A,FALSE,"R_COM";"FRANGO CORTE",#N/A,FALSE,"R_COM";"POSTURA",#N/A,FALSE,"R_COM";"PRIX",#N/A,FALSE,"R_COM";"MINERAIS",#N/A,FALSE,"R_COM";"DO SÍTIO",#N/A,FALSE,"R_COM";"PRODUTOS ESPECIAIS",#N/A,FALSE,"R_COM";"CEVAL",#N/A,FALSE,"R_COM";"OUTROS",#N/A,FALSE,"R_COM";"TOTAL R_COM",#N/A,FALSE,"R_COM"}</definedName>
    <definedName name="wrn.RAÇÕES._.COMERCIAIS." localSheetId="8" hidden="1">{"BOVINOS CORTE",#N/A,FALSE,"R_COM";"BOVINOS LEITE",#N/A,FALSE,"R_COM";"EQUINOS",#N/A,FALSE,"R_COM";"AQUICULTURA",#N/A,FALSE,"R_COM";"SUINOS",#N/A,FALSE,"R_COM";"FRANGO CORTE",#N/A,FALSE,"R_COM";"POSTURA",#N/A,FALSE,"R_COM";"PRIX",#N/A,FALSE,"R_COM";"MINERAIS",#N/A,FALSE,"R_COM";"DO SÍTIO",#N/A,FALSE,"R_COM";"PRODUTOS ESPECIAIS",#N/A,FALSE,"R_COM";"CEVAL",#N/A,FALSE,"R_COM";"OUTROS",#N/A,FALSE,"R_COM";"TOTAL R_COM",#N/A,FALSE,"R_COM"}</definedName>
    <definedName name="wrn.RAÇÕES._.COMERCIAIS." localSheetId="2" hidden="1">{"BOVINOS CORTE",#N/A,FALSE,"R_COM";"BOVINOS LEITE",#N/A,FALSE,"R_COM";"EQUINOS",#N/A,FALSE,"R_COM";"AQUICULTURA",#N/A,FALSE,"R_COM";"SUINOS",#N/A,FALSE,"R_COM";"FRANGO CORTE",#N/A,FALSE,"R_COM";"POSTURA",#N/A,FALSE,"R_COM";"PRIX",#N/A,FALSE,"R_COM";"MINERAIS",#N/A,FALSE,"R_COM";"DO SÍTIO",#N/A,FALSE,"R_COM";"PRODUTOS ESPECIAIS",#N/A,FALSE,"R_COM";"CEVAL",#N/A,FALSE,"R_COM";"OUTROS",#N/A,FALSE,"R_COM";"TOTAL R_COM",#N/A,FALSE,"R_COM"}</definedName>
    <definedName name="wrn.RAÇÕES._.COMERCIAIS." localSheetId="3" hidden="1">{"BOVINOS CORTE",#N/A,FALSE,"R_COM";"BOVINOS LEITE",#N/A,FALSE,"R_COM";"EQUINOS",#N/A,FALSE,"R_COM";"AQUICULTURA",#N/A,FALSE,"R_COM";"SUINOS",#N/A,FALSE,"R_COM";"FRANGO CORTE",#N/A,FALSE,"R_COM";"POSTURA",#N/A,FALSE,"R_COM";"PRIX",#N/A,FALSE,"R_COM";"MINERAIS",#N/A,FALSE,"R_COM";"DO SÍTIO",#N/A,FALSE,"R_COM";"PRODUTOS ESPECIAIS",#N/A,FALSE,"R_COM";"CEVAL",#N/A,FALSE,"R_COM";"OUTROS",#N/A,FALSE,"R_COM";"TOTAL R_COM",#N/A,FALSE,"R_COM"}</definedName>
    <definedName name="wrn.REAL." localSheetId="1" hidden="1">{"SALES-REAL",#N/A,FALSE,"SALES";"P.MINAS-REAL",#N/A,FALSE,"P.MINAS";"ALPA-REAL",#N/A,FALSE,"ALPA";"BASTOS-REAL",#N/A,FALSE,"BASTOS";"UBERLÂNDIA-REAL",#N/A,FALSE,"UBERLÂNDIA";"CORAL-REAL",#N/A,FALSE,"C.OESTE"}</definedName>
    <definedName name="wrn.REAL." localSheetId="8" hidden="1">{"SALES-REAL",#N/A,FALSE,"SALES";"P.MINAS-REAL",#N/A,FALSE,"P.MINAS";"ALPA-REAL",#N/A,FALSE,"ALPA";"BASTOS-REAL",#N/A,FALSE,"BASTOS";"UBERLÂNDIA-REAL",#N/A,FALSE,"UBERLÂNDIA";"CORAL-REAL",#N/A,FALSE,"C.OESTE"}</definedName>
    <definedName name="wrn.REAL." localSheetId="2" hidden="1">{"SALES-REAL",#N/A,FALSE,"SALES";"P.MINAS-REAL",#N/A,FALSE,"P.MINAS";"ALPA-REAL",#N/A,FALSE,"ALPA";"BASTOS-REAL",#N/A,FALSE,"BASTOS";"UBERLÂNDIA-REAL",#N/A,FALSE,"UBERLÂNDIA";"CORAL-REAL",#N/A,FALSE,"C.OESTE"}</definedName>
    <definedName name="wrn.REAL." localSheetId="3" hidden="1">{"SALES-REAL",#N/A,FALSE,"SALES";"P.MINAS-REAL",#N/A,FALSE,"P.MINAS";"ALPA-REAL",#N/A,FALSE,"ALPA";"BASTOS-REAL",#N/A,FALSE,"BASTOS";"UBERLÂNDIA-REAL",#N/A,FALSE,"UBERLÂNDIA";"CORAL-REAL",#N/A,FALSE,"C.OESTE"}</definedName>
    <definedName name="wrn.reg" localSheetId="1" hidden="1">{#N/A,#N/A,FALSE,"ResRegn.A-kons.";#N/A,#N/A,FALSE,"Bal3112.A-kons.";#N/A,#N/A,FALSE,"Kont.a.A-kons.";#N/A,#N/A,FALSE,"Kont.a.A-kons.";#N/A,#N/A,FALSE,"Del av Note 9";#N/A,#N/A,FALSE,"Noter Balanse.A-kons.";#N/A,#N/A,FALSE,"Note 18-19.A-kons.";#N/A,#N/A,FALSE,"Note 20-1.A-kons.";#N/A,#N/A,FALSE,"Note 20-2.A-kons.";#N/A,#N/A,FALSE,"Note 21-22-23.A-kons.";#N/A,#N/A,FALSE,"Note 25-28.A-kons.";#N/A,#N/A,FALSE,"Note 23-24.A-kons.";#N/A,#N/A,FALSE,"Kont.a.A-kons.";#N/A,#N/A,FALSE,"Note11-12";#N/A,#N/A,FALSE,"Noter res.regn.A-kons. ";#N/A,#N/A,FALSE,"Note 29-30.A-kons.";#N/A,#N/A,FALSE,"Note 31-33.A-kons.";#N/A,#N/A,FALSE,"Note 34-35.A-kons."}</definedName>
    <definedName name="wrn.reg" localSheetId="8" hidden="1">{#N/A,#N/A,FALSE,"ResRegn.A-kons.";#N/A,#N/A,FALSE,"Bal3112.A-kons.";#N/A,#N/A,FALSE,"Kont.a.A-kons.";#N/A,#N/A,FALSE,"Kont.a.A-kons.";#N/A,#N/A,FALSE,"Del av Note 9";#N/A,#N/A,FALSE,"Noter Balanse.A-kons.";#N/A,#N/A,FALSE,"Note 18-19.A-kons.";#N/A,#N/A,FALSE,"Note 20-1.A-kons.";#N/A,#N/A,FALSE,"Note 20-2.A-kons.";#N/A,#N/A,FALSE,"Note 21-22-23.A-kons.";#N/A,#N/A,FALSE,"Note 25-28.A-kons.";#N/A,#N/A,FALSE,"Note 23-24.A-kons.";#N/A,#N/A,FALSE,"Kont.a.A-kons.";#N/A,#N/A,FALSE,"Note11-12";#N/A,#N/A,FALSE,"Noter res.regn.A-kons. ";#N/A,#N/A,FALSE,"Note 29-30.A-kons.";#N/A,#N/A,FALSE,"Note 31-33.A-kons.";#N/A,#N/A,FALSE,"Note 34-35.A-kons."}</definedName>
    <definedName name="wrn.reg" localSheetId="2" hidden="1">{#N/A,#N/A,FALSE,"ResRegn.A-kons.";#N/A,#N/A,FALSE,"Bal3112.A-kons.";#N/A,#N/A,FALSE,"Kont.a.A-kons.";#N/A,#N/A,FALSE,"Kont.a.A-kons.";#N/A,#N/A,FALSE,"Del av Note 9";#N/A,#N/A,FALSE,"Noter Balanse.A-kons.";#N/A,#N/A,FALSE,"Note 18-19.A-kons.";#N/A,#N/A,FALSE,"Note 20-1.A-kons.";#N/A,#N/A,FALSE,"Note 20-2.A-kons.";#N/A,#N/A,FALSE,"Note 21-22-23.A-kons.";#N/A,#N/A,FALSE,"Note 25-28.A-kons.";#N/A,#N/A,FALSE,"Note 23-24.A-kons.";#N/A,#N/A,FALSE,"Kont.a.A-kons.";#N/A,#N/A,FALSE,"Note11-12";#N/A,#N/A,FALSE,"Noter res.regn.A-kons. ";#N/A,#N/A,FALSE,"Note 29-30.A-kons.";#N/A,#N/A,FALSE,"Note 31-33.A-kons.";#N/A,#N/A,FALSE,"Note 34-35.A-kons."}</definedName>
    <definedName name="wrn.reg" localSheetId="3" hidden="1">{#N/A,#N/A,FALSE,"ResRegn.A-kons.";#N/A,#N/A,FALSE,"Bal3112.A-kons.";#N/A,#N/A,FALSE,"Kont.a.A-kons.";#N/A,#N/A,FALSE,"Kont.a.A-kons.";#N/A,#N/A,FALSE,"Del av Note 9";#N/A,#N/A,FALSE,"Noter Balanse.A-kons.";#N/A,#N/A,FALSE,"Note 18-19.A-kons.";#N/A,#N/A,FALSE,"Note 20-1.A-kons.";#N/A,#N/A,FALSE,"Note 20-2.A-kons.";#N/A,#N/A,FALSE,"Note 21-22-23.A-kons.";#N/A,#N/A,FALSE,"Note 25-28.A-kons.";#N/A,#N/A,FALSE,"Note 23-24.A-kons.";#N/A,#N/A,FALSE,"Kont.a.A-kons.";#N/A,#N/A,FALSE,"Note11-12";#N/A,#N/A,FALSE,"Noter res.regn.A-kons. ";#N/A,#N/A,FALSE,"Note 29-30.A-kons.";#N/A,#N/A,FALSE,"Note 31-33.A-kons.";#N/A,#N/A,FALSE,"Note 34-35.A-kons."}</definedName>
    <definedName name="wrn.Regn95.xls." localSheetId="1" hidden="1">{#N/A,#N/A,FALSE,"ResRegn.A-kons.";#N/A,#N/A,FALSE,"Bal3112.A-kons.";#N/A,#N/A,FALSE,"Kont.a.A-kons.";#N/A,#N/A,FALSE,"Kont.a.A-kons.";#N/A,#N/A,FALSE,"Del av Note 9";#N/A,#N/A,FALSE,"Noter Balanse.A-kons.";#N/A,#N/A,FALSE,"Note 18-19.A-kons.";#N/A,#N/A,FALSE,"Note 20-1.A-kons.";#N/A,#N/A,FALSE,"Note 20-2.A-kons.";#N/A,#N/A,FALSE,"Note 21-22-23.A-kons.";#N/A,#N/A,FALSE,"Note 25-28.A-kons.";#N/A,#N/A,FALSE,"Note 23-24.A-kons.";#N/A,#N/A,FALSE,"Kont.a.A-kons.";#N/A,#N/A,FALSE,"Note11-12";#N/A,#N/A,FALSE,"Noter res.regn.A-kons. ";#N/A,#N/A,FALSE,"Note 29-30.A-kons.";#N/A,#N/A,FALSE,"Note 31-33.A-kons.";#N/A,#N/A,FALSE,"Note 34-35.A-kons."}</definedName>
    <definedName name="wrn.Regn95.xls." localSheetId="8" hidden="1">{#N/A,#N/A,FALSE,"ResRegn.A-kons.";#N/A,#N/A,FALSE,"Bal3112.A-kons.";#N/A,#N/A,FALSE,"Kont.a.A-kons.";#N/A,#N/A,FALSE,"Kont.a.A-kons.";#N/A,#N/A,FALSE,"Del av Note 9";#N/A,#N/A,FALSE,"Noter Balanse.A-kons.";#N/A,#N/A,FALSE,"Note 18-19.A-kons.";#N/A,#N/A,FALSE,"Note 20-1.A-kons.";#N/A,#N/A,FALSE,"Note 20-2.A-kons.";#N/A,#N/A,FALSE,"Note 21-22-23.A-kons.";#N/A,#N/A,FALSE,"Note 25-28.A-kons.";#N/A,#N/A,FALSE,"Note 23-24.A-kons.";#N/A,#N/A,FALSE,"Kont.a.A-kons.";#N/A,#N/A,FALSE,"Note11-12";#N/A,#N/A,FALSE,"Noter res.regn.A-kons. ";#N/A,#N/A,FALSE,"Note 29-30.A-kons.";#N/A,#N/A,FALSE,"Note 31-33.A-kons.";#N/A,#N/A,FALSE,"Note 34-35.A-kons."}</definedName>
    <definedName name="wrn.Regn95.xls." localSheetId="2" hidden="1">{#N/A,#N/A,FALSE,"ResRegn.A-kons.";#N/A,#N/A,FALSE,"Bal3112.A-kons.";#N/A,#N/A,FALSE,"Kont.a.A-kons.";#N/A,#N/A,FALSE,"Kont.a.A-kons.";#N/A,#N/A,FALSE,"Del av Note 9";#N/A,#N/A,FALSE,"Noter Balanse.A-kons.";#N/A,#N/A,FALSE,"Note 18-19.A-kons.";#N/A,#N/A,FALSE,"Note 20-1.A-kons.";#N/A,#N/A,FALSE,"Note 20-2.A-kons.";#N/A,#N/A,FALSE,"Note 21-22-23.A-kons.";#N/A,#N/A,FALSE,"Note 25-28.A-kons.";#N/A,#N/A,FALSE,"Note 23-24.A-kons.";#N/A,#N/A,FALSE,"Kont.a.A-kons.";#N/A,#N/A,FALSE,"Note11-12";#N/A,#N/A,FALSE,"Noter res.regn.A-kons. ";#N/A,#N/A,FALSE,"Note 29-30.A-kons.";#N/A,#N/A,FALSE,"Note 31-33.A-kons.";#N/A,#N/A,FALSE,"Note 34-35.A-kons."}</definedName>
    <definedName name="wrn.Regn95.xls." localSheetId="3" hidden="1">{#N/A,#N/A,FALSE,"ResRegn.A-kons.";#N/A,#N/A,FALSE,"Bal3112.A-kons.";#N/A,#N/A,FALSE,"Kont.a.A-kons.";#N/A,#N/A,FALSE,"Kont.a.A-kons.";#N/A,#N/A,FALSE,"Del av Note 9";#N/A,#N/A,FALSE,"Noter Balanse.A-kons.";#N/A,#N/A,FALSE,"Note 18-19.A-kons.";#N/A,#N/A,FALSE,"Note 20-1.A-kons.";#N/A,#N/A,FALSE,"Note 20-2.A-kons.";#N/A,#N/A,FALSE,"Note 21-22-23.A-kons.";#N/A,#N/A,FALSE,"Note 25-28.A-kons.";#N/A,#N/A,FALSE,"Note 23-24.A-kons.";#N/A,#N/A,FALSE,"Kont.a.A-kons.";#N/A,#N/A,FALSE,"Note11-12";#N/A,#N/A,FALSE,"Noter res.regn.A-kons. ";#N/A,#N/A,FALSE,"Note 29-30.A-kons.";#N/A,#N/A,FALSE,"Note 31-33.A-kons.";#N/A,#N/A,FALSE,"Note 34-35.A-kons."}</definedName>
    <definedName name="wrn.RegnAker.xls." localSheetId="1" hidden="1">{#N/A,#N/A,FALSE,"Res.regn.Aker a.s";#N/A,#N/A,FALSE,"Balanse3112.Aker a.s";#N/A,#N/A,FALSE,"Kont.anal.Aker a.s ";#N/A,#N/A,FALSE,"Noter 1-2.Aker a.s";#N/A,#N/A,FALSE,"Noter 3-7.Aker a.s";#N/A,#N/A,FALSE,"Rev.beretning 95"}</definedName>
    <definedName name="wrn.RegnAker.xls." localSheetId="8" hidden="1">{#N/A,#N/A,FALSE,"Res.regn.Aker a.s";#N/A,#N/A,FALSE,"Balanse3112.Aker a.s";#N/A,#N/A,FALSE,"Kont.anal.Aker a.s ";#N/A,#N/A,FALSE,"Noter 1-2.Aker a.s";#N/A,#N/A,FALSE,"Noter 3-7.Aker a.s";#N/A,#N/A,FALSE,"Rev.beretning 95"}</definedName>
    <definedName name="wrn.RegnAker.xls." localSheetId="2" hidden="1">{#N/A,#N/A,FALSE,"Res.regn.Aker a.s";#N/A,#N/A,FALSE,"Balanse3112.Aker a.s";#N/A,#N/A,FALSE,"Kont.anal.Aker a.s ";#N/A,#N/A,FALSE,"Noter 1-2.Aker a.s";#N/A,#N/A,FALSE,"Noter 3-7.Aker a.s";#N/A,#N/A,FALSE,"Rev.beretning 95"}</definedName>
    <definedName name="wrn.RegnAker.xls." localSheetId="3" hidden="1">{#N/A,#N/A,FALSE,"Res.regn.Aker a.s";#N/A,#N/A,FALSE,"Balanse3112.Aker a.s";#N/A,#N/A,FALSE,"Kont.anal.Aker a.s ";#N/A,#N/A,FALSE,"Noter 1-2.Aker a.s";#N/A,#N/A,FALSE,"Noter 3-7.Aker a.s";#N/A,#N/A,FALSE,"Rev.beretning 95"}</definedName>
    <definedName name="wrn.REL_IR_97." localSheetId="1" hidden="1">{#N/A,#N/A,TRUE,"BD 97";#N/A,#N/A,TRUE,"IR E CS 1997";#N/A,#N/A,TRUE,"CONTINGÊNCIAS";#N/A,#N/A,TRUE,"AD_EX_97";#N/A,#N/A,TRUE,"PR ND";#N/A,#N/A,TRUE,"8191";#N/A,#N/A,TRUE,"8383";#N/A,#N/A,TRUE,"MP 1024"}</definedName>
    <definedName name="wrn.REL_IR_97." localSheetId="8" hidden="1">{#N/A,#N/A,TRUE,"BD 97";#N/A,#N/A,TRUE,"IR E CS 1997";#N/A,#N/A,TRUE,"CONTINGÊNCIAS";#N/A,#N/A,TRUE,"AD_EX_97";#N/A,#N/A,TRUE,"PR ND";#N/A,#N/A,TRUE,"8191";#N/A,#N/A,TRUE,"8383";#N/A,#N/A,TRUE,"MP 1024"}</definedName>
    <definedName name="wrn.REL_IR_97." localSheetId="2" hidden="1">{#N/A,#N/A,TRUE,"BD 97";#N/A,#N/A,TRUE,"IR E CS 1997";#N/A,#N/A,TRUE,"CONTINGÊNCIAS";#N/A,#N/A,TRUE,"AD_EX_97";#N/A,#N/A,TRUE,"PR ND";#N/A,#N/A,TRUE,"8191";#N/A,#N/A,TRUE,"8383";#N/A,#N/A,TRUE,"MP 1024"}</definedName>
    <definedName name="wrn.REL_IR_97." localSheetId="3" hidden="1">{#N/A,#N/A,TRUE,"BD 97";#N/A,#N/A,TRUE,"IR E CS 1997";#N/A,#N/A,TRUE,"CONTINGÊNCIAS";#N/A,#N/A,TRUE,"AD_EX_97";#N/A,#N/A,TRUE,"PR ND";#N/A,#N/A,TRUE,"8191";#N/A,#N/A,TRUE,"8383";#N/A,#N/A,TRUE,"MP 1024"}</definedName>
    <definedName name="wrn.REL_ORÇAMENTO." localSheetId="1" hidden="1">{"orç_mes",#N/A,FALSE,"TOTAL";"ORÇ_MES",#N/A,FALSE,"760";"ORÇ_MES",#N/A,FALSE,"761"}</definedName>
    <definedName name="wrn.REL_ORÇAMENTO." localSheetId="8" hidden="1">{"orç_mes",#N/A,FALSE,"TOTAL";"ORÇ_MES",#N/A,FALSE,"760";"ORÇ_MES",#N/A,FALSE,"761"}</definedName>
    <definedName name="wrn.REL_ORÇAMENTO." localSheetId="2" hidden="1">{"orç_mes",#N/A,FALSE,"TOTAL";"ORÇ_MES",#N/A,FALSE,"760";"ORÇ_MES",#N/A,FALSE,"761"}</definedName>
    <definedName name="wrn.REL_ORÇAMENTO." localSheetId="3" hidden="1">{"orç_mes",#N/A,FALSE,"TOTAL";"ORÇ_MES",#N/A,FALSE,"760";"ORÇ_MES",#N/A,FALSE,"761"}</definedName>
    <definedName name="wrn.REL_REAL." localSheetId="1" hidden="1">{"real",#N/A,FALSE,"TOTAL";"REAL",#N/A,FALSE,"760";"REAL",#N/A,FALSE,"761"}</definedName>
    <definedName name="wrn.REL_REAL." localSheetId="8" hidden="1">{"real",#N/A,FALSE,"TOTAL";"REAL",#N/A,FALSE,"760";"REAL",#N/A,FALSE,"761"}</definedName>
    <definedName name="wrn.REL_REAL." localSheetId="2" hidden="1">{"real",#N/A,FALSE,"TOTAL";"REAL",#N/A,FALSE,"760";"REAL",#N/A,FALSE,"761"}</definedName>
    <definedName name="wrn.REL_REAL." localSheetId="3" hidden="1">{"real",#N/A,FALSE,"TOTAL";"REAL",#N/A,FALSE,"760";"REAL",#N/A,FALSE,"761"}</definedName>
    <definedName name="wrn.REL_REPORTE." localSheetId="1" hidden="1">{"reporte",#N/A,FALSE,"TOTAL";"REPORTE",#N/A,FALSE,"760";"REPORTE",#N/A,FALSE,"761"}</definedName>
    <definedName name="wrn.REL_REPORTE." localSheetId="8" hidden="1">{"reporte",#N/A,FALSE,"TOTAL";"REPORTE",#N/A,FALSE,"760";"REPORTE",#N/A,FALSE,"761"}</definedName>
    <definedName name="wrn.REL_REPORTE." localSheetId="2" hidden="1">{"reporte",#N/A,FALSE,"TOTAL";"REPORTE",#N/A,FALSE,"760";"REPORTE",#N/A,FALSE,"761"}</definedName>
    <definedName name="wrn.REL_REPORTE." localSheetId="3" hidden="1">{"reporte",#N/A,FALSE,"TOTAL";"REPORTE",#N/A,FALSE,"760";"REPORTE",#N/A,FALSE,"761"}</definedName>
    <definedName name="wrn.Relatório._.Completo." localSheetId="1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wrn.Relatório._.Completo." localSheetId="8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wrn.Relatório._.Completo." localSheetId="2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wrn.Relatório._.Completo." localSheetId="3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wrn.Relatório._.para._.Auditoria." localSheetId="1" hidden="1">{"Ajustes CS para a Auditoria",#N/A,FALSE,"Impressão";"Controle de saldos para a Auditoria",#N/A,FALSE,"Impressão";"CS Real para a Auditoria",#N/A,FALSE,"Impressão";"Ajustes IR para a Auditoria",#N/A,FALSE,"Impressão";"IR Real para a Auditoria",#N/A,FALSE,"Impressão"}</definedName>
    <definedName name="wrn.Relatório._.para._.Auditoria." localSheetId="8" hidden="1">{"Ajustes CS para a Auditoria",#N/A,FALSE,"Impressão";"Controle de saldos para a Auditoria",#N/A,FALSE,"Impressão";"CS Real para a Auditoria",#N/A,FALSE,"Impressão";"Ajustes IR para a Auditoria",#N/A,FALSE,"Impressão";"IR Real para a Auditoria",#N/A,FALSE,"Impressão"}</definedName>
    <definedName name="wrn.Relatório._.para._.Auditoria." localSheetId="2" hidden="1">{"Ajustes CS para a Auditoria",#N/A,FALSE,"Impressão";"Controle de saldos para a Auditoria",#N/A,FALSE,"Impressão";"CS Real para a Auditoria",#N/A,FALSE,"Impressão";"Ajustes IR para a Auditoria",#N/A,FALSE,"Impressão";"IR Real para a Auditoria",#N/A,FALSE,"Impressão"}</definedName>
    <definedName name="wrn.Relatório._.para._.Auditoria." localSheetId="3" hidden="1">{"Ajustes CS para a Auditoria",#N/A,FALSE,"Impressão";"Controle de saldos para a Auditoria",#N/A,FALSE,"Impressão";"CS Real para a Auditoria",#N/A,FALSE,"Impressão";"Ajustes IR para a Auditoria",#N/A,FALSE,"Impressão";"IR Real para a Auditoria",#N/A,FALSE,"Impressão"}</definedName>
    <definedName name="wrn.RELPAC.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LPAC." localSheetId="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LPAC.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LPAC." localSheetId="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port._.Exhibits." localSheetId="1" hidden="1">{"Inc Stmt Exhibit",#N/A,FALSE,"IS";"BS Exhibit",#N/A,FALSE,"BS";"Ratio No.1",#N/A,FALSE,"Ratio";"Ratio No.2",#N/A,FALSE,"Ratio"}</definedName>
    <definedName name="wrn.Report._.Exhibits." localSheetId="8" hidden="1">{"Inc Stmt Exhibit",#N/A,FALSE,"IS";"BS Exhibit",#N/A,FALSE,"BS";"Ratio No.1",#N/A,FALSE,"Ratio";"Ratio No.2",#N/A,FALSE,"Ratio"}</definedName>
    <definedName name="wrn.Report._.Exhibits." localSheetId="2" hidden="1">{"Inc Stmt Exhibit",#N/A,FALSE,"IS";"BS Exhibit",#N/A,FALSE,"BS";"Ratio No.1",#N/A,FALSE,"Ratio";"Ratio No.2",#N/A,FALSE,"Ratio"}</definedName>
    <definedName name="wrn.Report._.Exhibits." localSheetId="3" hidden="1">{"Inc Stmt Exhibit",#N/A,FALSE,"IS";"BS Exhibit",#N/A,FALSE,"BS";"Ratio No.1",#N/A,FALSE,"Ratio";"Ratio No.2",#N/A,FALSE,"Ratio"}</definedName>
    <definedName name="wrn.REPORTE." localSheetId="1" hidden="1">{"SALES-REPORTE",#N/A,FALSE,"SALES";"P.MINAS-REPORTE",#N/A,FALSE,"P.MINAS";"ALPA-REPORTE",#N/A,FALSE,"ALPA";"BASTOS-REPORTE",#N/A,FALSE,"BASTOS"}</definedName>
    <definedName name="wrn.REPORTE." localSheetId="8" hidden="1">{"SALES-REPORTE",#N/A,FALSE,"SALES";"P.MINAS-REPORTE",#N/A,FALSE,"P.MINAS";"ALPA-REPORTE",#N/A,FALSE,"ALPA";"BASTOS-REPORTE",#N/A,FALSE,"BASTOS"}</definedName>
    <definedName name="wrn.REPORTE." localSheetId="2" hidden="1">{"SALES-REPORTE",#N/A,FALSE,"SALES";"P.MINAS-REPORTE",#N/A,FALSE,"P.MINAS";"ALPA-REPORTE",#N/A,FALSE,"ALPA";"BASTOS-REPORTE",#N/A,FALSE,"BASTOS"}</definedName>
    <definedName name="wrn.REPORTE." localSheetId="3" hidden="1">{"SALES-REPORTE",#N/A,FALSE,"SALES";"P.MINAS-REPORTE",#N/A,FALSE,"P.MINAS";"ALPA-REPORTE",#N/A,FALSE,"ALPA";"BASTOS-REPORTE",#N/A,FALSE,"BASTOS"}</definedName>
    <definedName name="wrn.RESULTADO." localSheetId="1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rn.RESULTADO." localSheetId="8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rn.RESULTADO." localSheetId="2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rn.RESULTADO." localSheetId="3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rn.Reunião_17.08." localSheetId="1" hidden="1">{#N/A,#N/A,FALSE,"Capa-17.08";#N/A,#N/A,FALSE,"DIVIS.1";"L&amp;P_01_Ajust",#N/A,FALSE,"L&amp;P_01_Ajust";#N/A,#N/A,FALSE,"R.COM._01";#N/A,#N/A,FALSE,"PET_01";#N/A,#N/A,FALSE,"NUTRI_01";"Bal_Mog_01-Ativo",#N/A,FALSE,"Bal_Mog_01";"Bal_Mog_01-Passivo",#N/A,FALSE,"Bal_Mog_01";"Doar_Mog_01",#N/A,FALSE,"Doar_Mog_01";#N/A,#N/A,FALSE,"Indices";#N/A,#N/A,FALSE,"Equival_01";#N/A,#N/A,FALSE,"DIVIS.2";#N/A,#N/A,FALSE,"Cap_Giro";#N/A,#N/A,FALSE,"Estoques";#N/A,#N/A,FALSE,"Realiz_L_P";#N/A,#N/A,FALSE,"At_Permanente";#N/A,#N/A,FALSE,"Financ.Banc.";#N/A,#N/A,FALSE,"Desp_00_01";#N/A,#N/A,FALSE,"Func_Local";#N/A,#N/A,FALSE,"Fluxo Cx_1";#N/A,#N/A,FALSE,"Fluxo Cx_2";#N/A,#N/A,FALSE,"DIVIS.3";"Comp.01x00",#N/A,FALSE,"Comp. 01x00";#N/A,#N/A,FALSE,"R.Com_01x00";#N/A,#N/A,FALSE,"PET_01x00";#N/A,#N/A,FALSE,"Nutri_01x00"}</definedName>
    <definedName name="wrn.Reunião_17.08." localSheetId="8" hidden="1">{#N/A,#N/A,FALSE,"Capa-17.08";#N/A,#N/A,FALSE,"DIVIS.1";"L&amp;P_01_Ajust",#N/A,FALSE,"L&amp;P_01_Ajust";#N/A,#N/A,FALSE,"R.COM._01";#N/A,#N/A,FALSE,"PET_01";#N/A,#N/A,FALSE,"NUTRI_01";"Bal_Mog_01-Ativo",#N/A,FALSE,"Bal_Mog_01";"Bal_Mog_01-Passivo",#N/A,FALSE,"Bal_Mog_01";"Doar_Mog_01",#N/A,FALSE,"Doar_Mog_01";#N/A,#N/A,FALSE,"Indices";#N/A,#N/A,FALSE,"Equival_01";#N/A,#N/A,FALSE,"DIVIS.2";#N/A,#N/A,FALSE,"Cap_Giro";#N/A,#N/A,FALSE,"Estoques";#N/A,#N/A,FALSE,"Realiz_L_P";#N/A,#N/A,FALSE,"At_Permanente";#N/A,#N/A,FALSE,"Financ.Banc.";#N/A,#N/A,FALSE,"Desp_00_01";#N/A,#N/A,FALSE,"Func_Local";#N/A,#N/A,FALSE,"Fluxo Cx_1";#N/A,#N/A,FALSE,"Fluxo Cx_2";#N/A,#N/A,FALSE,"DIVIS.3";"Comp.01x00",#N/A,FALSE,"Comp. 01x00";#N/A,#N/A,FALSE,"R.Com_01x00";#N/A,#N/A,FALSE,"PET_01x00";#N/A,#N/A,FALSE,"Nutri_01x00"}</definedName>
    <definedName name="wrn.Reunião_17.08." localSheetId="2" hidden="1">{#N/A,#N/A,FALSE,"Capa-17.08";#N/A,#N/A,FALSE,"DIVIS.1";"L&amp;P_01_Ajust",#N/A,FALSE,"L&amp;P_01_Ajust";#N/A,#N/A,FALSE,"R.COM._01";#N/A,#N/A,FALSE,"PET_01";#N/A,#N/A,FALSE,"NUTRI_01";"Bal_Mog_01-Ativo",#N/A,FALSE,"Bal_Mog_01";"Bal_Mog_01-Passivo",#N/A,FALSE,"Bal_Mog_01";"Doar_Mog_01",#N/A,FALSE,"Doar_Mog_01";#N/A,#N/A,FALSE,"Indices";#N/A,#N/A,FALSE,"Equival_01";#N/A,#N/A,FALSE,"DIVIS.2";#N/A,#N/A,FALSE,"Cap_Giro";#N/A,#N/A,FALSE,"Estoques";#N/A,#N/A,FALSE,"Realiz_L_P";#N/A,#N/A,FALSE,"At_Permanente";#N/A,#N/A,FALSE,"Financ.Banc.";#N/A,#N/A,FALSE,"Desp_00_01";#N/A,#N/A,FALSE,"Func_Local";#N/A,#N/A,FALSE,"Fluxo Cx_1";#N/A,#N/A,FALSE,"Fluxo Cx_2";#N/A,#N/A,FALSE,"DIVIS.3";"Comp.01x00",#N/A,FALSE,"Comp. 01x00";#N/A,#N/A,FALSE,"R.Com_01x00";#N/A,#N/A,FALSE,"PET_01x00";#N/A,#N/A,FALSE,"Nutri_01x00"}</definedName>
    <definedName name="wrn.Reunião_17.08." localSheetId="3" hidden="1">{#N/A,#N/A,FALSE,"Capa-17.08";#N/A,#N/A,FALSE,"DIVIS.1";"L&amp;P_01_Ajust",#N/A,FALSE,"L&amp;P_01_Ajust";#N/A,#N/A,FALSE,"R.COM._01";#N/A,#N/A,FALSE,"PET_01";#N/A,#N/A,FALSE,"NUTRI_01";"Bal_Mog_01-Ativo",#N/A,FALSE,"Bal_Mog_01";"Bal_Mog_01-Passivo",#N/A,FALSE,"Bal_Mog_01";"Doar_Mog_01",#N/A,FALSE,"Doar_Mog_01";#N/A,#N/A,FALSE,"Indices";#N/A,#N/A,FALSE,"Equival_01";#N/A,#N/A,FALSE,"DIVIS.2";#N/A,#N/A,FALSE,"Cap_Giro";#N/A,#N/A,FALSE,"Estoques";#N/A,#N/A,FALSE,"Realiz_L_P";#N/A,#N/A,FALSE,"At_Permanente";#N/A,#N/A,FALSE,"Financ.Banc.";#N/A,#N/A,FALSE,"Desp_00_01";#N/A,#N/A,FALSE,"Func_Local";#N/A,#N/A,FALSE,"Fluxo Cx_1";#N/A,#N/A,FALSE,"Fluxo Cx_2";#N/A,#N/A,FALSE,"DIVIS.3";"Comp.01x00",#N/A,FALSE,"Comp. 01x00";#N/A,#N/A,FALSE,"R.Com_01x00";#N/A,#N/A,FALSE,"PET_01x00";#N/A,#N/A,FALSE,"Nutri_01x00"}</definedName>
    <definedName name="wrn.REUNIÃO_24.01.01." localSheetId="1" hidden="1">{#N/A,#N/A,FALSE,"Capa-24.01";#N/A,#N/A,FALSE,"DIVIS.1";#N/A,#N/A,FALSE,"MOG_2000";"Bal_Mog_00-Ativo",#N/A,FALSE,"Bal_Mog_00";"Bal_Mog_00-Passivo",#N/A,FALSE,"Bal_Mog_00";#N/A,#N/A,FALSE,"BALANÇO";#N/A,#N/A,FALSE,"Cap_Giro";#N/A,#N/A,FALSE,"Estoques";#N/A,#N/A,FALSE,"Realiz_L_P";#N/A,#N/A,FALSE,"At_Permanente";#N/A,#N/A,FALSE,"Financ.Banc.";#N/A,#N/A,FALSE,"Equival_00";#N/A,#N/A,FALSE,"Desp_99_00";#N/A,#N/A,FALSE,"Func_Local";#N/A,#N/A,FALSE,"DIVIS.2";#N/A,#N/A,FALSE,"Comp. 00x99"}</definedName>
    <definedName name="wrn.REUNIÃO_24.01.01." localSheetId="8" hidden="1">{#N/A,#N/A,FALSE,"Capa-24.01";#N/A,#N/A,FALSE,"DIVIS.1";#N/A,#N/A,FALSE,"MOG_2000";"Bal_Mog_00-Ativo",#N/A,FALSE,"Bal_Mog_00";"Bal_Mog_00-Passivo",#N/A,FALSE,"Bal_Mog_00";#N/A,#N/A,FALSE,"BALANÇO";#N/A,#N/A,FALSE,"Cap_Giro";#N/A,#N/A,FALSE,"Estoques";#N/A,#N/A,FALSE,"Realiz_L_P";#N/A,#N/A,FALSE,"At_Permanente";#N/A,#N/A,FALSE,"Financ.Banc.";#N/A,#N/A,FALSE,"Equival_00";#N/A,#N/A,FALSE,"Desp_99_00";#N/A,#N/A,FALSE,"Func_Local";#N/A,#N/A,FALSE,"DIVIS.2";#N/A,#N/A,FALSE,"Comp. 00x99"}</definedName>
    <definedName name="wrn.REUNIÃO_24.01.01." localSheetId="2" hidden="1">{#N/A,#N/A,FALSE,"Capa-24.01";#N/A,#N/A,FALSE,"DIVIS.1";#N/A,#N/A,FALSE,"MOG_2000";"Bal_Mog_00-Ativo",#N/A,FALSE,"Bal_Mog_00";"Bal_Mog_00-Passivo",#N/A,FALSE,"Bal_Mog_00";#N/A,#N/A,FALSE,"BALANÇO";#N/A,#N/A,FALSE,"Cap_Giro";#N/A,#N/A,FALSE,"Estoques";#N/A,#N/A,FALSE,"Realiz_L_P";#N/A,#N/A,FALSE,"At_Permanente";#N/A,#N/A,FALSE,"Financ.Banc.";#N/A,#N/A,FALSE,"Equival_00";#N/A,#N/A,FALSE,"Desp_99_00";#N/A,#N/A,FALSE,"Func_Local";#N/A,#N/A,FALSE,"DIVIS.2";#N/A,#N/A,FALSE,"Comp. 00x99"}</definedName>
    <definedName name="wrn.REUNIÃO_24.01.01." localSheetId="3" hidden="1">{#N/A,#N/A,FALSE,"Capa-24.01";#N/A,#N/A,FALSE,"DIVIS.1";#N/A,#N/A,FALSE,"MOG_2000";"Bal_Mog_00-Ativo",#N/A,FALSE,"Bal_Mog_00";"Bal_Mog_00-Passivo",#N/A,FALSE,"Bal_Mog_00";#N/A,#N/A,FALSE,"BALANÇO";#N/A,#N/A,FALSE,"Cap_Giro";#N/A,#N/A,FALSE,"Estoques";#N/A,#N/A,FALSE,"Realiz_L_P";#N/A,#N/A,FALSE,"At_Permanente";#N/A,#N/A,FALSE,"Financ.Banc.";#N/A,#N/A,FALSE,"Equival_00";#N/A,#N/A,FALSE,"Desp_99_00";#N/A,#N/A,FALSE,"Func_Local";#N/A,#N/A,FALSE,"DIVIS.2";#N/A,#N/A,FALSE,"Comp. 00x99"}</definedName>
    <definedName name="wrn.revenue._.detail." localSheetId="1" hidden="1">{"revenue detail 1",#N/A,FALSE,"Revenue Detail";"revenue detail 2",#N/A,FALSE,"Revenue Detail";"revenue detail 3",#N/A,FALSE,"Revenue Detail";"revenue detail 4",#N/A,FALSE,"Revenue Detail"}</definedName>
    <definedName name="wrn.revenue._.detail." localSheetId="8" hidden="1">{"revenue detail 1",#N/A,FALSE,"Revenue Detail";"revenue detail 2",#N/A,FALSE,"Revenue Detail";"revenue detail 3",#N/A,FALSE,"Revenue Detail";"revenue detail 4",#N/A,FALSE,"Revenue Detail"}</definedName>
    <definedName name="wrn.revenue._.detail." localSheetId="2" hidden="1">{"revenue detail 1",#N/A,FALSE,"Revenue Detail";"revenue detail 2",#N/A,FALSE,"Revenue Detail";"revenue detail 3",#N/A,FALSE,"Revenue Detail";"revenue detail 4",#N/A,FALSE,"Revenue Detail"}</definedName>
    <definedName name="wrn.revenue._.detail." localSheetId="3" hidden="1">{"revenue detail 1",#N/A,FALSE,"Revenue Detail";"revenue detail 2",#N/A,FALSE,"Revenue Detail";"revenue detail 3",#N/A,FALSE,"Revenue Detail";"revenue detail 4",#N/A,FALSE,"Revenue Detail"}</definedName>
    <definedName name="wrn.revenue._.graph." localSheetId="1" hidden="1">{"revenue graph",#N/A,FALSE,"Revenue Graph"}</definedName>
    <definedName name="wrn.revenue._.graph." localSheetId="8" hidden="1">{"revenue graph",#N/A,FALSE,"Revenue Graph"}</definedName>
    <definedName name="wrn.revenue._.graph." localSheetId="2" hidden="1">{"revenue graph",#N/A,FALSE,"Revenue Graph"}</definedName>
    <definedName name="wrn.revenue._.graph." localSheetId="3" hidden="1">{"revenue graph",#N/A,FALSE,"Revenue Graph"}</definedName>
    <definedName name="wrn.sample." localSheetId="1" hidden="1">{"sample",#N/A,FALSE,"Client Input Sheet"}</definedName>
    <definedName name="wrn.sample." localSheetId="8" hidden="1">{"sample",#N/A,FALSE,"Client Input Sheet"}</definedName>
    <definedName name="wrn.sample." localSheetId="2" hidden="1">{"sample",#N/A,FALSE,"Client Input Sheet"}</definedName>
    <definedName name="wrn.sample." localSheetId="3" hidden="1">{"sample",#N/A,FALSE,"Client Input Sheet"}</definedName>
    <definedName name="wrn.Scenario._.Summary." localSheetId="1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._.Summary." localSheetId="8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._.Summary." localSheetId="2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._.Summary." localSheetId="3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horten._.Version." localSheetId="1" hidden="1">{#N/A,#N/A,FALSE,"changes";#N/A,#N/A,FALSE,"Assumptions";"view1",#N/A,FALSE,"BE Analysis";"view2",#N/A,FALSE,"BE Analysis";#N/A,#N/A,FALSE,"DCF Calculation - Scenario 1";"Dollar",#N/A,FALSE,"Consolidated - Scenario 1";"CS",#N/A,FALSE,"Consolidated - Scenario 1"}</definedName>
    <definedName name="wrn.Shorten._.Version." localSheetId="8" hidden="1">{#N/A,#N/A,FALSE,"changes";#N/A,#N/A,FALSE,"Assumptions";"view1",#N/A,FALSE,"BE Analysis";"view2",#N/A,FALSE,"BE Analysis";#N/A,#N/A,FALSE,"DCF Calculation - Scenario 1";"Dollar",#N/A,FALSE,"Consolidated - Scenario 1";"CS",#N/A,FALSE,"Consolidated - Scenario 1"}</definedName>
    <definedName name="wrn.Shorten._.Version." localSheetId="2" hidden="1">{#N/A,#N/A,FALSE,"changes";#N/A,#N/A,FALSE,"Assumptions";"view1",#N/A,FALSE,"BE Analysis";"view2",#N/A,FALSE,"BE Analysis";#N/A,#N/A,FALSE,"DCF Calculation - Scenario 1";"Dollar",#N/A,FALSE,"Consolidated - Scenario 1";"CS",#N/A,FALSE,"Consolidated - Scenario 1"}</definedName>
    <definedName name="wrn.Shorten._.Version." localSheetId="3" hidden="1">{#N/A,#N/A,FALSE,"changes";#N/A,#N/A,FALSE,"Assumptions";"view1",#N/A,FALSE,"BE Analysis";"view2",#N/A,FALSE,"BE Analysis";#N/A,#N/A,FALSE,"DCF Calculation - Scenario 1";"Dollar",#N/A,FALSE,"Consolidated - Scenario 1";"CS",#N/A,FALSE,"Consolidated - Scenario 1"}</definedName>
    <definedName name="wrn.SIM95." localSheetId="1" hidden="1">{#N/A,#N/A,FALSE,"SIM95"}</definedName>
    <definedName name="wrn.SIM95." localSheetId="8" hidden="1">{#N/A,#N/A,FALSE,"SIM95"}</definedName>
    <definedName name="wrn.SIM95." localSheetId="2" hidden="1">{#N/A,#N/A,FALSE,"SIM95"}</definedName>
    <definedName name="wrn.SIM95." localSheetId="3" hidden="1">{#N/A,#N/A,FALSE,"SIM95"}</definedName>
    <definedName name="wrn.SIM95.2" localSheetId="1" hidden="1">{#N/A,#N/A,FALSE,"SIM95"}</definedName>
    <definedName name="wrn.SIM95.2" localSheetId="8" hidden="1">{#N/A,#N/A,FALSE,"SIM95"}</definedName>
    <definedName name="wrn.SIM95.2" localSheetId="2" hidden="1">{#N/A,#N/A,FALSE,"SIM95"}</definedName>
    <definedName name="wrn.SIM95.2" localSheetId="3" hidden="1">{#N/A,#N/A,FALSE,"SIM95"}</definedName>
    <definedName name="wrn.sim953" localSheetId="1" hidden="1">{#N/A,#N/A,FALSE,"SIM95"}</definedName>
    <definedName name="wrn.sim953" localSheetId="8" hidden="1">{#N/A,#N/A,FALSE,"SIM95"}</definedName>
    <definedName name="wrn.sim953" localSheetId="2" hidden="1">{#N/A,#N/A,FALSE,"SIM95"}</definedName>
    <definedName name="wrn.sim953" localSheetId="3" hidden="1">{#N/A,#N/A,FALSE,"SIM95"}</definedName>
    <definedName name="wrn.sim954" localSheetId="1" hidden="1">{#N/A,#N/A,FALSE,"SIM95"}</definedName>
    <definedName name="wrn.sim954" localSheetId="8" hidden="1">{#N/A,#N/A,FALSE,"SIM95"}</definedName>
    <definedName name="wrn.sim954" localSheetId="2" hidden="1">{#N/A,#N/A,FALSE,"SIM95"}</definedName>
    <definedName name="wrn.sim954" localSheetId="3" hidden="1">{#N/A,#N/A,FALSE,"SIM95"}</definedName>
    <definedName name="wrn.summary." localSheetId="1" hidden="1">{"summary",#N/A,FALSE,"Valuation Analysis"}</definedName>
    <definedName name="wrn.summary." localSheetId="8" hidden="1">{"summary",#N/A,FALSE,"Valuation Analysis"}</definedName>
    <definedName name="wrn.summary." localSheetId="2" hidden="1">{"summary",#N/A,FALSE,"Valuation Analysis"}</definedName>
    <definedName name="wrn.summary." localSheetId="3" hidden="1">{"summary",#N/A,FALSE,"Valuation Analysis"}</definedName>
    <definedName name="wrn.summary._.schedules." localSheetId="1" hidden="1">{"summary1",#N/A,FALSE,"Summary of Values";"summary2",#N/A,FALSE,"Summary of Values"}</definedName>
    <definedName name="wrn.summary._.schedules." localSheetId="8" hidden="1">{"summary1",#N/A,FALSE,"Summary of Values";"summary2",#N/A,FALSE,"Summary of Values"}</definedName>
    <definedName name="wrn.summary._.schedules." localSheetId="2" hidden="1">{"summary1",#N/A,FALSE,"Summary of Values";"summary2",#N/A,FALSE,"Summary of Values"}</definedName>
    <definedName name="wrn.summary._.schedules." localSheetId="3" hidden="1">{"summary1",#N/A,FALSE,"Summary of Values";"summary2",#N/A,FALSE,"Summary of Values"}</definedName>
    <definedName name="wrn.technology." localSheetId="1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chnology." localSheetId="8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chnology." localSheetId="2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chnology." localSheetId="3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st" localSheetId="1" hidden="1">{"test",#N/A,FALSE,"ResRegn.A-kons.";"test",#N/A,FALSE,"Note11-12";"test1",#N/A,FALSE,"Note11-12"}</definedName>
    <definedName name="wrn.test" localSheetId="8" hidden="1">{"test",#N/A,FALSE,"ResRegn.A-kons.";"test",#N/A,FALSE,"Note11-12";"test1",#N/A,FALSE,"Note11-12"}</definedName>
    <definedName name="wrn.test" localSheetId="2" hidden="1">{"test",#N/A,FALSE,"ResRegn.A-kons.";"test",#N/A,FALSE,"Note11-12";"test1",#N/A,FALSE,"Note11-12"}</definedName>
    <definedName name="wrn.test" localSheetId="3" hidden="1">{"test",#N/A,FALSE,"ResRegn.A-kons.";"test",#N/A,FALSE,"Note11-12";"test1",#N/A,FALSE,"Note11-12"}</definedName>
    <definedName name="wrn.Test." localSheetId="1" hidden="1">{"test",#N/A,TRUE,"Summary";"test",#N/A,TRUE,"Assumptions"}</definedName>
    <definedName name="wrn.test." localSheetId="8" hidden="1">{#N/A,#N/A,FALSE,"Bericht 2";#N/A,#N/A,FALSE,"Bericht 3";#N/A,#N/A,FALSE,"Bericht 1"}</definedName>
    <definedName name="wrn.Test." localSheetId="2" hidden="1">{"test",#N/A,TRUE,"Summary";"test",#N/A,TRUE,"Assumptions"}</definedName>
    <definedName name="wrn.Test." localSheetId="3" hidden="1">{"test",#N/A,TRUE,"Summary";"test",#N/A,TRUE,"Assumptions"}</definedName>
    <definedName name="wrn.test._.2." localSheetId="1" hidden="1">{"test",#N/A,TRUE,"Summary";"test",#N/A,TRUE,"Assumptions"}</definedName>
    <definedName name="wrn.test._.2." localSheetId="8" hidden="1">{"test",#N/A,TRUE,"Summary";"test",#N/A,TRUE,"Assumptions"}</definedName>
    <definedName name="wrn.test._.2." localSheetId="2" hidden="1">{"test",#N/A,TRUE,"Summary";"test",#N/A,TRUE,"Assumptions"}</definedName>
    <definedName name="wrn.test._.2." localSheetId="3" hidden="1">{"test",#N/A,TRUE,"Summary";"test",#N/A,TRUE,"Assumptions"}</definedName>
    <definedName name="wrn.test2." localSheetId="1" hidden="1">{"test",#N/A,FALSE,"ResRegn.A-kons.";"test",#N/A,FALSE,"Note11-12";"test1",#N/A,FALSE,"Note11-12"}</definedName>
    <definedName name="wrn.test2." localSheetId="8" hidden="1">{"test",#N/A,FALSE,"ResRegn.A-kons.";"test",#N/A,FALSE,"Note11-12";"test1",#N/A,FALSE,"Note11-12"}</definedName>
    <definedName name="wrn.test2." localSheetId="2" hidden="1">{"test",#N/A,FALSE,"ResRegn.A-kons.";"test",#N/A,FALSE,"Note11-12";"test1",#N/A,FALSE,"Note11-12"}</definedName>
    <definedName name="wrn.test2." localSheetId="3" hidden="1">{"test",#N/A,FALSE,"ResRegn.A-kons.";"test",#N/A,FALSE,"Note11-12";"test1",#N/A,FALSE,"Note11-12"}</definedName>
    <definedName name="wrn.testbericht." localSheetId="1" hidden="1">{#N/A,#N/A,FALSE,"Tabelle1"}</definedName>
    <definedName name="wrn.testbericht." localSheetId="8" hidden="1">{#N/A,#N/A,FALSE,"Tabelle1"}</definedName>
    <definedName name="wrn.testbericht." localSheetId="2" hidden="1">{#N/A,#N/A,FALSE,"Tabelle1"}</definedName>
    <definedName name="wrn.testbericht." localSheetId="3" hidden="1">{#N/A,#N/A,FALSE,"Tabelle1"}</definedName>
    <definedName name="wrn.Todo." localSheetId="1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wrn.Todo." localSheetId="8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wrn.Todo." localSheetId="2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wrn.Todo." localSheetId="3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wrn.trademark._.and._.trade._.name." localSheetId="1" hidden="1">{"trademark1",#N/A,FALSE,"Trademark(s) and Trade Name(s)"}</definedName>
    <definedName name="wrn.trademark._.and._.trade._.name." localSheetId="8" hidden="1">{"trademark1",#N/A,FALSE,"Trademark(s) and Trade Name(s)"}</definedName>
    <definedName name="wrn.trademark._.and._.trade._.name." localSheetId="2" hidden="1">{"trademark1",#N/A,FALSE,"Trademark(s) and Trade Name(s)"}</definedName>
    <definedName name="wrn.trademark._.and._.trade._.name." localSheetId="3" hidden="1">{"trademark1",#N/A,FALSE,"Trademark(s) and Trade Name(s)"}</definedName>
    <definedName name="wrn.Utdr_div.xls." localSheetId="1" hidden="1">{#N/A,#N/A,FALSE,"REGNSKAPSUTDRAG DIVISJON";#N/A,#N/A,FALSE,"Nøkkeltall"}</definedName>
    <definedName name="wrn.Utdr_div.xls." localSheetId="8" hidden="1">{#N/A,#N/A,FALSE,"REGNSKAPSUTDRAG DIVISJON";#N/A,#N/A,FALSE,"Nøkkeltall"}</definedName>
    <definedName name="wrn.Utdr_div.xls." localSheetId="2" hidden="1">{#N/A,#N/A,FALSE,"REGNSKAPSUTDRAG DIVISJON";#N/A,#N/A,FALSE,"Nøkkeltall"}</definedName>
    <definedName name="wrn.Utdr_div.xls." localSheetId="3" hidden="1">{#N/A,#N/A,FALSE,"REGNSKAPSUTDRAG DIVISJON";#N/A,#N/A,FALSE,"Nøkkeltall"}</definedName>
    <definedName name="wrn.uuu" localSheetId="1" hidden="1">{"side1",#N/A,FALSE,"ResRegn.A-kons.";"Side2",#N/A,FALSE,"Bal3112.A-kons."}</definedName>
    <definedName name="wrn.uuu" localSheetId="8" hidden="1">{"side1",#N/A,FALSE,"ResRegn.A-kons.";"Side2",#N/A,FALSE,"Bal3112.A-kons."}</definedName>
    <definedName name="wrn.uuu" localSheetId="2" hidden="1">{"side1",#N/A,FALSE,"ResRegn.A-kons.";"Side2",#N/A,FALSE,"Bal3112.A-kons."}</definedName>
    <definedName name="wrn.uuu" localSheetId="3" hidden="1">{"side1",#N/A,FALSE,"ResRegn.A-kons.";"Side2",#N/A,FALSE,"Bal3112.A-kons."}</definedName>
    <definedName name="wrn.VENTAS.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" localSheetId="8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" localSheetId="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localSheetId="8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localSheetId="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TERINÁRIA." localSheetId="1" hidden="1">{"TOTAL VETERINÁRIA",#N/A,FALSE,"VETER";"DESINFETANTES",#N/A,FALSE,"VETER";"QUIMIOTERÁPIOS",#N/A,FALSE,"VETER";"PROMOTORES CRESCIMENTO",#N/A,FALSE,"VETER";"ADITIVOS",#N/A,FALSE,"VETER";"POLIVITAMÍNICOS",#N/A,FALSE,"VETER";"ANTIBIÓTICOS",#N/A,FALSE,"VETER";"ANTIPARASITÁRIOS",#N/A,FALSE,"VETER";"BIOLÓGICO",#N/A,FALSE,"VETER";"OUTROS",#N/A,FALSE,"VETER"}</definedName>
    <definedName name="wrn.VETERINÁRIA." localSheetId="8" hidden="1">{"TOTAL VETERINÁRIA",#N/A,FALSE,"VETER";"DESINFETANTES",#N/A,FALSE,"VETER";"QUIMIOTERÁPIOS",#N/A,FALSE,"VETER";"PROMOTORES CRESCIMENTO",#N/A,FALSE,"VETER";"ADITIVOS",#N/A,FALSE,"VETER";"POLIVITAMÍNICOS",#N/A,FALSE,"VETER";"ANTIBIÓTICOS",#N/A,FALSE,"VETER";"ANTIPARASITÁRIOS",#N/A,FALSE,"VETER";"BIOLÓGICO",#N/A,FALSE,"VETER";"OUTROS",#N/A,FALSE,"VETER"}</definedName>
    <definedName name="wrn.VETERINÁRIA." localSheetId="2" hidden="1">{"TOTAL VETERINÁRIA",#N/A,FALSE,"VETER";"DESINFETANTES",#N/A,FALSE,"VETER";"QUIMIOTERÁPIOS",#N/A,FALSE,"VETER";"PROMOTORES CRESCIMENTO",#N/A,FALSE,"VETER";"ADITIVOS",#N/A,FALSE,"VETER";"POLIVITAMÍNICOS",#N/A,FALSE,"VETER";"ANTIBIÓTICOS",#N/A,FALSE,"VETER";"ANTIPARASITÁRIOS",#N/A,FALSE,"VETER";"BIOLÓGICO",#N/A,FALSE,"VETER";"OUTROS",#N/A,FALSE,"VETER"}</definedName>
    <definedName name="wrn.VETERINÁRIA." localSheetId="3" hidden="1">{"TOTAL VETERINÁRIA",#N/A,FALSE,"VETER";"DESINFETANTES",#N/A,FALSE,"VETER";"QUIMIOTERÁPIOS",#N/A,FALSE,"VETER";"PROMOTORES CRESCIMENTO",#N/A,FALSE,"VETER";"ADITIVOS",#N/A,FALSE,"VETER";"POLIVITAMÍNICOS",#N/A,FALSE,"VETER";"ANTIBIÓTICOS",#N/A,FALSE,"VETER";"ANTIPARASITÁRIOS",#N/A,FALSE,"VETER";"BIOLÓGICO",#N/A,FALSE,"VETER";"OUTROS",#N/A,FALSE,"VETER"}</definedName>
    <definedName name="wrn.Whole._.Pack." localSheetId="1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._.Pack." localSheetId="8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._.Pack." localSheetId="2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._.Pack." localSheetId="3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ORK._.PAPER." localSheetId="1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" localSheetId="8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" localSheetId="2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" localSheetId="3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localSheetId="1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wrn.WORK._.PAPER._.99." localSheetId="8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wrn.WORK._.PAPER._.99." localSheetId="2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wrn.WORK._.PAPER._.99." localSheetId="3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wrn.work._.paper._.shcedules." localSheetId="1" hidden="1">{"summary1",#N/A,FALSE,"Summary of Values";"summary2",#N/A,FALSE,"Summary of Values";"weighted average returns",#N/A,FALSE,"WACC and WARA";"fixed asset detail",#N/A,FALSE,"Fixed Asset Detail"}</definedName>
    <definedName name="wrn.work._.paper._.shcedules." localSheetId="8" hidden="1">{"summary1",#N/A,FALSE,"Summary of Values";"summary2",#N/A,FALSE,"Summary of Values";"weighted average returns",#N/A,FALSE,"WACC and WARA";"fixed asset detail",#N/A,FALSE,"Fixed Asset Detail"}</definedName>
    <definedName name="wrn.work._.paper._.shcedules." localSheetId="2" hidden="1">{"summary1",#N/A,FALSE,"Summary of Values";"summary2",#N/A,FALSE,"Summary of Values";"weighted average returns",#N/A,FALSE,"WACC and WARA";"fixed asset detail",#N/A,FALSE,"Fixed Asset Detail"}</definedName>
    <definedName name="wrn.work._.paper._.shcedules." localSheetId="3" hidden="1">{"summary1",#N/A,FALSE,"Summary of Values";"summary2",#N/A,FALSE,"Summary of Values";"weighted average returns",#N/A,FALSE,"WACC and WARA";"fixed asset detail",#N/A,FALSE,"Fixed Asset Detail"}</definedName>
    <definedName name="wrn.Wright." localSheetId="1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wrn.Wright." localSheetId="8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wrn.Wright." localSheetId="2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wrn.Wright." localSheetId="3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wuw" localSheetId="1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wuw" localSheetId="8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wuw" localSheetId="2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wuw" localSheetId="3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wvu.PLANILHA2.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3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3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3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3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rint_Todo." localSheetId="1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" localSheetId="8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" localSheetId="2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" localSheetId="3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Socios._.95." localSheetId="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" localSheetId="8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" localSheetId="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" localSheetId="3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" localSheetId="1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www" localSheetId="8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www" localSheetId="2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www" localSheetId="3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x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" localSheetId="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" localSheetId="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23" hidden="1">#REF!</definedName>
    <definedName name="XREF_COLUMN_24" hidden="1">#REF!</definedName>
    <definedName name="XREF_COLUMN_25" hidden="1">#REF!</definedName>
    <definedName name="XREF_COLUMN_26" hidden="1">#REF!</definedName>
    <definedName name="XREF_COLUMN_27" hidden="1">#REF!</definedName>
    <definedName name="XREF_COLUMN_28" hidden="1">#REF!</definedName>
    <definedName name="XREF_COLUMN_29" hidden="1">#REF!</definedName>
    <definedName name="XREF_COLUMN_3" hidden="1">#REF!</definedName>
    <definedName name="XREF_COLUMN_30" hidden="1">#REF!</definedName>
    <definedName name="XREF_COLUMN_31" hidden="1">#REF!</definedName>
    <definedName name="XREF_COLUMN_32" hidden="1">#REF!</definedName>
    <definedName name="XREF_COLUMN_33" hidden="1">#REF!</definedName>
    <definedName name="XREF_COLUMN_35" hidden="1">#REF!</definedName>
    <definedName name="XREF_COLUMN_36" hidden="1">#REF!</definedName>
    <definedName name="XREF_COLUMN_37" hidden="1">#REF!</definedName>
    <definedName name="XREF_COLUMN_38" hidden="1">#REF!</definedName>
    <definedName name="XREF_COLUMN_39" hidden="1">#REF!</definedName>
    <definedName name="XREF_COLUMN_4" hidden="1">#REF!</definedName>
    <definedName name="XREF_COLUMN_40" hidden="1">#REF!</definedName>
    <definedName name="XREF_COLUMN_41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_COLUMN_46" hidden="1">#REF!</definedName>
    <definedName name="XREF_COLUMN_47" hidden="1">#REF!</definedName>
    <definedName name="XREF_COLUMN_5" hidden="1">#REF!</definedName>
    <definedName name="XREF_COLUMN_56" hidden="1">#REF!</definedName>
    <definedName name="XREF_COLUMN_6" hidden="1">#REF!</definedName>
    <definedName name="XREF_COLUMN_66" hidden="1">#REF!</definedName>
    <definedName name="XREF_COLUMN_67" hidden="1">#REF!</definedName>
    <definedName name="XREF_COLUMN_68" hidden="1">#REF!</definedName>
    <definedName name="XREF_COLUMN_69" hidden="1">#REF!</definedName>
    <definedName name="XREF_COLUMN_7" hidden="1">#REF!</definedName>
    <definedName name="XREF_COLUMN_70" hidden="1">#REF!</definedName>
    <definedName name="XREF_COLUMN_71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localSheetId="8" hidden="1">4</definedName>
    <definedName name="XRefColumnsCount" hidden="1">6</definedName>
    <definedName name="XRefCopy1" localSheetId="8" hidden="1">#REF!</definedName>
    <definedName name="XRefCopy1" hidden="1">#REF!</definedName>
    <definedName name="XRefCopy10" localSheetId="8" hidden="1">#REF!</definedName>
    <definedName name="XRefCopy10" hidden="1">#REF!</definedName>
    <definedName name="XRefCopy10Row" localSheetId="8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0" hidden="1">#REF!</definedName>
    <definedName name="XRefCopy123" hidden="1">#REF!</definedName>
    <definedName name="XRefCopy124" hidden="1">#REF!</definedName>
    <definedName name="XRefCopy125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Row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1" hidden="1">#REF!</definedName>
    <definedName name="XRefCopy61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6" hidden="1">#REF!</definedName>
    <definedName name="XRefCopy66Row" hidden="1">#REF!</definedName>
    <definedName name="XRefCopy67Row" hidden="1">#REF!</definedName>
    <definedName name="XRefCopy68Row" hidden="1">#REF!</definedName>
    <definedName name="XRefCopy69Row" hidden="1">#REF!</definedName>
    <definedName name="XRefCopy6Row" hidden="1">#REF!</definedName>
    <definedName name="XRefCopy7" hidden="1">#REF!</definedName>
    <definedName name="XRefCopy70Row" hidden="1">#REF!</definedName>
    <definedName name="XRefCopy71Row" hidden="1">#REF!</definedName>
    <definedName name="XRefCopy72Row" hidden="1">#REF!</definedName>
    <definedName name="XRefCopy73Row" hidden="1">#REF!</definedName>
    <definedName name="XRefCopy74Row" hidden="1">#REF!</definedName>
    <definedName name="XRefCopy75Row" hidden="1">#REF!</definedName>
    <definedName name="XRefCopy76Row" hidden="1">#REF!</definedName>
    <definedName name="XRefCopy77Row" hidden="1">#REF!</definedName>
    <definedName name="XRefCopy78Row" hidden="1">#REF!</definedName>
    <definedName name="XRefCopy7Row" hidden="1">#REF!</definedName>
    <definedName name="XRefCopy8" hidden="1">#REF!</definedName>
    <definedName name="XRefCopy80Row" hidden="1">#REF!</definedName>
    <definedName name="XRefCopy81" hidden="1">#REF!</definedName>
    <definedName name="XRefCopy81Row" hidden="1">#REF!</definedName>
    <definedName name="XRefCopy82Row" hidden="1">#REF!</definedName>
    <definedName name="XRefCopy83" hidden="1">#REF!</definedName>
    <definedName name="XRefCopy83Row" hidden="1">#REF!</definedName>
    <definedName name="XRefCopy85Row" hidden="1">#REF!</definedName>
    <definedName name="XRefCopy86Row" hidden="1">#REF!</definedName>
    <definedName name="XRefCopy8Row" hidden="1">#REF!</definedName>
    <definedName name="XRefCopy9" hidden="1">#REF!</definedName>
    <definedName name="XRefCopy9Row" hidden="1">#REF!</definedName>
    <definedName name="XRefCopyRangeCount" localSheetId="8" hidden="1">6</definedName>
    <definedName name="XRefCopyRangeCount" hidden="1">9</definedName>
    <definedName name="XRefPaste1" localSheetId="8" hidden="1">#REF!</definedName>
    <definedName name="XRefPaste1" hidden="1">#REF!</definedName>
    <definedName name="XRefPaste10" localSheetId="8" hidden="1">#REF!</definedName>
    <definedName name="XRefPaste10" hidden="1">#REF!</definedName>
    <definedName name="XRefPaste100Row" localSheetId="8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Row" hidden="1">#REF!</definedName>
    <definedName name="XRefPaste105Row" hidden="1">#REF!</definedName>
    <definedName name="XRefPaste106" hidden="1">#REF!</definedName>
    <definedName name="XRefPaste106Row" hidden="1">#REF!</definedName>
    <definedName name="XRefPaste107Row" hidden="1">#REF!</definedName>
    <definedName name="XRefPaste108Row" hidden="1">#REF!</definedName>
    <definedName name="XRefPaste10Row" hidden="1">#REF!</definedName>
    <definedName name="XRefPaste11" hidden="1">#REF!</definedName>
    <definedName name="XRefPaste111Row" hidden="1">#REF!</definedName>
    <definedName name="XRefPaste112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" hidden="1">#REF!</definedName>
    <definedName name="XRefPaste119Row" hidden="1">#REF!</definedName>
    <definedName name="XRefPaste11Row" hidden="1">#REF!</definedName>
    <definedName name="XRefPaste12" hidden="1">#REF!</definedName>
    <definedName name="XRefPaste120" hidden="1">#REF!</definedName>
    <definedName name="XRefPaste120Row" hidden="1">#REF!</definedName>
    <definedName name="XRefPaste121Row" hidden="1">#REF!</definedName>
    <definedName name="XRefPaste122Row" hidden="1">#REF!</definedName>
    <definedName name="XRefPaste123Row" hidden="1">#REF!</definedName>
    <definedName name="XRefPaste124Row" hidden="1">#REF!</definedName>
    <definedName name="XRefPaste126Row" hidden="1">#REF!</definedName>
    <definedName name="XRefPaste127Row" hidden="1">#REF!</definedName>
    <definedName name="XRefPaste128Row" hidden="1">#REF!</definedName>
    <definedName name="XRefPaste129Row" hidden="1">#REF!</definedName>
    <definedName name="XRefPaste12Row" hidden="1">#REF!</definedName>
    <definedName name="XRefPaste13" hidden="1">#REF!</definedName>
    <definedName name="XRefPaste130Row" hidden="1">#REF!</definedName>
    <definedName name="XRefPaste131Row" hidden="1">#REF!</definedName>
    <definedName name="XRefPaste132Row" hidden="1">#REF!</definedName>
    <definedName name="XRefPaste133Row" hidden="1">#REF!</definedName>
    <definedName name="XRefPaste134Row" hidden="1">#REF!</definedName>
    <definedName name="XRefPaste135Row" hidden="1">#REF!</definedName>
    <definedName name="XRefPaste136Row" hidden="1">#REF!</definedName>
    <definedName name="XRefPaste137Row" hidden="1">#REF!</definedName>
    <definedName name="XRefPaste138Row" hidden="1">#REF!</definedName>
    <definedName name="XRefPaste139" hidden="1">#REF!</definedName>
    <definedName name="XRefPaste139Row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" hidden="1">#REF!</definedName>
    <definedName name="XRefPaste53Row" hidden="1">#REF!</definedName>
    <definedName name="XRefPaste54" hidden="1">#REF!</definedName>
    <definedName name="XRefPaste54Row" hidden="1">#REF!</definedName>
    <definedName name="XRefPaste55" hidden="1">#REF!</definedName>
    <definedName name="XRefPaste55Row" hidden="1">#REF!</definedName>
    <definedName name="XRefPaste56" hidden="1">#REF!</definedName>
    <definedName name="XRefPaste56Row" hidden="1">#REF!</definedName>
    <definedName name="XRefPaste57Row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#REF!</definedName>
    <definedName name="XRefPaste6" hidden="1">#REF!</definedName>
    <definedName name="XRefPaste60Row" hidden="1">#REF!</definedName>
    <definedName name="XRefPaste61" hidden="1">#REF!</definedName>
    <definedName name="XRefPaste61Row" hidden="1">#REF!</definedName>
    <definedName name="XRefPaste62Row" hidden="1">#REF!</definedName>
    <definedName name="XRefPaste63Row" hidden="1">#REF!</definedName>
    <definedName name="XRefPaste64Row" hidden="1">#REF!</definedName>
    <definedName name="XRefPaste65Row" hidden="1">#REF!</definedName>
    <definedName name="XRefPaste66" hidden="1">#REF!</definedName>
    <definedName name="XRefPaste66Row" hidden="1">#REF!</definedName>
    <definedName name="XRefPaste67" hidden="1">#REF!</definedName>
    <definedName name="XRefPaste67Row" hidden="1">#REF!</definedName>
    <definedName name="XRefPaste68" hidden="1">#REF!</definedName>
    <definedName name="XRefPaste68Row" hidden="1">#REF!</definedName>
    <definedName name="XRefPaste69" hidden="1">#REF!</definedName>
    <definedName name="XRefPaste69Row" hidden="1">#REF!</definedName>
    <definedName name="XRefPaste6Row" hidden="1">#REF!</definedName>
    <definedName name="XRefPaste7" hidden="1">#REF!</definedName>
    <definedName name="XRefPaste70" hidden="1">#REF!</definedName>
    <definedName name="XRefPaste70Row" hidden="1">#REF!</definedName>
    <definedName name="XRefPaste71" hidden="1">#REF!</definedName>
    <definedName name="XRefPaste71Row" hidden="1">#REF!</definedName>
    <definedName name="XRefPaste72" hidden="1">#REF!</definedName>
    <definedName name="XRefPaste75Row" hidden="1">#REF!</definedName>
    <definedName name="XRefPaste7Row" hidden="1">#REF!</definedName>
    <definedName name="XRefPaste8" hidden="1">#REF!</definedName>
    <definedName name="XRefPaste85Row" hidden="1">#REF!</definedName>
    <definedName name="XRefPaste88" hidden="1">#REF!</definedName>
    <definedName name="XRefPaste89" hidden="1">#REF!</definedName>
    <definedName name="XRefPaste89Row" hidden="1">#REF!</definedName>
    <definedName name="XRefPaste8Row" hidden="1">#REF!</definedName>
    <definedName name="XRefPaste9" hidden="1">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" hidden="1">#REF!</definedName>
    <definedName name="XRefPaste95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 hidden="1">#REF!</definedName>
    <definedName name="XRefPasteRangeCount" localSheetId="8" hidden="1">1</definedName>
    <definedName name="XRefPasteRangeCount" hidden="1">7</definedName>
    <definedName name="xx" localSheetId="8" hidden="1">{#N/A,#N/A,FALSE,"Skjema 6.5"}</definedName>
    <definedName name="XXW" localSheetId="1" hidden="1">{#N/A,#N/A,FALSE,"SIM95"}</definedName>
    <definedName name="XXW" localSheetId="8" hidden="1">{#N/A,#N/A,FALSE,"SIM95"}</definedName>
    <definedName name="XXW" localSheetId="2" hidden="1">{#N/A,#N/A,FALSE,"SIM95"}</definedName>
    <definedName name="XXW" localSheetId="3" hidden="1">{#N/A,#N/A,FALSE,"SIM95"}</definedName>
    <definedName name="xxxx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y" localSheetId="1" hidden="1">{#N/A,#N/A,FALSE,"SIM95"}</definedName>
    <definedName name="xxy" localSheetId="8" hidden="1">{#N/A,#N/A,FALSE,"SIM95"}</definedName>
    <definedName name="xxy" localSheetId="2" hidden="1">{#N/A,#N/A,FALSE,"SIM95"}</definedName>
    <definedName name="xxy" localSheetId="3" hidden="1">{#N/A,#N/A,FALSE,"SIM95"}</definedName>
    <definedName name="xyz" localSheetId="1" hidden="1">{#N/A,#N/A,FALSE,"Bericht 2";#N/A,#N/A,FALSE,"Bericht 3";#N/A,#N/A,FALSE,"Bericht 1"}</definedName>
    <definedName name="xyz" localSheetId="8" hidden="1">{#N/A,#N/A,FALSE,"Bericht 2";#N/A,#N/A,FALSE,"Bericht 3";#N/A,#N/A,FALSE,"Bericht 1"}</definedName>
    <definedName name="xyz" localSheetId="2" hidden="1">{#N/A,#N/A,FALSE,"Bericht 2";#N/A,#N/A,FALSE,"Bericht 3";#N/A,#N/A,FALSE,"Bericht 1"}</definedName>
    <definedName name="xyz" localSheetId="3" hidden="1">{#N/A,#N/A,FALSE,"Bericht 2";#N/A,#N/A,FALSE,"Bericht 3";#N/A,#N/A,FALSE,"Bericht 1"}</definedName>
    <definedName name="xyz2" localSheetId="1" hidden="1">{#N/A,#N/A,FALSE,"Bericht 2";#N/A,#N/A,FALSE,"Bericht 3";#N/A,#N/A,FALSE,"Bericht 1"}</definedName>
    <definedName name="xyz2" localSheetId="8" hidden="1">{#N/A,#N/A,FALSE,"Bericht 2";#N/A,#N/A,FALSE,"Bericht 3";#N/A,#N/A,FALSE,"Bericht 1"}</definedName>
    <definedName name="xyz2" localSheetId="2" hidden="1">{#N/A,#N/A,FALSE,"Bericht 2";#N/A,#N/A,FALSE,"Bericht 3";#N/A,#N/A,FALSE,"Bericht 1"}</definedName>
    <definedName name="xyz2" localSheetId="3" hidden="1">{#N/A,#N/A,FALSE,"Bericht 2";#N/A,#N/A,FALSE,"Bericht 3";#N/A,#N/A,FALSE,"Bericht 1"}</definedName>
    <definedName name="y" localSheetId="1" hidden="1">{#N/A,#N/A,FALSE,"Acum Julio - 00"}</definedName>
    <definedName name="y" localSheetId="8" hidden="1">{#N/A,#N/A,FALSE,"Acum Julio - 00"}</definedName>
    <definedName name="y" localSheetId="2" hidden="1">{#N/A,#N/A,FALSE,"Acum Julio - 00"}</definedName>
    <definedName name="y" localSheetId="3" hidden="1">{#N/A,#N/A,FALSE,"Acum Julio - 00"}</definedName>
    <definedName name="yfdsf" localSheetId="1" hidden="1">{#N/A,#N/A,FALSE,"Bericht 2";#N/A,#N/A,FALSE,"Bericht 3";#N/A,#N/A,FALSE,"Bericht 1"}</definedName>
    <definedName name="yfdsf" localSheetId="8" hidden="1">{#N/A,#N/A,FALSE,"Bericht 2";#N/A,#N/A,FALSE,"Bericht 3";#N/A,#N/A,FALSE,"Bericht 1"}</definedName>
    <definedName name="yfdsf" localSheetId="2" hidden="1">{#N/A,#N/A,FALSE,"Bericht 2";#N/A,#N/A,FALSE,"Bericht 3";#N/A,#N/A,FALSE,"Bericht 1"}</definedName>
    <definedName name="yfdsf" localSheetId="3" hidden="1">{#N/A,#N/A,FALSE,"Bericht 2";#N/A,#N/A,FALSE,"Bericht 3";#N/A,#N/A,FALSE,"Bericht 1"}</definedName>
    <definedName name="YYY" localSheetId="1" hidden="1">{#N/A,#N/A,FALSE,"SIM95"}</definedName>
    <definedName name="YYY" localSheetId="8" hidden="1">{#N/A,#N/A,FALSE,"SIM95"}</definedName>
    <definedName name="YYY" localSheetId="2" hidden="1">{#N/A,#N/A,FALSE,"SIM95"}</definedName>
    <definedName name="YYY" localSheetId="3" hidden="1">{#N/A,#N/A,FALSE,"SIM95"}</definedName>
    <definedName name="YYZ" localSheetId="1" hidden="1">{#N/A,#N/A,FALSE,"SIM95"}</definedName>
    <definedName name="YYZ" localSheetId="8" hidden="1">{#N/A,#N/A,FALSE,"SIM95"}</definedName>
    <definedName name="YYZ" localSheetId="2" hidden="1">{#N/A,#N/A,FALSE,"SIM95"}</definedName>
    <definedName name="YYZ" localSheetId="3" hidden="1">{#N/A,#N/A,FALSE,"SIM95"}</definedName>
    <definedName name="Z" localSheetId="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" localSheetId="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" localSheetId="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_60DF8B29_1C1F_4B50_BDA8_B8E0C7DD04C3_.wvu.Cols" localSheetId="1" hidden="1">#REF!,#REF!</definedName>
    <definedName name="Z_60DF8B29_1C1F_4B50_BDA8_B8E0C7DD04C3_.wvu.Cols" localSheetId="8" hidden="1">#REF!,#REF!</definedName>
    <definedName name="Z_60DF8B29_1C1F_4B50_BDA8_B8E0C7DD04C3_.wvu.Cols" hidden="1">#REF!,#REF!</definedName>
    <definedName name="Z_8D0E6862_197D_11D6_B9DA_0060970E1F7D_.wvu.FilterData" localSheetId="8" hidden="1">#REF!</definedName>
    <definedName name="Z_8D0E6862_197D_11D6_B9DA_0060970E1F7D_.wvu.FilterData" hidden="1">#REF!</definedName>
    <definedName name="Z_E3FFE9E0_6C4F_4FB4_A56E_FBE96871B5C8_.wvu.Cols" localSheetId="1" hidden="1">#REF!,#REF!</definedName>
    <definedName name="Z_E3FFE9E0_6C4F_4FB4_A56E_FBE96871B5C8_.wvu.Cols" localSheetId="8" hidden="1">#REF!,#REF!</definedName>
    <definedName name="Z_E3FFE9E0_6C4F_4FB4_A56E_FBE96871B5C8_.wvu.Cols" hidden="1">#REF!,#REF!</definedName>
    <definedName name="Z_EB894753_1975_11D6_B9DA_0060970E1F7D_.wvu.FilterData" localSheetId="8" hidden="1">#REF!</definedName>
    <definedName name="Z_EB894753_1975_11D6_B9DA_0060970E1F7D_.wvu.FilterData" hidden="1">#REF!</definedName>
  </definedNames>
  <calcPr calcId="191029"/>
  <extLst>
    <ext xmlns:x14="http://schemas.microsoft.com/office/spreadsheetml/2009/9/main" uri="{876F7934-8845-4945-9796-88D515C7AA90}">
      <x14:pivotCaches>
        <pivotCache cacheId="181" r:id="rId11"/>
      </x14:pivotCaches>
    </ext>
    <ext xmlns:x14="http://schemas.microsoft.com/office/spreadsheetml/2009/9/main" uri="{BBE1A952-AA13-448e-AADC-164F8A28A991}">
      <x14:slicerCaches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49" i="9" l="1"/>
  <c r="AS48" i="13"/>
  <c r="O48" i="13"/>
  <c r="AR47" i="13"/>
  <c r="AS47" i="13" s="1"/>
  <c r="O47" i="13"/>
  <c r="N47" i="13"/>
  <c r="AR46" i="13"/>
  <c r="N46" i="13"/>
  <c r="N41" i="13" s="1"/>
  <c r="AU43" i="13"/>
  <c r="Q43" i="13"/>
  <c r="AS41" i="13"/>
  <c r="AR41" i="13"/>
  <c r="AS40" i="13"/>
  <c r="AR40" i="13"/>
  <c r="BF37" i="13"/>
  <c r="BG37" i="13" s="1"/>
  <c r="BC37" i="13"/>
  <c r="AS37" i="13"/>
  <c r="AO37" i="13"/>
  <c r="BH37" i="13" s="1"/>
  <c r="AL37" i="13"/>
  <c r="Y37" i="13"/>
  <c r="AB37" i="13" s="1"/>
  <c r="Q37" i="13"/>
  <c r="P37" i="13"/>
  <c r="O37" i="13"/>
  <c r="H37" i="13"/>
  <c r="K37" i="13" s="1"/>
  <c r="BF35" i="13"/>
  <c r="BG35" i="13" s="1"/>
  <c r="BC35" i="13"/>
  <c r="AS35" i="13"/>
  <c r="AO35" i="13"/>
  <c r="AL35" i="13"/>
  <c r="Y35" i="13"/>
  <c r="AB35" i="13" s="1"/>
  <c r="O35" i="13"/>
  <c r="H35" i="13"/>
  <c r="K35" i="13" s="1"/>
  <c r="BC34" i="13"/>
  <c r="BF34" i="13" s="1"/>
  <c r="AS34" i="13"/>
  <c r="AO34" i="13"/>
  <c r="AL34" i="13"/>
  <c r="Y34" i="13"/>
  <c r="Y33" i="13" s="1"/>
  <c r="O34" i="13"/>
  <c r="H34" i="13"/>
  <c r="BE33" i="13"/>
  <c r="BD33" i="13"/>
  <c r="BC33" i="13"/>
  <c r="BB33" i="13"/>
  <c r="BA33" i="13"/>
  <c r="AZ33" i="13"/>
  <c r="AY33" i="13"/>
  <c r="AX33" i="13"/>
  <c r="AS33" i="13"/>
  <c r="AR33" i="13"/>
  <c r="AN33" i="13"/>
  <c r="AM33" i="13"/>
  <c r="AL33" i="13"/>
  <c r="AK33" i="13"/>
  <c r="AJ33" i="13"/>
  <c r="AI33" i="13"/>
  <c r="AA33" i="13"/>
  <c r="Z33" i="13"/>
  <c r="X33" i="13"/>
  <c r="W33" i="13"/>
  <c r="V33" i="13"/>
  <c r="U33" i="13"/>
  <c r="T33" i="13"/>
  <c r="O33" i="13"/>
  <c r="N33" i="13"/>
  <c r="J33" i="13"/>
  <c r="I33" i="13"/>
  <c r="G33" i="13"/>
  <c r="F33" i="13"/>
  <c r="E33" i="13"/>
  <c r="BI32" i="13"/>
  <c r="BH32" i="13"/>
  <c r="AU32" i="13"/>
  <c r="AT32" i="13"/>
  <c r="AS32" i="13"/>
  <c r="AE32" i="13"/>
  <c r="AD32" i="13"/>
  <c r="Q32" i="13"/>
  <c r="P32" i="13"/>
  <c r="O32" i="13"/>
  <c r="BI31" i="13"/>
  <c r="BH31" i="13"/>
  <c r="AU31" i="13"/>
  <c r="AT31" i="13"/>
  <c r="AS31" i="13"/>
  <c r="AE31" i="13"/>
  <c r="AD31" i="13"/>
  <c r="Q31" i="13"/>
  <c r="P31" i="13"/>
  <c r="O31" i="13"/>
  <c r="BC30" i="13"/>
  <c r="BF30" i="13" s="1"/>
  <c r="AS30" i="13"/>
  <c r="AO30" i="13"/>
  <c r="AL30" i="13"/>
  <c r="AB30" i="13"/>
  <c r="Y30" i="13"/>
  <c r="O30" i="13"/>
  <c r="H30" i="13"/>
  <c r="K30" i="13" s="1"/>
  <c r="BF29" i="13"/>
  <c r="BC29" i="13"/>
  <c r="AS29" i="13"/>
  <c r="AL29" i="13"/>
  <c r="AL27" i="13" s="1"/>
  <c r="Y29" i="13"/>
  <c r="AB29" i="13" s="1"/>
  <c r="O29" i="13"/>
  <c r="H29" i="13"/>
  <c r="K29" i="13" s="1"/>
  <c r="BC28" i="13"/>
  <c r="BF28" i="13" s="1"/>
  <c r="AU28" i="13"/>
  <c r="AT28" i="13"/>
  <c r="AS28" i="13"/>
  <c r="AO28" i="13"/>
  <c r="AL28" i="13"/>
  <c r="Y28" i="13"/>
  <c r="AB28" i="13" s="1"/>
  <c r="O28" i="13"/>
  <c r="H28" i="13"/>
  <c r="K28" i="13" s="1"/>
  <c r="BE27" i="13"/>
  <c r="BD27" i="13"/>
  <c r="BB27" i="13"/>
  <c r="BA27" i="13"/>
  <c r="AZ27" i="13"/>
  <c r="AY27" i="13"/>
  <c r="AX27" i="13"/>
  <c r="AR27" i="13"/>
  <c r="AS27" i="13" s="1"/>
  <c r="AN27" i="13"/>
  <c r="AM27" i="13"/>
  <c r="AK27" i="13"/>
  <c r="AJ27" i="13"/>
  <c r="AI27" i="13"/>
  <c r="AA27" i="13"/>
  <c r="Z27" i="13"/>
  <c r="X27" i="13"/>
  <c r="W27" i="13"/>
  <c r="V27" i="13"/>
  <c r="U27" i="13"/>
  <c r="T27" i="13"/>
  <c r="O27" i="13"/>
  <c r="N27" i="13"/>
  <c r="J27" i="13"/>
  <c r="I27" i="13"/>
  <c r="H27" i="13"/>
  <c r="G27" i="13"/>
  <c r="F27" i="13"/>
  <c r="E27" i="13"/>
  <c r="BF25" i="13"/>
  <c r="BC25" i="13"/>
  <c r="AS25" i="13"/>
  <c r="AL25" i="13"/>
  <c r="AO25" i="13" s="1"/>
  <c r="AP25" i="13" s="1"/>
  <c r="AE25" i="13"/>
  <c r="AD25" i="13"/>
  <c r="AB25" i="13"/>
  <c r="Y25" i="13"/>
  <c r="O25" i="13"/>
  <c r="K25" i="13"/>
  <c r="H25" i="13"/>
  <c r="O24" i="13"/>
  <c r="BC22" i="13"/>
  <c r="BF22" i="13" s="1"/>
  <c r="BG22" i="13" s="1"/>
  <c r="AS22" i="13"/>
  <c r="AL22" i="13"/>
  <c r="AO22" i="13" s="1"/>
  <c r="Y22" i="13"/>
  <c r="AB22" i="13" s="1"/>
  <c r="O22" i="13"/>
  <c r="H22" i="13"/>
  <c r="K22" i="13" s="1"/>
  <c r="BC21" i="13"/>
  <c r="BF21" i="13" s="1"/>
  <c r="BG21" i="13" s="1"/>
  <c r="AS21" i="13"/>
  <c r="AL21" i="13"/>
  <c r="AO21" i="13" s="1"/>
  <c r="Y21" i="13"/>
  <c r="AB21" i="13" s="1"/>
  <c r="Q21" i="13"/>
  <c r="O21" i="13"/>
  <c r="H21" i="13"/>
  <c r="K21" i="13" s="1"/>
  <c r="BC20" i="13"/>
  <c r="BF20" i="13" s="1"/>
  <c r="BI20" i="13" s="1"/>
  <c r="AU20" i="13"/>
  <c r="AT20" i="13"/>
  <c r="AS20" i="13"/>
  <c r="AL20" i="13"/>
  <c r="AO20" i="13" s="1"/>
  <c r="Y20" i="13"/>
  <c r="AB20" i="13" s="1"/>
  <c r="AC20" i="13" s="1"/>
  <c r="O20" i="13"/>
  <c r="H20" i="13"/>
  <c r="K20" i="13" s="1"/>
  <c r="AZ19" i="13"/>
  <c r="AY19" i="13"/>
  <c r="X19" i="13"/>
  <c r="X42" i="13" s="1"/>
  <c r="BG18" i="13"/>
  <c r="BF18" i="13"/>
  <c r="BC18" i="13"/>
  <c r="AS18" i="13"/>
  <c r="AL18" i="13"/>
  <c r="AO18" i="13" s="1"/>
  <c r="Y18" i="13"/>
  <c r="AB18" i="13" s="1"/>
  <c r="O18" i="13"/>
  <c r="H18" i="13"/>
  <c r="K18" i="13" s="1"/>
  <c r="Q18" i="13" s="1"/>
  <c r="BF17" i="13"/>
  <c r="BC17" i="13"/>
  <c r="AS17" i="13"/>
  <c r="AL17" i="13"/>
  <c r="AO17" i="13" s="1"/>
  <c r="Y17" i="13"/>
  <c r="AB17" i="13" s="1"/>
  <c r="O17" i="13"/>
  <c r="H17" i="13"/>
  <c r="K17" i="13" s="1"/>
  <c r="BC16" i="13"/>
  <c r="BF16" i="13" s="1"/>
  <c r="BG16" i="13" s="1"/>
  <c r="AS16" i="13"/>
  <c r="AL16" i="13"/>
  <c r="AO16" i="13" s="1"/>
  <c r="AB16" i="13"/>
  <c r="Y16" i="13"/>
  <c r="Q16" i="13"/>
  <c r="O16" i="13"/>
  <c r="H16" i="13"/>
  <c r="K16" i="13" s="1"/>
  <c r="BC15" i="13"/>
  <c r="BF15" i="13" s="1"/>
  <c r="AU15" i="13"/>
  <c r="AT15" i="13"/>
  <c r="AS15" i="13"/>
  <c r="AO15" i="13"/>
  <c r="AL15" i="13"/>
  <c r="AE15" i="13"/>
  <c r="AD15" i="13"/>
  <c r="AB15" i="13"/>
  <c r="Y15" i="13"/>
  <c r="O15" i="13"/>
  <c r="K15" i="13"/>
  <c r="L15" i="13" s="1"/>
  <c r="H15" i="13"/>
  <c r="BC14" i="13"/>
  <c r="BC13" i="13" s="1"/>
  <c r="AS14" i="13"/>
  <c r="AL14" i="13"/>
  <c r="Y14" i="13"/>
  <c r="AB14" i="13" s="1"/>
  <c r="O14" i="13"/>
  <c r="H14" i="13"/>
  <c r="K14" i="13" s="1"/>
  <c r="AD14" i="13" s="1"/>
  <c r="BE13" i="13"/>
  <c r="BD13" i="13"/>
  <c r="BB13" i="13"/>
  <c r="BA13" i="13"/>
  <c r="AZ13" i="13"/>
  <c r="AY13" i="13"/>
  <c r="AX13" i="13"/>
  <c r="AX19" i="13" s="1"/>
  <c r="AR13" i="13"/>
  <c r="AS13" i="13" s="1"/>
  <c r="AN13" i="13"/>
  <c r="AM13" i="13"/>
  <c r="AK13" i="13"/>
  <c r="AJ13" i="13"/>
  <c r="AI13" i="13"/>
  <c r="AA13" i="13"/>
  <c r="Z13" i="13"/>
  <c r="Y13" i="13"/>
  <c r="X13" i="13"/>
  <c r="W13" i="13"/>
  <c r="V13" i="13"/>
  <c r="U13" i="13"/>
  <c r="T13" i="13"/>
  <c r="N13" i="13"/>
  <c r="O13" i="13" s="1"/>
  <c r="J13" i="13"/>
  <c r="I13" i="13"/>
  <c r="G13" i="13"/>
  <c r="G19" i="13" s="1"/>
  <c r="G24" i="13" s="1"/>
  <c r="F13" i="13"/>
  <c r="E13" i="13"/>
  <c r="BF11" i="13"/>
  <c r="BE11" i="13"/>
  <c r="BE19" i="13" s="1"/>
  <c r="BE42" i="13" s="1"/>
  <c r="BA11" i="13"/>
  <c r="BA19" i="13" s="1"/>
  <c r="BA24" i="13" s="1"/>
  <c r="BA26" i="13" s="1"/>
  <c r="BA38" i="13" s="1"/>
  <c r="AZ11" i="13"/>
  <c r="AY11" i="13"/>
  <c r="AX11" i="13"/>
  <c r="AR11" i="13"/>
  <c r="AN11" i="13"/>
  <c r="AN19" i="13" s="1"/>
  <c r="AJ11" i="13"/>
  <c r="AJ19" i="13" s="1"/>
  <c r="AI11" i="13"/>
  <c r="AI19" i="13" s="1"/>
  <c r="Z11" i="13"/>
  <c r="X11" i="13"/>
  <c r="T11" i="13"/>
  <c r="T19" i="13" s="1"/>
  <c r="N11" i="13"/>
  <c r="N19" i="13" s="1"/>
  <c r="N24" i="13" s="1"/>
  <c r="I11" i="13"/>
  <c r="I19" i="13" s="1"/>
  <c r="BC10" i="13"/>
  <c r="BF10" i="13" s="1"/>
  <c r="BG10" i="13" s="1"/>
  <c r="AS10" i="13"/>
  <c r="AL10" i="13"/>
  <c r="AL11" i="13" s="1"/>
  <c r="AB10" i="13"/>
  <c r="AD10" i="13" s="1"/>
  <c r="Y10" i="13"/>
  <c r="O10" i="13"/>
  <c r="H10" i="13"/>
  <c r="K10" i="13" s="1"/>
  <c r="Q10" i="13" s="1"/>
  <c r="BF9" i="13"/>
  <c r="BE9" i="13"/>
  <c r="BD9" i="13"/>
  <c r="BD11" i="13" s="1"/>
  <c r="BD19" i="13" s="1"/>
  <c r="BC9" i="13"/>
  <c r="BC11" i="13" s="1"/>
  <c r="BC19" i="13" s="1"/>
  <c r="BC24" i="13" s="1"/>
  <c r="BB9" i="13"/>
  <c r="BB11" i="13" s="1"/>
  <c r="BB19" i="13" s="1"/>
  <c r="BA9" i="13"/>
  <c r="AZ9" i="13"/>
  <c r="AY9" i="13"/>
  <c r="AX9" i="13"/>
  <c r="AS9" i="13"/>
  <c r="AN9" i="13"/>
  <c r="AM9" i="13"/>
  <c r="AM11" i="13" s="1"/>
  <c r="AM19" i="13" s="1"/>
  <c r="AL9" i="13"/>
  <c r="AK9" i="13"/>
  <c r="AK11" i="13" s="1"/>
  <c r="AK19" i="13" s="1"/>
  <c r="AJ9" i="13"/>
  <c r="AI9" i="13"/>
  <c r="AA9" i="13"/>
  <c r="AA11" i="13" s="1"/>
  <c r="AA19" i="13" s="1"/>
  <c r="Z9" i="13"/>
  <c r="X9" i="13"/>
  <c r="W9" i="13"/>
  <c r="W11" i="13" s="1"/>
  <c r="W19" i="13" s="1"/>
  <c r="V9" i="13"/>
  <c r="V11" i="13" s="1"/>
  <c r="V19" i="13" s="1"/>
  <c r="U9" i="13"/>
  <c r="U11" i="13" s="1"/>
  <c r="U19" i="13" s="1"/>
  <c r="T9" i="13"/>
  <c r="O9" i="13"/>
  <c r="J9" i="13"/>
  <c r="J11" i="13" s="1"/>
  <c r="J19" i="13" s="1"/>
  <c r="I9" i="13"/>
  <c r="G9" i="13"/>
  <c r="G11" i="13" s="1"/>
  <c r="F9" i="13"/>
  <c r="F11" i="13" s="1"/>
  <c r="F19" i="13" s="1"/>
  <c r="E9" i="13"/>
  <c r="E11" i="13" s="1"/>
  <c r="E19" i="13" s="1"/>
  <c r="BF8" i="13"/>
  <c r="BC8" i="13"/>
  <c r="AL8" i="13"/>
  <c r="AO8" i="13" s="1"/>
  <c r="Y8" i="13"/>
  <c r="AB8" i="13" s="1"/>
  <c r="H8" i="13"/>
  <c r="K8" i="13" s="1"/>
  <c r="K9" i="13" s="1"/>
  <c r="BF7" i="13"/>
  <c r="BC7" i="13"/>
  <c r="AO7" i="13"/>
  <c r="AO9" i="13" s="1"/>
  <c r="AL7" i="13"/>
  <c r="Y7" i="13"/>
  <c r="AB7" i="13" s="1"/>
  <c r="AB9" i="13" s="1"/>
  <c r="K7" i="13"/>
  <c r="H7" i="13"/>
  <c r="AH3" i="13"/>
  <c r="P18" i="13" l="1"/>
  <c r="G36" i="13"/>
  <c r="G26" i="13"/>
  <c r="G38" i="13" s="1"/>
  <c r="AK24" i="13"/>
  <c r="AK42" i="13"/>
  <c r="L22" i="13"/>
  <c r="AE22" i="13"/>
  <c r="AD22" i="13"/>
  <c r="Q22" i="13"/>
  <c r="P22" i="13"/>
  <c r="AN42" i="13"/>
  <c r="AN24" i="13"/>
  <c r="AD20" i="13"/>
  <c r="P20" i="13"/>
  <c r="AE20" i="13"/>
  <c r="L20" i="13"/>
  <c r="Q20" i="13"/>
  <c r="AM24" i="13"/>
  <c r="AM42" i="13"/>
  <c r="AB11" i="13"/>
  <c r="AC31" i="13"/>
  <c r="AC15" i="13"/>
  <c r="AC9" i="13"/>
  <c r="AC32" i="13"/>
  <c r="J42" i="13"/>
  <c r="J24" i="13"/>
  <c r="AC16" i="13"/>
  <c r="AC29" i="13"/>
  <c r="AL19" i="13"/>
  <c r="AL24" i="13" s="1"/>
  <c r="AU16" i="13"/>
  <c r="AT16" i="13"/>
  <c r="AP16" i="13"/>
  <c r="BI16" i="13"/>
  <c r="BH16" i="13"/>
  <c r="AC18" i="13"/>
  <c r="BI22" i="13"/>
  <c r="AU22" i="13"/>
  <c r="BH22" i="13"/>
  <c r="AT22" i="13"/>
  <c r="AP22" i="13"/>
  <c r="F24" i="13"/>
  <c r="F42" i="13"/>
  <c r="AX24" i="13"/>
  <c r="AD29" i="13"/>
  <c r="AE29" i="13"/>
  <c r="Q29" i="13"/>
  <c r="P29" i="13"/>
  <c r="L29" i="13"/>
  <c r="AP32" i="13"/>
  <c r="AP9" i="13"/>
  <c r="AP31" i="13"/>
  <c r="BI9" i="13"/>
  <c r="BJ9" i="13" s="1"/>
  <c r="BH9" i="13"/>
  <c r="AP20" i="13"/>
  <c r="AU9" i="13"/>
  <c r="AV9" i="13" s="1"/>
  <c r="AT9" i="13"/>
  <c r="AP35" i="13"/>
  <c r="AP18" i="13"/>
  <c r="AU18" i="13"/>
  <c r="AT18" i="13"/>
  <c r="BI18" i="13"/>
  <c r="BH18" i="13"/>
  <c r="U24" i="13"/>
  <c r="U42" i="13"/>
  <c r="Q28" i="13"/>
  <c r="P28" i="13"/>
  <c r="K27" i="13"/>
  <c r="AE28" i="13"/>
  <c r="AD28" i="13"/>
  <c r="L28" i="13"/>
  <c r="V24" i="13"/>
  <c r="V42" i="13"/>
  <c r="I42" i="13"/>
  <c r="I24" i="13"/>
  <c r="L17" i="13"/>
  <c r="AE17" i="13"/>
  <c r="AD17" i="13"/>
  <c r="P17" i="13"/>
  <c r="Q17" i="13"/>
  <c r="AE9" i="13"/>
  <c r="AF9" i="13" s="1"/>
  <c r="P9" i="13"/>
  <c r="Q9" i="13"/>
  <c r="R9" i="13" s="1"/>
  <c r="L32" i="13"/>
  <c r="K11" i="13"/>
  <c r="L9" i="13"/>
  <c r="L31" i="13"/>
  <c r="AD9" i="13"/>
  <c r="W24" i="13"/>
  <c r="W42" i="13"/>
  <c r="BB24" i="13"/>
  <c r="BB42" i="13"/>
  <c r="T24" i="13"/>
  <c r="BC26" i="13"/>
  <c r="BI17" i="13"/>
  <c r="AU17" i="13"/>
  <c r="AP17" i="13"/>
  <c r="AT17" i="13"/>
  <c r="BH17" i="13"/>
  <c r="AA42" i="13"/>
  <c r="AA24" i="13"/>
  <c r="BD42" i="13"/>
  <c r="BD24" i="13"/>
  <c r="AC21" i="13"/>
  <c r="AD21" i="13"/>
  <c r="AC30" i="13"/>
  <c r="AI24" i="13"/>
  <c r="BI15" i="13"/>
  <c r="BG15" i="13"/>
  <c r="AT21" i="13"/>
  <c r="AU21" i="13"/>
  <c r="BI21" i="13"/>
  <c r="BH21" i="13"/>
  <c r="AP21" i="13"/>
  <c r="AC25" i="13"/>
  <c r="E24" i="13"/>
  <c r="AJ24" i="13"/>
  <c r="AJ42" i="13"/>
  <c r="BH15" i="13"/>
  <c r="AU30" i="13"/>
  <c r="AT30" i="13"/>
  <c r="AU34" i="13"/>
  <c r="AT34" i="13"/>
  <c r="AO33" i="13"/>
  <c r="L14" i="13"/>
  <c r="BG20" i="13"/>
  <c r="AP28" i="13"/>
  <c r="H13" i="13"/>
  <c r="BH20" i="13"/>
  <c r="Y9" i="13"/>
  <c r="Y11" i="13" s="1"/>
  <c r="Y19" i="13" s="1"/>
  <c r="Y24" i="13" s="1"/>
  <c r="BG28" i="13"/>
  <c r="BI34" i="13"/>
  <c r="BG25" i="13"/>
  <c r="AD35" i="13"/>
  <c r="L35" i="13"/>
  <c r="AE35" i="13"/>
  <c r="N42" i="13"/>
  <c r="O42" i="13" s="1"/>
  <c r="Z19" i="13"/>
  <c r="AL13" i="13"/>
  <c r="BK15" i="13"/>
  <c r="BL15" i="13" s="1"/>
  <c r="BI25" i="13"/>
  <c r="L30" i="13"/>
  <c r="AE30" i="13"/>
  <c r="AD30" i="13"/>
  <c r="Q30" i="13"/>
  <c r="P30" i="13"/>
  <c r="BA36" i="13"/>
  <c r="BA42" i="13"/>
  <c r="AC22" i="13"/>
  <c r="X24" i="13"/>
  <c r="AO10" i="13"/>
  <c r="AD16" i="13"/>
  <c r="AP34" i="13"/>
  <c r="BG30" i="13"/>
  <c r="G42" i="13"/>
  <c r="H9" i="13"/>
  <c r="H11" i="13" s="1"/>
  <c r="AO14" i="13"/>
  <c r="Q25" i="13"/>
  <c r="P25" i="13"/>
  <c r="L25" i="13"/>
  <c r="K34" i="13"/>
  <c r="H33" i="13"/>
  <c r="P35" i="13"/>
  <c r="AY24" i="13"/>
  <c r="AY42" i="13"/>
  <c r="N26" i="13"/>
  <c r="O26" i="13" s="1"/>
  <c r="N36" i="13"/>
  <c r="Q14" i="13"/>
  <c r="K13" i="13"/>
  <c r="BF14" i="13"/>
  <c r="AP30" i="13"/>
  <c r="BH25" i="13"/>
  <c r="AU25" i="13"/>
  <c r="AC37" i="13"/>
  <c r="BG9" i="13"/>
  <c r="BG32" i="13"/>
  <c r="BG31" i="13"/>
  <c r="P15" i="13"/>
  <c r="AE10" i="13"/>
  <c r="P10" i="13"/>
  <c r="L10" i="13"/>
  <c r="AE14" i="13"/>
  <c r="Q15" i="13"/>
  <c r="AE16" i="13"/>
  <c r="P16" i="13"/>
  <c r="L16" i="13"/>
  <c r="BG17" i="13"/>
  <c r="Q35" i="13"/>
  <c r="AB27" i="13"/>
  <c r="AC27" i="13" s="1"/>
  <c r="AC35" i="13"/>
  <c r="AC10" i="13"/>
  <c r="L18" i="13"/>
  <c r="AZ24" i="13"/>
  <c r="AZ42" i="13"/>
  <c r="Y27" i="13"/>
  <c r="AC28" i="13"/>
  <c r="AB34" i="13"/>
  <c r="AD37" i="13"/>
  <c r="L37" i="13"/>
  <c r="AE37" i="13"/>
  <c r="BG11" i="13"/>
  <c r="BI35" i="13"/>
  <c r="AU35" i="13"/>
  <c r="AT35" i="13"/>
  <c r="O41" i="13"/>
  <c r="N40" i="13"/>
  <c r="O40" i="13" s="1"/>
  <c r="AC17" i="13"/>
  <c r="BE24" i="13"/>
  <c r="AS11" i="13"/>
  <c r="AR19" i="13"/>
  <c r="P14" i="13"/>
  <c r="AD18" i="13"/>
  <c r="O19" i="13"/>
  <c r="BH30" i="13"/>
  <c r="BF33" i="13"/>
  <c r="BG33" i="13" s="1"/>
  <c r="BG34" i="13"/>
  <c r="BI37" i="13"/>
  <c r="AU37" i="13"/>
  <c r="AT37" i="13"/>
  <c r="AB13" i="13"/>
  <c r="AC13" i="13" s="1"/>
  <c r="AC14" i="13"/>
  <c r="AE18" i="13"/>
  <c r="AE21" i="13"/>
  <c r="P21" i="13"/>
  <c r="L21" i="13"/>
  <c r="AT25" i="13"/>
  <c r="BF27" i="13"/>
  <c r="BG27" i="13" s="1"/>
  <c r="BG29" i="13"/>
  <c r="BI30" i="13"/>
  <c r="BH34" i="13"/>
  <c r="BH35" i="13"/>
  <c r="AP37" i="13"/>
  <c r="O11" i="13"/>
  <c r="AP15" i="13"/>
  <c r="BC27" i="13"/>
  <c r="BC36" i="13" s="1"/>
  <c r="BH28" i="13"/>
  <c r="AO29" i="13"/>
  <c r="BI28" i="13"/>
  <c r="H19" i="13" l="1"/>
  <c r="H24" i="13" s="1"/>
  <c r="H26" i="13" s="1"/>
  <c r="H38" i="13" s="1"/>
  <c r="AY36" i="13"/>
  <c r="AY26" i="13"/>
  <c r="AY38" i="13" s="1"/>
  <c r="AU10" i="13"/>
  <c r="AT10" i="13"/>
  <c r="BI10" i="13"/>
  <c r="BH10" i="13"/>
  <c r="AP10" i="13"/>
  <c r="J26" i="13"/>
  <c r="J38" i="13" s="1"/>
  <c r="J36" i="13"/>
  <c r="X36" i="13"/>
  <c r="X26" i="13"/>
  <c r="X38" i="13" s="1"/>
  <c r="AU33" i="13"/>
  <c r="AP33" i="13"/>
  <c r="AT33" i="13"/>
  <c r="BI33" i="13"/>
  <c r="BH33" i="13"/>
  <c r="T26" i="13"/>
  <c r="T38" i="13" s="1"/>
  <c r="T36" i="13"/>
  <c r="U36" i="13"/>
  <c r="U26" i="13"/>
  <c r="U38" i="13" s="1"/>
  <c r="BD36" i="13"/>
  <c r="BD26" i="13"/>
  <c r="BD38" i="13" s="1"/>
  <c r="BB26" i="13"/>
  <c r="BB38" i="13" s="1"/>
  <c r="BB36" i="13"/>
  <c r="L34" i="13"/>
  <c r="AE34" i="13"/>
  <c r="AD34" i="13"/>
  <c r="Q34" i="13"/>
  <c r="P34" i="13"/>
  <c r="K33" i="13"/>
  <c r="AA36" i="13"/>
  <c r="AA26" i="13"/>
  <c r="AA38" i="13" s="1"/>
  <c r="W36" i="13"/>
  <c r="W26" i="13"/>
  <c r="W38" i="13" s="1"/>
  <c r="I26" i="13"/>
  <c r="I38" i="13" s="1"/>
  <c r="I36" i="13"/>
  <c r="AN36" i="13"/>
  <c r="AN26" i="13"/>
  <c r="AN38" i="13" s="1"/>
  <c r="AC11" i="13"/>
  <c r="AB19" i="13"/>
  <c r="AC34" i="13"/>
  <c r="AB33" i="13"/>
  <c r="AC33" i="13" s="1"/>
  <c r="BG14" i="13"/>
  <c r="BF13" i="13"/>
  <c r="BI14" i="13"/>
  <c r="BH14" i="13"/>
  <c r="AU14" i="13"/>
  <c r="AT14" i="13"/>
  <c r="AO13" i="13"/>
  <c r="AP14" i="13"/>
  <c r="Y26" i="13"/>
  <c r="Y36" i="13"/>
  <c r="V36" i="13"/>
  <c r="V26" i="13"/>
  <c r="V38" i="13" s="1"/>
  <c r="AM36" i="13"/>
  <c r="AM26" i="13"/>
  <c r="AM38" i="13" s="1"/>
  <c r="AR42" i="13"/>
  <c r="AS42" i="13" s="1"/>
  <c r="AS19" i="13"/>
  <c r="AR24" i="13"/>
  <c r="Q13" i="13"/>
  <c r="AD13" i="13"/>
  <c r="P13" i="13"/>
  <c r="L13" i="13"/>
  <c r="AE13" i="13"/>
  <c r="H36" i="13"/>
  <c r="AJ26" i="13"/>
  <c r="AJ38" i="13" s="1"/>
  <c r="AJ36" i="13"/>
  <c r="L11" i="13"/>
  <c r="AE11" i="13"/>
  <c r="AF11" i="13" s="1"/>
  <c r="P11" i="13"/>
  <c r="AD11" i="13"/>
  <c r="K19" i="13"/>
  <c r="Q11" i="13"/>
  <c r="R11" i="13" s="1"/>
  <c r="AO11" i="13"/>
  <c r="AX36" i="13"/>
  <c r="AX26" i="13"/>
  <c r="AX38" i="13" s="1"/>
  <c r="AP29" i="13"/>
  <c r="AU29" i="13"/>
  <c r="AT29" i="13"/>
  <c r="BH29" i="13"/>
  <c r="AO27" i="13"/>
  <c r="BI29" i="13"/>
  <c r="BE36" i="13"/>
  <c r="BE26" i="13"/>
  <c r="BE38" i="13" s="1"/>
  <c r="O36" i="13"/>
  <c r="N38" i="13"/>
  <c r="O38" i="13" s="1"/>
  <c r="E36" i="13"/>
  <c r="E26" i="13"/>
  <c r="E38" i="13" s="1"/>
  <c r="AL36" i="13"/>
  <c r="AL26" i="13"/>
  <c r="AL38" i="13" s="1"/>
  <c r="AZ26" i="13"/>
  <c r="AZ38" i="13" s="1"/>
  <c r="AZ36" i="13"/>
  <c r="AD27" i="13"/>
  <c r="L27" i="13"/>
  <c r="P27" i="13"/>
  <c r="AE27" i="13"/>
  <c r="AF27" i="13" s="1"/>
  <c r="Q27" i="13"/>
  <c r="F36" i="13"/>
  <c r="F26" i="13"/>
  <c r="F38" i="13" s="1"/>
  <c r="Z42" i="13"/>
  <c r="Z24" i="13"/>
  <c r="AI26" i="13"/>
  <c r="AI38" i="13" s="1"/>
  <c r="AI36" i="13"/>
  <c r="AK26" i="13"/>
  <c r="AK38" i="13" s="1"/>
  <c r="AK36" i="13"/>
  <c r="BC38" i="13" l="1"/>
  <c r="AT13" i="13"/>
  <c r="BI13" i="13"/>
  <c r="AP13" i="13"/>
  <c r="BH13" i="13"/>
  <c r="AU13" i="13"/>
  <c r="AC19" i="13"/>
  <c r="AB24" i="13"/>
  <c r="BI11" i="13"/>
  <c r="BJ11" i="13" s="1"/>
  <c r="BH11" i="13"/>
  <c r="AU11" i="13"/>
  <c r="AV11" i="13" s="1"/>
  <c r="AT11" i="13"/>
  <c r="AO19" i="13"/>
  <c r="AP11" i="13"/>
  <c r="L19" i="13"/>
  <c r="P19" i="13"/>
  <c r="AE19" i="13"/>
  <c r="AF19" i="13" s="1"/>
  <c r="AD19" i="13"/>
  <c r="Q19" i="13"/>
  <c r="R19" i="13" s="1"/>
  <c r="K24" i="13"/>
  <c r="BG13" i="13"/>
  <c r="BF19" i="13"/>
  <c r="AR36" i="13"/>
  <c r="AS24" i="13"/>
  <c r="AR26" i="13"/>
  <c r="AS26" i="13" s="1"/>
  <c r="Z36" i="13"/>
  <c r="Z26" i="13"/>
  <c r="Z38" i="13" s="1"/>
  <c r="AU27" i="13"/>
  <c r="AV27" i="13" s="1"/>
  <c r="BI27" i="13"/>
  <c r="BJ27" i="13" s="1"/>
  <c r="AT27" i="13"/>
  <c r="BH27" i="13"/>
  <c r="AP27" i="13"/>
  <c r="Y38" i="13"/>
  <c r="AE33" i="13"/>
  <c r="AD33" i="13"/>
  <c r="L33" i="13"/>
  <c r="Q33" i="13"/>
  <c r="P33" i="13"/>
  <c r="AP19" i="13" l="1"/>
  <c r="BI19" i="13"/>
  <c r="BJ19" i="13" s="1"/>
  <c r="AT19" i="13"/>
  <c r="BH19" i="13"/>
  <c r="AO24" i="13"/>
  <c r="AU19" i="13"/>
  <c r="AV19" i="13" s="1"/>
  <c r="AS36" i="13"/>
  <c r="AR38" i="13"/>
  <c r="AS38" i="13" s="1"/>
  <c r="BG19" i="13"/>
  <c r="BF24" i="13"/>
  <c r="AC24" i="13"/>
  <c r="AB36" i="13"/>
  <c r="AC36" i="13" s="1"/>
  <c r="AB26" i="13"/>
  <c r="AD24" i="13"/>
  <c r="Q24" i="13"/>
  <c r="R24" i="13" s="1"/>
  <c r="P24" i="13"/>
  <c r="L24" i="13"/>
  <c r="AE24" i="13"/>
  <c r="AF24" i="13" s="1"/>
  <c r="K36" i="13"/>
  <c r="K26" i="13"/>
  <c r="AO26" i="13" l="1"/>
  <c r="BI24" i="13"/>
  <c r="BJ24" i="13" s="1"/>
  <c r="AT24" i="13"/>
  <c r="AO36" i="13"/>
  <c r="AU24" i="13"/>
  <c r="AV24" i="13" s="1"/>
  <c r="AP24" i="13"/>
  <c r="BH24" i="13"/>
  <c r="BF36" i="13"/>
  <c r="BG36" i="13" s="1"/>
  <c r="BG24" i="13"/>
  <c r="BF26" i="13"/>
  <c r="AE26" i="13"/>
  <c r="AF26" i="13" s="1"/>
  <c r="P26" i="13"/>
  <c r="AD26" i="13"/>
  <c r="Q26" i="13"/>
  <c r="R26" i="13" s="1"/>
  <c r="L26" i="13"/>
  <c r="K38" i="13"/>
  <c r="AE36" i="13"/>
  <c r="AD36" i="13"/>
  <c r="L36" i="13"/>
  <c r="Q36" i="13"/>
  <c r="P36" i="13"/>
  <c r="AC26" i="13"/>
  <c r="AB38" i="13"/>
  <c r="AC38" i="13" s="1"/>
  <c r="BG26" i="13" l="1"/>
  <c r="BF38" i="13"/>
  <c r="BG38" i="13" s="1"/>
  <c r="AD38" i="13"/>
  <c r="L38" i="13"/>
  <c r="P38" i="13"/>
  <c r="AE38" i="13"/>
  <c r="AF38" i="13" s="1"/>
  <c r="Q38" i="13"/>
  <c r="R38" i="13" s="1"/>
  <c r="AU36" i="13"/>
  <c r="AP36" i="13"/>
  <c r="BI36" i="13"/>
  <c r="BH36" i="13"/>
  <c r="AT36" i="13"/>
  <c r="AT26" i="13"/>
  <c r="AU26" i="13"/>
  <c r="AV26" i="13" s="1"/>
  <c r="BI26" i="13"/>
  <c r="BJ26" i="13" s="1"/>
  <c r="BH26" i="13"/>
  <c r="AP26" i="13"/>
  <c r="AO38" i="13"/>
  <c r="AU38" i="13" l="1"/>
  <c r="AV38" i="13" s="1"/>
  <c r="BI38" i="13"/>
  <c r="BJ38" i="13" s="1"/>
  <c r="AT38" i="13"/>
  <c r="BH38" i="13"/>
  <c r="AP38" i="13"/>
  <c r="BL15" i="9" l="1"/>
  <c r="BK15" i="9"/>
  <c r="R46" i="12"/>
  <c r="R97" i="12" s="1"/>
  <c r="L46" i="12"/>
  <c r="Q132" i="12"/>
  <c r="P132" i="12"/>
  <c r="O132" i="12"/>
  <c r="O143" i="12" s="1"/>
  <c r="N132" i="12"/>
  <c r="N143" i="12" s="1"/>
  <c r="M132" i="12"/>
  <c r="L132" i="12"/>
  <c r="J132" i="12"/>
  <c r="J143" i="12" s="1"/>
  <c r="I132" i="12"/>
  <c r="I143" i="12" s="1"/>
  <c r="H132" i="12"/>
  <c r="G132" i="12"/>
  <c r="G143" i="12" s="1"/>
  <c r="F132" i="12"/>
  <c r="R131" i="12"/>
  <c r="R142" i="12" s="1"/>
  <c r="Q131" i="12"/>
  <c r="Q142" i="12" s="1"/>
  <c r="P131" i="12"/>
  <c r="O131" i="12"/>
  <c r="O142" i="12" s="1"/>
  <c r="N131" i="12"/>
  <c r="M131" i="12"/>
  <c r="M142" i="12" s="1"/>
  <c r="L131" i="12"/>
  <c r="L142" i="12" s="1"/>
  <c r="J131" i="12"/>
  <c r="J142" i="12" s="1"/>
  <c r="I131" i="12"/>
  <c r="I142" i="12" s="1"/>
  <c r="H131" i="12"/>
  <c r="H142" i="12" s="1"/>
  <c r="G131" i="12"/>
  <c r="G142" i="12" s="1"/>
  <c r="F131" i="12"/>
  <c r="R125" i="12"/>
  <c r="Q125" i="12"/>
  <c r="P125" i="12"/>
  <c r="O125" i="12"/>
  <c r="N125" i="12"/>
  <c r="M125" i="12"/>
  <c r="L125" i="12"/>
  <c r="J125" i="12"/>
  <c r="I125" i="12"/>
  <c r="H125" i="12"/>
  <c r="G125" i="12"/>
  <c r="R124" i="12"/>
  <c r="Q124" i="12"/>
  <c r="P124" i="12"/>
  <c r="O124" i="12"/>
  <c r="N124" i="12"/>
  <c r="M124" i="12"/>
  <c r="L124" i="12"/>
  <c r="J124" i="12"/>
  <c r="I124" i="12"/>
  <c r="H124" i="12"/>
  <c r="G124" i="12"/>
  <c r="F124" i="12"/>
  <c r="I120" i="12"/>
  <c r="F119" i="12"/>
  <c r="Q118" i="12"/>
  <c r="P118" i="12"/>
  <c r="O118" i="12"/>
  <c r="N118" i="12"/>
  <c r="M118" i="12"/>
  <c r="L118" i="12"/>
  <c r="J118" i="12"/>
  <c r="I118" i="12"/>
  <c r="H118" i="12"/>
  <c r="G118" i="12"/>
  <c r="F118" i="12"/>
  <c r="N117" i="12"/>
  <c r="J117" i="12"/>
  <c r="I117" i="12"/>
  <c r="H117" i="12"/>
  <c r="H119" i="12" s="1"/>
  <c r="G117" i="12"/>
  <c r="F117" i="12"/>
  <c r="F121" i="12" s="1"/>
  <c r="R116" i="12"/>
  <c r="R127" i="12" s="1"/>
  <c r="Q116" i="12"/>
  <c r="X116" i="12" s="1"/>
  <c r="P116" i="12"/>
  <c r="P117" i="12" s="1"/>
  <c r="O116" i="12"/>
  <c r="N116" i="12"/>
  <c r="N127" i="12" s="1"/>
  <c r="M116" i="12"/>
  <c r="L116" i="12"/>
  <c r="L117" i="12" s="1"/>
  <c r="L119" i="12" s="1"/>
  <c r="J116" i="12"/>
  <c r="J127" i="12" s="1"/>
  <c r="I116" i="12"/>
  <c r="H116" i="12"/>
  <c r="H127" i="12" s="1"/>
  <c r="G116" i="12"/>
  <c r="G127" i="12" s="1"/>
  <c r="F116" i="12"/>
  <c r="R115" i="12"/>
  <c r="R133" i="12" s="1"/>
  <c r="Q115" i="12"/>
  <c r="P115" i="12"/>
  <c r="O115" i="12"/>
  <c r="N115" i="12"/>
  <c r="M115" i="12"/>
  <c r="W115" i="12" s="1"/>
  <c r="L115" i="12"/>
  <c r="J115" i="12"/>
  <c r="I115" i="12"/>
  <c r="H115" i="12"/>
  <c r="G115" i="12"/>
  <c r="F115" i="12"/>
  <c r="F120" i="12" s="1"/>
  <c r="X114" i="12"/>
  <c r="W114" i="12"/>
  <c r="V114" i="12"/>
  <c r="V125" i="12" s="1"/>
  <c r="U114" i="12"/>
  <c r="R114" i="12"/>
  <c r="R118" i="12" s="1"/>
  <c r="K114" i="12"/>
  <c r="X113" i="12"/>
  <c r="W113" i="12"/>
  <c r="V113" i="12"/>
  <c r="U113" i="12"/>
  <c r="U124" i="12" s="1"/>
  <c r="K113" i="12"/>
  <c r="S113" i="12" s="1"/>
  <c r="Q107" i="12"/>
  <c r="P107" i="12"/>
  <c r="O107" i="12"/>
  <c r="N107" i="12"/>
  <c r="M107" i="12"/>
  <c r="L107" i="12"/>
  <c r="J107" i="12"/>
  <c r="I107" i="12"/>
  <c r="H107" i="12"/>
  <c r="G107" i="12"/>
  <c r="R106" i="12"/>
  <c r="Q106" i="12"/>
  <c r="P106" i="12"/>
  <c r="O106" i="12"/>
  <c r="N106" i="12"/>
  <c r="M106" i="12"/>
  <c r="L106" i="12"/>
  <c r="J106" i="12"/>
  <c r="I106" i="12"/>
  <c r="H106" i="12"/>
  <c r="G106" i="12"/>
  <c r="F106" i="12"/>
  <c r="Q100" i="12"/>
  <c r="P100" i="12"/>
  <c r="O100" i="12"/>
  <c r="N100" i="12"/>
  <c r="M100" i="12"/>
  <c r="L100" i="12"/>
  <c r="J100" i="12"/>
  <c r="I100" i="12"/>
  <c r="H100" i="12"/>
  <c r="G100" i="12"/>
  <c r="F100" i="12"/>
  <c r="I99" i="12"/>
  <c r="H99" i="12"/>
  <c r="H101" i="12" s="1"/>
  <c r="G99" i="12"/>
  <c r="G101" i="12" s="1"/>
  <c r="F99" i="12"/>
  <c r="W96" i="12"/>
  <c r="V96" i="12"/>
  <c r="U96" i="12"/>
  <c r="U100" i="12" s="1"/>
  <c r="R96" i="12"/>
  <c r="K96" i="12"/>
  <c r="X95" i="12"/>
  <c r="W95" i="12"/>
  <c r="V95" i="12"/>
  <c r="U95" i="12"/>
  <c r="K95" i="12"/>
  <c r="S95" i="12" s="1"/>
  <c r="I92" i="12"/>
  <c r="H92" i="12"/>
  <c r="G92" i="12"/>
  <c r="F92" i="12"/>
  <c r="R91" i="12"/>
  <c r="Q91" i="12"/>
  <c r="P91" i="12"/>
  <c r="O91" i="12"/>
  <c r="N91" i="12"/>
  <c r="M91" i="12"/>
  <c r="L91" i="12"/>
  <c r="J91" i="12"/>
  <c r="I91" i="12"/>
  <c r="H91" i="12"/>
  <c r="G91" i="12"/>
  <c r="F91" i="12"/>
  <c r="Q90" i="12"/>
  <c r="P90" i="12"/>
  <c r="O90" i="12"/>
  <c r="N90" i="12"/>
  <c r="M90" i="12"/>
  <c r="L90" i="12"/>
  <c r="J90" i="12"/>
  <c r="I90" i="12"/>
  <c r="H90" i="12"/>
  <c r="G90" i="12"/>
  <c r="F90" i="12"/>
  <c r="R89" i="12"/>
  <c r="Q89" i="12"/>
  <c r="P89" i="12"/>
  <c r="O89" i="12"/>
  <c r="N89" i="12"/>
  <c r="M89" i="12"/>
  <c r="L89" i="12"/>
  <c r="J89" i="12"/>
  <c r="I89" i="12"/>
  <c r="H89" i="12"/>
  <c r="G89" i="12"/>
  <c r="F89" i="12"/>
  <c r="J86" i="12"/>
  <c r="I86" i="12"/>
  <c r="H86" i="12"/>
  <c r="G86" i="12"/>
  <c r="F86" i="12"/>
  <c r="J85" i="12"/>
  <c r="I85" i="12"/>
  <c r="H85" i="12"/>
  <c r="G85" i="12"/>
  <c r="F85" i="12"/>
  <c r="R84" i="12"/>
  <c r="Q84" i="12"/>
  <c r="P84" i="12"/>
  <c r="O84" i="12"/>
  <c r="N84" i="12"/>
  <c r="M84" i="12"/>
  <c r="L84" i="12"/>
  <c r="J84" i="12"/>
  <c r="I84" i="12"/>
  <c r="H84" i="12"/>
  <c r="G84" i="12"/>
  <c r="F84" i="12"/>
  <c r="U83" i="12"/>
  <c r="U85" i="12" s="1"/>
  <c r="R83" i="12"/>
  <c r="R86" i="12" s="1"/>
  <c r="Q83" i="12"/>
  <c r="Q86" i="12" s="1"/>
  <c r="P83" i="12"/>
  <c r="O83" i="12"/>
  <c r="O86" i="12" s="1"/>
  <c r="N83" i="12"/>
  <c r="N85" i="12" s="1"/>
  <c r="M83" i="12"/>
  <c r="L83" i="12"/>
  <c r="L85" i="12" s="1"/>
  <c r="K83" i="12"/>
  <c r="X82" i="12"/>
  <c r="X91" i="12" s="1"/>
  <c r="W82" i="12"/>
  <c r="V82" i="12"/>
  <c r="U82" i="12"/>
  <c r="K82" i="12"/>
  <c r="S82" i="12" s="1"/>
  <c r="X81" i="12"/>
  <c r="X84" i="12" s="1"/>
  <c r="W81" i="12"/>
  <c r="V81" i="12"/>
  <c r="U81" i="12"/>
  <c r="K81" i="12"/>
  <c r="K85" i="12" s="1"/>
  <c r="X80" i="12"/>
  <c r="X89" i="12" s="1"/>
  <c r="W80" i="12"/>
  <c r="V80" i="12"/>
  <c r="U80" i="12"/>
  <c r="S80" i="12"/>
  <c r="K80" i="12"/>
  <c r="I77" i="12"/>
  <c r="R76" i="12"/>
  <c r="Q76" i="12"/>
  <c r="P76" i="12"/>
  <c r="O76" i="12"/>
  <c r="N76" i="12"/>
  <c r="M76" i="12"/>
  <c r="L76" i="12"/>
  <c r="J76" i="12"/>
  <c r="I76" i="12"/>
  <c r="H76" i="12"/>
  <c r="G76" i="12"/>
  <c r="F76" i="12"/>
  <c r="Q74" i="12"/>
  <c r="P74" i="12"/>
  <c r="O74" i="12"/>
  <c r="N74" i="12"/>
  <c r="M74" i="12"/>
  <c r="L74" i="12"/>
  <c r="J74" i="12"/>
  <c r="I74" i="12"/>
  <c r="H74" i="12"/>
  <c r="G74" i="12"/>
  <c r="F74" i="12"/>
  <c r="R73" i="12"/>
  <c r="Q73" i="12"/>
  <c r="P73" i="12"/>
  <c r="O73" i="12"/>
  <c r="N73" i="12"/>
  <c r="M73" i="12"/>
  <c r="L73" i="12"/>
  <c r="J73" i="12"/>
  <c r="I73" i="12"/>
  <c r="H73" i="12"/>
  <c r="G73" i="12"/>
  <c r="F73" i="12"/>
  <c r="O70" i="12"/>
  <c r="J70" i="12"/>
  <c r="I70" i="12"/>
  <c r="H70" i="12"/>
  <c r="G70" i="12"/>
  <c r="F70" i="12"/>
  <c r="R69" i="12"/>
  <c r="J69" i="12"/>
  <c r="I69" i="12"/>
  <c r="H69" i="12"/>
  <c r="G69" i="12"/>
  <c r="F69" i="12"/>
  <c r="Q68" i="12"/>
  <c r="O68" i="12"/>
  <c r="J68" i="12"/>
  <c r="I68" i="12"/>
  <c r="H68" i="12"/>
  <c r="G68" i="12"/>
  <c r="F68" i="12"/>
  <c r="R67" i="12"/>
  <c r="Q67" i="12"/>
  <c r="P67" i="12"/>
  <c r="O67" i="12"/>
  <c r="N67" i="12"/>
  <c r="M67" i="12"/>
  <c r="L67" i="12"/>
  <c r="J67" i="12"/>
  <c r="I67" i="12"/>
  <c r="H67" i="12"/>
  <c r="G67" i="12"/>
  <c r="F67" i="12"/>
  <c r="V66" i="12"/>
  <c r="V68" i="12" s="1"/>
  <c r="U66" i="12"/>
  <c r="U68" i="12" s="1"/>
  <c r="R66" i="12"/>
  <c r="R70" i="12" s="1"/>
  <c r="Q66" i="12"/>
  <c r="Q70" i="12" s="1"/>
  <c r="P66" i="12"/>
  <c r="P77" i="12" s="1"/>
  <c r="O66" i="12"/>
  <c r="N66" i="12"/>
  <c r="N69" i="12" s="1"/>
  <c r="M66" i="12"/>
  <c r="M69" i="12" s="1"/>
  <c r="L66" i="12"/>
  <c r="L68" i="12" s="1"/>
  <c r="K66" i="12"/>
  <c r="K92" i="12" s="1"/>
  <c r="J92" i="12"/>
  <c r="X65" i="12"/>
  <c r="W65" i="12"/>
  <c r="V65" i="12"/>
  <c r="V76" i="12" s="1"/>
  <c r="U65" i="12"/>
  <c r="K65" i="12"/>
  <c r="X64" i="12"/>
  <c r="W64" i="12"/>
  <c r="V64" i="12"/>
  <c r="U64" i="12"/>
  <c r="K64" i="12"/>
  <c r="S64" i="12" s="1"/>
  <c r="W63" i="12"/>
  <c r="V63" i="12"/>
  <c r="U63" i="12"/>
  <c r="U74" i="12" s="1"/>
  <c r="R63" i="12"/>
  <c r="K63" i="12"/>
  <c r="X62" i="12"/>
  <c r="X73" i="12" s="1"/>
  <c r="W62" i="12"/>
  <c r="V62" i="12"/>
  <c r="U62" i="12"/>
  <c r="K62" i="12"/>
  <c r="I59" i="12"/>
  <c r="Q56" i="12"/>
  <c r="P56" i="12"/>
  <c r="O56" i="12"/>
  <c r="N56" i="12"/>
  <c r="M56" i="12"/>
  <c r="L56" i="12"/>
  <c r="J56" i="12"/>
  <c r="I56" i="12"/>
  <c r="H56" i="12"/>
  <c r="G56" i="12"/>
  <c r="F56" i="12"/>
  <c r="R55" i="12"/>
  <c r="Q55" i="12"/>
  <c r="P55" i="12"/>
  <c r="O55" i="12"/>
  <c r="N55" i="12"/>
  <c r="M55" i="12"/>
  <c r="L55" i="12"/>
  <c r="J55" i="12"/>
  <c r="I55" i="12"/>
  <c r="H55" i="12"/>
  <c r="G55" i="12"/>
  <c r="F55" i="12"/>
  <c r="H52" i="12"/>
  <c r="G52" i="12"/>
  <c r="I50" i="12"/>
  <c r="H50" i="12"/>
  <c r="G50" i="12"/>
  <c r="F50" i="12"/>
  <c r="Q49" i="12"/>
  <c r="P49" i="12"/>
  <c r="O49" i="12"/>
  <c r="N49" i="12"/>
  <c r="M49" i="12"/>
  <c r="L49" i="12"/>
  <c r="J49" i="12"/>
  <c r="I49" i="12"/>
  <c r="H49" i="12"/>
  <c r="G49" i="12"/>
  <c r="F49" i="12"/>
  <c r="U48" i="12"/>
  <c r="K48" i="12"/>
  <c r="R47" i="12"/>
  <c r="R98" i="12" s="1"/>
  <c r="Q47" i="12"/>
  <c r="Q48" i="12" s="1"/>
  <c r="Q52" i="12" s="1"/>
  <c r="P47" i="12"/>
  <c r="O47" i="12"/>
  <c r="O98" i="12" s="1"/>
  <c r="O99" i="12" s="1"/>
  <c r="N47" i="12"/>
  <c r="N58" i="12" s="1"/>
  <c r="M47" i="12"/>
  <c r="M58" i="12" s="1"/>
  <c r="L47" i="12"/>
  <c r="L48" i="12" s="1"/>
  <c r="L50" i="12" s="1"/>
  <c r="J47" i="12"/>
  <c r="J58" i="12" s="1"/>
  <c r="I47" i="12"/>
  <c r="H47" i="12"/>
  <c r="H58" i="12" s="1"/>
  <c r="G47" i="12"/>
  <c r="G98" i="12" s="1"/>
  <c r="G109" i="12" s="1"/>
  <c r="F47" i="12"/>
  <c r="F98" i="12" s="1"/>
  <c r="F109" i="12" s="1"/>
  <c r="Q46" i="12"/>
  <c r="Q97" i="12" s="1"/>
  <c r="P46" i="12"/>
  <c r="P97" i="12" s="1"/>
  <c r="O46" i="12"/>
  <c r="N46" i="12"/>
  <c r="M46" i="12"/>
  <c r="J46" i="12"/>
  <c r="J97" i="12" s="1"/>
  <c r="J133" i="12" s="1"/>
  <c r="I46" i="12"/>
  <c r="I51" i="12" s="1"/>
  <c r="H46" i="12"/>
  <c r="G46" i="12"/>
  <c r="F46" i="12"/>
  <c r="W45" i="12"/>
  <c r="W49" i="12" s="1"/>
  <c r="V45" i="12"/>
  <c r="U45" i="12"/>
  <c r="U56" i="12" s="1"/>
  <c r="R45" i="12"/>
  <c r="R49" i="12" s="1"/>
  <c r="K45" i="12"/>
  <c r="X44" i="12"/>
  <c r="W44" i="12"/>
  <c r="V44" i="12"/>
  <c r="U44" i="12"/>
  <c r="K44" i="12"/>
  <c r="K49" i="12" s="1"/>
  <c r="O41" i="12"/>
  <c r="M41" i="12"/>
  <c r="P39" i="12"/>
  <c r="L39" i="12"/>
  <c r="X38" i="12"/>
  <c r="R38" i="12"/>
  <c r="Q38" i="12"/>
  <c r="P38" i="12"/>
  <c r="O38" i="12"/>
  <c r="N38" i="12"/>
  <c r="M38" i="12"/>
  <c r="L38" i="12"/>
  <c r="J38" i="12"/>
  <c r="I38" i="12"/>
  <c r="H38" i="12"/>
  <c r="G38" i="12"/>
  <c r="F38" i="12"/>
  <c r="R37" i="12"/>
  <c r="R39" i="12" s="1"/>
  <c r="Q37" i="12"/>
  <c r="Q41" i="12" s="1"/>
  <c r="P37" i="12"/>
  <c r="P41" i="12" s="1"/>
  <c r="O37" i="12"/>
  <c r="O39" i="12" s="1"/>
  <c r="N37" i="12"/>
  <c r="N41" i="12" s="1"/>
  <c r="M37" i="12"/>
  <c r="M39" i="12" s="1"/>
  <c r="L37" i="12"/>
  <c r="L41" i="12" s="1"/>
  <c r="J37" i="12"/>
  <c r="J39" i="12" s="1"/>
  <c r="I37" i="12"/>
  <c r="I41" i="12" s="1"/>
  <c r="F37" i="12"/>
  <c r="F41" i="12" s="1"/>
  <c r="X36" i="12"/>
  <c r="W36" i="12"/>
  <c r="V36" i="12"/>
  <c r="U36" i="12"/>
  <c r="K36" i="12"/>
  <c r="S36" i="12" s="1"/>
  <c r="H35" i="12"/>
  <c r="G35" i="12"/>
  <c r="G126" i="12" s="1"/>
  <c r="X34" i="12"/>
  <c r="W34" i="12"/>
  <c r="V34" i="12"/>
  <c r="U34" i="12"/>
  <c r="U38" i="12" s="1"/>
  <c r="K34" i="12"/>
  <c r="S34" i="12" s="1"/>
  <c r="F34" i="12"/>
  <c r="X33" i="12"/>
  <c r="W33" i="12"/>
  <c r="V33" i="12"/>
  <c r="U33" i="12"/>
  <c r="K33" i="12"/>
  <c r="I30" i="12"/>
  <c r="Q29" i="12"/>
  <c r="P29" i="12"/>
  <c r="L29" i="12"/>
  <c r="I28" i="12"/>
  <c r="R27" i="12"/>
  <c r="Q27" i="12"/>
  <c r="P27" i="12"/>
  <c r="O27" i="12"/>
  <c r="N27" i="12"/>
  <c r="M27" i="12"/>
  <c r="L27" i="12"/>
  <c r="J27" i="12"/>
  <c r="I27" i="12"/>
  <c r="H27" i="12"/>
  <c r="G27" i="12"/>
  <c r="F27" i="12"/>
  <c r="R26" i="12"/>
  <c r="R30" i="12" s="1"/>
  <c r="Q26" i="12"/>
  <c r="Q30" i="12" s="1"/>
  <c r="P26" i="12"/>
  <c r="P30" i="12" s="1"/>
  <c r="O26" i="12"/>
  <c r="O28" i="12" s="1"/>
  <c r="N26" i="12"/>
  <c r="M26" i="12"/>
  <c r="M77" i="12" s="1"/>
  <c r="L26" i="12"/>
  <c r="L30" i="12" s="1"/>
  <c r="H26" i="12"/>
  <c r="H28" i="12" s="1"/>
  <c r="G26" i="12"/>
  <c r="G77" i="12" s="1"/>
  <c r="F26" i="12"/>
  <c r="F28" i="12" s="1"/>
  <c r="X25" i="12"/>
  <c r="X76" i="12" s="1"/>
  <c r="W25" i="12"/>
  <c r="V25" i="12"/>
  <c r="U25" i="12"/>
  <c r="Y25" i="12" s="1"/>
  <c r="K25" i="12"/>
  <c r="S25" i="12" s="1"/>
  <c r="R24" i="12"/>
  <c r="Q24" i="12"/>
  <c r="Q35" i="12" s="1"/>
  <c r="P24" i="12"/>
  <c r="X24" i="12" s="1"/>
  <c r="O24" i="12"/>
  <c r="O75" i="12" s="1"/>
  <c r="N24" i="12"/>
  <c r="M24" i="12"/>
  <c r="M75" i="12" s="1"/>
  <c r="L24" i="12"/>
  <c r="L75" i="12" s="1"/>
  <c r="J24" i="12"/>
  <c r="J35" i="12" s="1"/>
  <c r="I24" i="12"/>
  <c r="I35" i="12" s="1"/>
  <c r="H24" i="12"/>
  <c r="H75" i="12" s="1"/>
  <c r="G24" i="12"/>
  <c r="G75" i="12" s="1"/>
  <c r="F24" i="12"/>
  <c r="X23" i="12"/>
  <c r="W23" i="12"/>
  <c r="V23" i="12"/>
  <c r="V74" i="12" s="1"/>
  <c r="U23" i="12"/>
  <c r="K23" i="12"/>
  <c r="X22" i="12"/>
  <c r="W22" i="12"/>
  <c r="W73" i="12" s="1"/>
  <c r="V22" i="12"/>
  <c r="V55" i="12" s="1"/>
  <c r="U22" i="12"/>
  <c r="K22" i="12"/>
  <c r="S22" i="12" s="1"/>
  <c r="I19" i="12"/>
  <c r="H19" i="12"/>
  <c r="G19" i="12"/>
  <c r="F19" i="12"/>
  <c r="J18" i="12"/>
  <c r="I18" i="12"/>
  <c r="H18" i="12"/>
  <c r="G18" i="12"/>
  <c r="F18" i="12"/>
  <c r="M17" i="12"/>
  <c r="J17" i="12"/>
  <c r="I17" i="12"/>
  <c r="H17" i="12"/>
  <c r="G17" i="12"/>
  <c r="F17" i="12"/>
  <c r="R16" i="12"/>
  <c r="Q16" i="12"/>
  <c r="P16" i="12"/>
  <c r="O16" i="12"/>
  <c r="N16" i="12"/>
  <c r="M16" i="12"/>
  <c r="L16" i="12"/>
  <c r="J16" i="12"/>
  <c r="I16" i="12"/>
  <c r="H16" i="12"/>
  <c r="G16" i="12"/>
  <c r="F16" i="12"/>
  <c r="U15" i="12"/>
  <c r="U17" i="12" s="1"/>
  <c r="R15" i="12"/>
  <c r="R19" i="12" s="1"/>
  <c r="Q15" i="12"/>
  <c r="Q18" i="12" s="1"/>
  <c r="P15" i="12"/>
  <c r="P19" i="12" s="1"/>
  <c r="O15" i="12"/>
  <c r="O19" i="12" s="1"/>
  <c r="N15" i="12"/>
  <c r="N19" i="12" s="1"/>
  <c r="M15" i="12"/>
  <c r="M19" i="12" s="1"/>
  <c r="L15" i="12"/>
  <c r="L17" i="12" s="1"/>
  <c r="K15" i="12"/>
  <c r="J19" i="12"/>
  <c r="X14" i="12"/>
  <c r="W14" i="12"/>
  <c r="V14" i="12"/>
  <c r="U14" i="12"/>
  <c r="K14" i="12"/>
  <c r="S14" i="12" s="1"/>
  <c r="X13" i="12"/>
  <c r="W13" i="12"/>
  <c r="V13" i="12"/>
  <c r="Y13" i="12" s="1"/>
  <c r="U13" i="12"/>
  <c r="K13" i="12"/>
  <c r="X12" i="12"/>
  <c r="X16" i="12" s="1"/>
  <c r="W12" i="12"/>
  <c r="W16" i="12" s="1"/>
  <c r="V12" i="12"/>
  <c r="Y12" i="12" s="1"/>
  <c r="U12" i="12"/>
  <c r="K12" i="12"/>
  <c r="X11" i="12"/>
  <c r="W11" i="12"/>
  <c r="V11" i="12"/>
  <c r="U11" i="12"/>
  <c r="K11" i="12"/>
  <c r="S11" i="12" s="1"/>
  <c r="AR87" i="11"/>
  <c r="X87" i="11"/>
  <c r="BK87" i="11"/>
  <c r="BL87" i="11" s="1"/>
  <c r="BK86" i="11"/>
  <c r="BL86" i="11" s="1"/>
  <c r="AR86" i="11"/>
  <c r="AW88" i="11"/>
  <c r="AQ88" i="11"/>
  <c r="X85" i="11"/>
  <c r="F88" i="11"/>
  <c r="BK83" i="11"/>
  <c r="BL83" i="11" s="1"/>
  <c r="AR83" i="11"/>
  <c r="BQ82" i="11"/>
  <c r="BK82" i="11"/>
  <c r="AR82" i="11"/>
  <c r="BQ81" i="11"/>
  <c r="BK81" i="11"/>
  <c r="K80" i="11"/>
  <c r="AQ80" i="11"/>
  <c r="W80" i="11"/>
  <c r="AR79" i="11"/>
  <c r="K77" i="11"/>
  <c r="F77" i="11"/>
  <c r="AR77" i="11"/>
  <c r="AQ77" i="11"/>
  <c r="BQ76" i="11"/>
  <c r="AR76" i="11"/>
  <c r="BK76" i="11"/>
  <c r="BL76" i="11" s="1"/>
  <c r="X76" i="11"/>
  <c r="AR75" i="11"/>
  <c r="BQ75" i="11"/>
  <c r="X75" i="11"/>
  <c r="BQ74" i="11"/>
  <c r="BQ73" i="11"/>
  <c r="BK73" i="11"/>
  <c r="BK72" i="11"/>
  <c r="BQ72" i="11"/>
  <c r="BL71" i="11"/>
  <c r="BK71" i="11"/>
  <c r="AR71" i="11"/>
  <c r="BQ71" i="11"/>
  <c r="X71" i="11"/>
  <c r="BK70" i="11"/>
  <c r="BL70" i="11" s="1"/>
  <c r="AR70" i="11"/>
  <c r="X70" i="11"/>
  <c r="BQ69" i="11"/>
  <c r="K68" i="11"/>
  <c r="AW68" i="11"/>
  <c r="AQ68" i="11"/>
  <c r="AC68" i="11"/>
  <c r="AR66" i="11"/>
  <c r="AR64" i="11"/>
  <c r="AR63" i="11"/>
  <c r="BK62" i="11"/>
  <c r="BL62" i="11" s="1"/>
  <c r="AR62" i="11"/>
  <c r="AR61" i="11"/>
  <c r="BQ61" i="11"/>
  <c r="F60" i="11"/>
  <c r="AQ60" i="11"/>
  <c r="AQ59" i="11" s="1"/>
  <c r="AC60" i="11"/>
  <c r="AC59" i="11" s="1"/>
  <c r="K60" i="11"/>
  <c r="K59" i="11" s="1"/>
  <c r="AR58" i="11"/>
  <c r="BK58" i="11"/>
  <c r="BL58" i="11" s="1"/>
  <c r="BK57" i="11"/>
  <c r="BL57" i="11" s="1"/>
  <c r="X56" i="11"/>
  <c r="AR55" i="11"/>
  <c r="BK54" i="11"/>
  <c r="BL54" i="11" s="1"/>
  <c r="BQ54" i="11"/>
  <c r="X54" i="11"/>
  <c r="AW52" i="11"/>
  <c r="BK53" i="11"/>
  <c r="BQ53" i="11"/>
  <c r="F52" i="11"/>
  <c r="AC52" i="11"/>
  <c r="K52" i="11"/>
  <c r="AR49" i="11"/>
  <c r="BK49" i="11"/>
  <c r="BL49" i="11" s="1"/>
  <c r="F46" i="11"/>
  <c r="BL48" i="11"/>
  <c r="AR48" i="11"/>
  <c r="BQ48" i="11"/>
  <c r="X48" i="11"/>
  <c r="BK48" i="11"/>
  <c r="BQ47" i="11"/>
  <c r="BL47" i="11"/>
  <c r="AR47" i="11"/>
  <c r="AC46" i="11"/>
  <c r="BK47" i="11"/>
  <c r="AW46" i="11"/>
  <c r="AQ46" i="11"/>
  <c r="AR46" i="11" s="1"/>
  <c r="W46" i="11"/>
  <c r="X46" i="11" s="1"/>
  <c r="K46" i="11"/>
  <c r="AR45" i="11"/>
  <c r="BQ45" i="11"/>
  <c r="AR44" i="11"/>
  <c r="AC42" i="11"/>
  <c r="AW42" i="11"/>
  <c r="AR43" i="11"/>
  <c r="BQ43" i="11"/>
  <c r="X43" i="11"/>
  <c r="BK43" i="11"/>
  <c r="K42" i="11"/>
  <c r="F42" i="11"/>
  <c r="AR41" i="11"/>
  <c r="X41" i="11"/>
  <c r="K40" i="11"/>
  <c r="AC40" i="11"/>
  <c r="W40" i="11"/>
  <c r="F40" i="11"/>
  <c r="AR39" i="11"/>
  <c r="BQ39" i="11"/>
  <c r="X39" i="11"/>
  <c r="BK39" i="11"/>
  <c r="BL39" i="11" s="1"/>
  <c r="AR38" i="11"/>
  <c r="BQ38" i="11"/>
  <c r="AW36" i="11"/>
  <c r="AR37" i="11"/>
  <c r="K36" i="11"/>
  <c r="W36" i="11"/>
  <c r="F36" i="11"/>
  <c r="BQ35" i="11"/>
  <c r="AR35" i="11"/>
  <c r="BQ34" i="11"/>
  <c r="AR33" i="11"/>
  <c r="BQ33" i="11"/>
  <c r="X33" i="11"/>
  <c r="BK32" i="11"/>
  <c r="BL32" i="11" s="1"/>
  <c r="AR32" i="11"/>
  <c r="BQ32" i="11"/>
  <c r="K31" i="11"/>
  <c r="AW31" i="11"/>
  <c r="W31" i="11"/>
  <c r="F31" i="11"/>
  <c r="AW30" i="11"/>
  <c r="AR29" i="11"/>
  <c r="BK28" i="11"/>
  <c r="BL28" i="11" s="1"/>
  <c r="AR28" i="11"/>
  <c r="BQ28" i="11"/>
  <c r="AR27" i="11"/>
  <c r="BK26" i="11"/>
  <c r="BL26" i="11" s="1"/>
  <c r="AR26" i="11"/>
  <c r="BQ26" i="11"/>
  <c r="W21" i="11"/>
  <c r="AR25" i="11"/>
  <c r="BK24" i="11"/>
  <c r="BL24" i="11" s="1"/>
  <c r="AR24" i="11"/>
  <c r="BQ24" i="11"/>
  <c r="AR23" i="11"/>
  <c r="BK22" i="11"/>
  <c r="AR22" i="11"/>
  <c r="AQ21" i="11"/>
  <c r="AC21" i="11"/>
  <c r="K21" i="11"/>
  <c r="F21" i="11"/>
  <c r="AQ20" i="11"/>
  <c r="K20" i="11"/>
  <c r="BK19" i="11"/>
  <c r="BL19" i="11" s="1"/>
  <c r="BQ19" i="11"/>
  <c r="X19" i="11"/>
  <c r="BQ18" i="11"/>
  <c r="X18" i="11"/>
  <c r="BK17" i="11"/>
  <c r="X17" i="11"/>
  <c r="K15" i="11"/>
  <c r="K14" i="11" s="1"/>
  <c r="X16" i="11"/>
  <c r="W15" i="11"/>
  <c r="X15" i="11" s="1"/>
  <c r="F15" i="11"/>
  <c r="W8" i="11"/>
  <c r="AI8" i="11" s="1"/>
  <c r="U8" i="11"/>
  <c r="C3" i="11"/>
  <c r="CC88" i="10"/>
  <c r="CC80" i="10"/>
  <c r="CC77" i="10"/>
  <c r="CC68" i="10"/>
  <c r="CC60" i="10"/>
  <c r="CC59" i="10"/>
  <c r="CC52" i="10"/>
  <c r="CC46" i="10"/>
  <c r="CC42" i="10"/>
  <c r="CC40" i="10"/>
  <c r="CC36" i="10"/>
  <c r="CC31" i="10"/>
  <c r="CC30" i="10"/>
  <c r="CC21" i="10"/>
  <c r="CC20" i="10"/>
  <c r="CC15" i="10"/>
  <c r="C3" i="10"/>
  <c r="AU43" i="9"/>
  <c r="Q43" i="9"/>
  <c r="AS37" i="9"/>
  <c r="AS35" i="9"/>
  <c r="AS34" i="9"/>
  <c r="BI32" i="9"/>
  <c r="BH32" i="9"/>
  <c r="AU32" i="9"/>
  <c r="AT32" i="9"/>
  <c r="AE32" i="9"/>
  <c r="AD32" i="9"/>
  <c r="Q32" i="9"/>
  <c r="P32" i="9"/>
  <c r="BI31" i="9"/>
  <c r="BH31" i="9"/>
  <c r="AU31" i="9"/>
  <c r="AT31" i="9"/>
  <c r="AE31" i="9"/>
  <c r="AD31" i="9"/>
  <c r="Q31" i="9"/>
  <c r="P31" i="9"/>
  <c r="AS30" i="9"/>
  <c r="AS29" i="9"/>
  <c r="AS25" i="9"/>
  <c r="AS22" i="9"/>
  <c r="O22" i="9"/>
  <c r="AS21" i="9"/>
  <c r="O21" i="9"/>
  <c r="AS20" i="9"/>
  <c r="O20" i="9"/>
  <c r="AS18" i="9"/>
  <c r="AS17" i="9"/>
  <c r="O17" i="9"/>
  <c r="AS15" i="9"/>
  <c r="AS14" i="9"/>
  <c r="O14" i="9"/>
  <c r="AS10" i="9"/>
  <c r="O48" i="9"/>
  <c r="AS9" i="9"/>
  <c r="AS31" i="9"/>
  <c r="AH3" i="9"/>
  <c r="X40" i="11" l="1"/>
  <c r="X36" i="11"/>
  <c r="F30" i="11"/>
  <c r="W30" i="11"/>
  <c r="K30" i="11"/>
  <c r="K13" i="11"/>
  <c r="CC14" i="10"/>
  <c r="AR60" i="11"/>
  <c r="Y113" i="12"/>
  <c r="K118" i="12"/>
  <c r="W125" i="12"/>
  <c r="U118" i="12"/>
  <c r="F136" i="12"/>
  <c r="P119" i="12"/>
  <c r="P128" i="12"/>
  <c r="P121" i="12"/>
  <c r="X55" i="12"/>
  <c r="U47" i="12"/>
  <c r="U58" i="12" s="1"/>
  <c r="W67" i="12"/>
  <c r="P75" i="12"/>
  <c r="W90" i="12"/>
  <c r="H98" i="12"/>
  <c r="H134" i="12" s="1"/>
  <c r="H145" i="12" s="1"/>
  <c r="K38" i="12"/>
  <c r="G28" i="12"/>
  <c r="O35" i="12"/>
  <c r="O126" i="12" s="1"/>
  <c r="N17" i="12"/>
  <c r="P35" i="12"/>
  <c r="P40" i="12" s="1"/>
  <c r="Q75" i="12"/>
  <c r="H77" i="12"/>
  <c r="H135" i="12"/>
  <c r="H137" i="12" s="1"/>
  <c r="S15" i="12"/>
  <c r="O17" i="12"/>
  <c r="L28" i="12"/>
  <c r="N86" i="12"/>
  <c r="O92" i="12"/>
  <c r="H121" i="12"/>
  <c r="L127" i="12"/>
  <c r="G59" i="12"/>
  <c r="L77" i="12"/>
  <c r="U91" i="12"/>
  <c r="V83" i="12"/>
  <c r="V86" i="12" s="1"/>
  <c r="X127" i="12"/>
  <c r="P127" i="12"/>
  <c r="Q17" i="12"/>
  <c r="R17" i="12"/>
  <c r="P28" i="12"/>
  <c r="V49" i="12"/>
  <c r="L69" i="12"/>
  <c r="V91" i="12"/>
  <c r="Q19" i="12"/>
  <c r="U73" i="12"/>
  <c r="I29" i="12"/>
  <c r="W56" i="12"/>
  <c r="F52" i="12"/>
  <c r="K89" i="12"/>
  <c r="Q126" i="12"/>
  <c r="U131" i="12"/>
  <c r="U142" i="12" s="1"/>
  <c r="Y82" i="12"/>
  <c r="W118" i="12"/>
  <c r="I121" i="12"/>
  <c r="U69" i="12"/>
  <c r="W89" i="12"/>
  <c r="O85" i="12"/>
  <c r="J121" i="12"/>
  <c r="M136" i="12"/>
  <c r="F30" i="12"/>
  <c r="W76" i="12"/>
  <c r="N18" i="12"/>
  <c r="G30" i="12"/>
  <c r="O18" i="12"/>
  <c r="W24" i="12"/>
  <c r="W75" i="12" s="1"/>
  <c r="W100" i="12"/>
  <c r="Y11" i="12"/>
  <c r="K16" i="12"/>
  <c r="R18" i="12"/>
  <c r="W27" i="12"/>
  <c r="O29" i="12"/>
  <c r="O30" i="12"/>
  <c r="U16" i="12"/>
  <c r="X27" i="12"/>
  <c r="M35" i="12"/>
  <c r="M40" i="12" s="1"/>
  <c r="W55" i="12"/>
  <c r="L70" i="12"/>
  <c r="I75" i="12"/>
  <c r="I97" i="12"/>
  <c r="I108" i="12" s="1"/>
  <c r="R117" i="12"/>
  <c r="I119" i="12"/>
  <c r="X118" i="12"/>
  <c r="L128" i="12"/>
  <c r="H136" i="12"/>
  <c r="K124" i="12"/>
  <c r="V124" i="12"/>
  <c r="X124" i="12"/>
  <c r="S114" i="12"/>
  <c r="S118" i="12" s="1"/>
  <c r="P136" i="12"/>
  <c r="V100" i="12"/>
  <c r="P143" i="12"/>
  <c r="G136" i="12"/>
  <c r="U107" i="12"/>
  <c r="O136" i="12"/>
  <c r="V131" i="12"/>
  <c r="V142" i="12" s="1"/>
  <c r="F143" i="12"/>
  <c r="N136" i="12"/>
  <c r="H143" i="12"/>
  <c r="R57" i="12"/>
  <c r="U46" i="12"/>
  <c r="U51" i="12" s="1"/>
  <c r="O58" i="12"/>
  <c r="O109" i="12"/>
  <c r="N98" i="12"/>
  <c r="N134" i="12" s="1"/>
  <c r="N145" i="12" s="1"/>
  <c r="L58" i="12"/>
  <c r="M48" i="12"/>
  <c r="M50" i="12" s="1"/>
  <c r="N48" i="12"/>
  <c r="N50" i="12" s="1"/>
  <c r="O48" i="12"/>
  <c r="O50" i="12" s="1"/>
  <c r="V48" i="12"/>
  <c r="V50" i="12" s="1"/>
  <c r="I57" i="12"/>
  <c r="Q57" i="12"/>
  <c r="J57" i="12"/>
  <c r="V67" i="12"/>
  <c r="J75" i="12"/>
  <c r="J29" i="12"/>
  <c r="Y114" i="12"/>
  <c r="Y118" i="12" s="1"/>
  <c r="V16" i="12"/>
  <c r="V107" i="12"/>
  <c r="J51" i="12"/>
  <c r="J136" i="12"/>
  <c r="Y36" i="12"/>
  <c r="V106" i="12"/>
  <c r="J108" i="12"/>
  <c r="Y16" i="12"/>
  <c r="Y14" i="12"/>
  <c r="Y33" i="12"/>
  <c r="V56" i="12"/>
  <c r="K86" i="12"/>
  <c r="L57" i="12"/>
  <c r="V46" i="12"/>
  <c r="L97" i="12"/>
  <c r="Y124" i="12"/>
  <c r="S17" i="12"/>
  <c r="S19" i="12"/>
  <c r="R134" i="12"/>
  <c r="R145" i="12" s="1"/>
  <c r="R99" i="12"/>
  <c r="R109" i="12"/>
  <c r="O97" i="12"/>
  <c r="O102" i="12" s="1"/>
  <c r="O57" i="12"/>
  <c r="U18" i="12"/>
  <c r="S45" i="12"/>
  <c r="P133" i="12"/>
  <c r="X97" i="12"/>
  <c r="P98" i="12"/>
  <c r="P58" i="12"/>
  <c r="P48" i="12"/>
  <c r="X47" i="12"/>
  <c r="X58" i="12" s="1"/>
  <c r="M59" i="12"/>
  <c r="M51" i="12"/>
  <c r="J52" i="12"/>
  <c r="P57" i="12"/>
  <c r="Q59" i="12"/>
  <c r="P70" i="12"/>
  <c r="P69" i="12"/>
  <c r="X66" i="12"/>
  <c r="R132" i="12"/>
  <c r="X132" i="12" s="1"/>
  <c r="R107" i="12"/>
  <c r="X96" i="12"/>
  <c r="R100" i="12"/>
  <c r="F101" i="12"/>
  <c r="U99" i="12"/>
  <c r="F135" i="12"/>
  <c r="F103" i="12"/>
  <c r="S13" i="12"/>
  <c r="L18" i="12"/>
  <c r="F75" i="12"/>
  <c r="F35" i="12"/>
  <c r="N75" i="12"/>
  <c r="N35" i="12"/>
  <c r="N126" i="12" s="1"/>
  <c r="S44" i="12"/>
  <c r="S55" i="12" s="1"/>
  <c r="H51" i="12"/>
  <c r="H97" i="12"/>
  <c r="H57" i="12"/>
  <c r="S12" i="12"/>
  <c r="S16" i="12" s="1"/>
  <c r="W15" i="12"/>
  <c r="P17" i="12"/>
  <c r="M18" i="12"/>
  <c r="U19" i="12"/>
  <c r="M29" i="12"/>
  <c r="V37" i="12"/>
  <c r="W38" i="12"/>
  <c r="I40" i="12"/>
  <c r="Q98" i="12"/>
  <c r="Q58" i="12"/>
  <c r="R58" i="12"/>
  <c r="Y64" i="12"/>
  <c r="Y91" i="12" s="1"/>
  <c r="Q77" i="12"/>
  <c r="K100" i="12"/>
  <c r="K106" i="12"/>
  <c r="S96" i="12"/>
  <c r="P120" i="12"/>
  <c r="K18" i="12"/>
  <c r="Q127" i="12"/>
  <c r="Q117" i="12"/>
  <c r="V15" i="12"/>
  <c r="X15" i="12"/>
  <c r="K19" i="12"/>
  <c r="Y22" i="12"/>
  <c r="H59" i="12"/>
  <c r="H37" i="12"/>
  <c r="H30" i="12"/>
  <c r="Q28" i="12"/>
  <c r="X26" i="12"/>
  <c r="Y34" i="12"/>
  <c r="W37" i="12"/>
  <c r="J40" i="12"/>
  <c r="I98" i="12"/>
  <c r="I103" i="12" s="1"/>
  <c r="I58" i="12"/>
  <c r="I52" i="12"/>
  <c r="Q50" i="12"/>
  <c r="Q51" i="12"/>
  <c r="R56" i="12"/>
  <c r="R90" i="12"/>
  <c r="R74" i="12"/>
  <c r="X63" i="12"/>
  <c r="X90" i="12" s="1"/>
  <c r="R68" i="12"/>
  <c r="S63" i="12"/>
  <c r="V90" i="12"/>
  <c r="V84" i="12"/>
  <c r="Q92" i="12"/>
  <c r="Q85" i="12"/>
  <c r="S106" i="12"/>
  <c r="X115" i="12"/>
  <c r="R119" i="12"/>
  <c r="R128" i="12"/>
  <c r="R121" i="12"/>
  <c r="R120" i="12"/>
  <c r="L19" i="12"/>
  <c r="S23" i="12"/>
  <c r="S27" i="12" s="1"/>
  <c r="K74" i="12"/>
  <c r="R28" i="12"/>
  <c r="R77" i="12"/>
  <c r="R41" i="12"/>
  <c r="K46" i="12"/>
  <c r="K51" i="12" s="1"/>
  <c r="H126" i="12"/>
  <c r="U115" i="12"/>
  <c r="K50" i="12"/>
  <c r="J28" i="12"/>
  <c r="J77" i="12"/>
  <c r="J30" i="12"/>
  <c r="N39" i="12"/>
  <c r="R92" i="12"/>
  <c r="R85" i="12"/>
  <c r="J98" i="12"/>
  <c r="K98" i="12" s="1"/>
  <c r="K17" i="12"/>
  <c r="P18" i="12"/>
  <c r="U27" i="12"/>
  <c r="R35" i="12"/>
  <c r="R40" i="12" s="1"/>
  <c r="R75" i="12"/>
  <c r="K26" i="12"/>
  <c r="K59" i="12" s="1"/>
  <c r="K27" i="12"/>
  <c r="R29" i="12"/>
  <c r="M30" i="12"/>
  <c r="O40" i="12"/>
  <c r="X45" i="12"/>
  <c r="Y45" i="12" s="1"/>
  <c r="L52" i="12"/>
  <c r="L51" i="12"/>
  <c r="L59" i="12"/>
  <c r="V47" i="12"/>
  <c r="V58" i="12" s="1"/>
  <c r="R48" i="12"/>
  <c r="K55" i="12"/>
  <c r="K73" i="12"/>
  <c r="S62" i="12"/>
  <c r="X75" i="12"/>
  <c r="V70" i="12"/>
  <c r="V69" i="12"/>
  <c r="K67" i="12"/>
  <c r="W74" i="12"/>
  <c r="Y80" i="12"/>
  <c r="U89" i="12"/>
  <c r="U84" i="12"/>
  <c r="L98" i="12"/>
  <c r="K107" i="12"/>
  <c r="N29" i="12"/>
  <c r="N28" i="12"/>
  <c r="G97" i="12"/>
  <c r="G102" i="12" s="1"/>
  <c r="G51" i="12"/>
  <c r="I135" i="12"/>
  <c r="I110" i="12"/>
  <c r="I101" i="12"/>
  <c r="S124" i="12"/>
  <c r="V27" i="12"/>
  <c r="K24" i="12"/>
  <c r="V26" i="12"/>
  <c r="M28" i="12"/>
  <c r="H29" i="12"/>
  <c r="N30" i="12"/>
  <c r="S33" i="12"/>
  <c r="S38" i="12" s="1"/>
  <c r="F40" i="12"/>
  <c r="F39" i="12"/>
  <c r="Y44" i="12"/>
  <c r="M97" i="12"/>
  <c r="M57" i="12"/>
  <c r="W46" i="12"/>
  <c r="W57" i="12" s="1"/>
  <c r="X46" i="12"/>
  <c r="X57" i="12" s="1"/>
  <c r="W47" i="12"/>
  <c r="W58" i="12" s="1"/>
  <c r="M98" i="12"/>
  <c r="G57" i="12"/>
  <c r="S65" i="12"/>
  <c r="S76" i="12" s="1"/>
  <c r="K76" i="12"/>
  <c r="K70" i="12"/>
  <c r="M70" i="12"/>
  <c r="M68" i="12"/>
  <c r="W66" i="12"/>
  <c r="P68" i="12"/>
  <c r="W84" i="12"/>
  <c r="W106" i="12"/>
  <c r="O103" i="12"/>
  <c r="O110" i="12"/>
  <c r="O101" i="12"/>
  <c r="F110" i="12"/>
  <c r="U116" i="12"/>
  <c r="K116" i="12"/>
  <c r="F127" i="12"/>
  <c r="O117" i="12"/>
  <c r="O135" i="12" s="1"/>
  <c r="O127" i="12"/>
  <c r="U24" i="12"/>
  <c r="W26" i="12"/>
  <c r="L35" i="12"/>
  <c r="L40" i="12" s="1"/>
  <c r="I128" i="12"/>
  <c r="I39" i="12"/>
  <c r="Q39" i="12"/>
  <c r="X37" i="12"/>
  <c r="Q40" i="12"/>
  <c r="J41" i="12"/>
  <c r="K56" i="12"/>
  <c r="J99" i="12"/>
  <c r="J50" i="12"/>
  <c r="J59" i="12"/>
  <c r="V73" i="12"/>
  <c r="Y62" i="12"/>
  <c r="U76" i="12"/>
  <c r="Y65" i="12"/>
  <c r="Y76" i="12" s="1"/>
  <c r="N68" i="12"/>
  <c r="N70" i="12"/>
  <c r="N77" i="12"/>
  <c r="U70" i="12"/>
  <c r="S91" i="12"/>
  <c r="M92" i="12"/>
  <c r="W83" i="12"/>
  <c r="M86" i="12"/>
  <c r="M85" i="12"/>
  <c r="X83" i="12"/>
  <c r="N92" i="12"/>
  <c r="W124" i="12"/>
  <c r="V115" i="12"/>
  <c r="J119" i="12"/>
  <c r="J128" i="12"/>
  <c r="J120" i="12"/>
  <c r="R144" i="12"/>
  <c r="Y23" i="12"/>
  <c r="V24" i="12"/>
  <c r="V75" i="12" s="1"/>
  <c r="U26" i="12"/>
  <c r="U59" i="12" s="1"/>
  <c r="F125" i="12"/>
  <c r="F107" i="12"/>
  <c r="F97" i="12"/>
  <c r="F57" i="12"/>
  <c r="N97" i="12"/>
  <c r="N57" i="12"/>
  <c r="K47" i="12"/>
  <c r="K52" i="12" s="1"/>
  <c r="F51" i="12"/>
  <c r="O77" i="12"/>
  <c r="U67" i="12"/>
  <c r="O69" i="12"/>
  <c r="V89" i="12"/>
  <c r="U106" i="12"/>
  <c r="K125" i="12"/>
  <c r="K115" i="12"/>
  <c r="I127" i="12"/>
  <c r="V116" i="12"/>
  <c r="V127" i="12" s="1"/>
  <c r="N128" i="12"/>
  <c r="N120" i="12"/>
  <c r="N119" i="12"/>
  <c r="N121" i="12"/>
  <c r="N142" i="12"/>
  <c r="W131" i="12"/>
  <c r="W142" i="12" s="1"/>
  <c r="Q143" i="12"/>
  <c r="F59" i="12"/>
  <c r="F77" i="12"/>
  <c r="F29" i="12"/>
  <c r="G37" i="12"/>
  <c r="U37" i="12" s="1"/>
  <c r="U55" i="12"/>
  <c r="Q133" i="12"/>
  <c r="Q144" i="12" s="1"/>
  <c r="Q108" i="12"/>
  <c r="F134" i="12"/>
  <c r="U49" i="12"/>
  <c r="U50" i="12"/>
  <c r="F58" i="12"/>
  <c r="K84" i="12"/>
  <c r="S81" i="12"/>
  <c r="K90" i="12"/>
  <c r="X106" i="12"/>
  <c r="U125" i="12"/>
  <c r="I126" i="12"/>
  <c r="M127" i="12"/>
  <c r="M117" i="12"/>
  <c r="W116" i="12"/>
  <c r="W127" i="12" s="1"/>
  <c r="G120" i="12"/>
  <c r="G119" i="12"/>
  <c r="G128" i="12"/>
  <c r="P142" i="12"/>
  <c r="X131" i="12"/>
  <c r="X142" i="12" s="1"/>
  <c r="I136" i="12"/>
  <c r="G29" i="12"/>
  <c r="V38" i="12"/>
  <c r="G134" i="12"/>
  <c r="G145" i="12" s="1"/>
  <c r="O134" i="12"/>
  <c r="O145" i="12" s="1"/>
  <c r="G58" i="12"/>
  <c r="K69" i="12"/>
  <c r="K68" i="12"/>
  <c r="S66" i="12"/>
  <c r="U90" i="12"/>
  <c r="Y81" i="12"/>
  <c r="W91" i="12"/>
  <c r="P86" i="12"/>
  <c r="P92" i="12"/>
  <c r="P85" i="12"/>
  <c r="Y95" i="12"/>
  <c r="J126" i="12"/>
  <c r="H120" i="12"/>
  <c r="U117" i="12"/>
  <c r="G121" i="12"/>
  <c r="K132" i="12"/>
  <c r="V132" i="12"/>
  <c r="J144" i="12"/>
  <c r="Q136" i="12"/>
  <c r="S83" i="12"/>
  <c r="W107" i="12"/>
  <c r="G135" i="12"/>
  <c r="G103" i="12"/>
  <c r="K117" i="12"/>
  <c r="L136" i="12"/>
  <c r="Q69" i="12"/>
  <c r="K91" i="12"/>
  <c r="L92" i="12"/>
  <c r="L86" i="12"/>
  <c r="U92" i="12"/>
  <c r="U86" i="12"/>
  <c r="H103" i="12"/>
  <c r="V118" i="12"/>
  <c r="L121" i="12"/>
  <c r="L120" i="12"/>
  <c r="M143" i="12"/>
  <c r="W132" i="12"/>
  <c r="X125" i="12"/>
  <c r="F128" i="12"/>
  <c r="K131" i="12"/>
  <c r="F142" i="12"/>
  <c r="V117" i="12"/>
  <c r="U132" i="12"/>
  <c r="L143" i="12"/>
  <c r="Y18" i="9"/>
  <c r="AB18" i="9" s="1"/>
  <c r="AL18" i="9"/>
  <c r="AO18" i="9" s="1"/>
  <c r="AL22" i="9"/>
  <c r="AO22" i="9" s="1"/>
  <c r="BC22" i="9"/>
  <c r="BF22" i="9" s="1"/>
  <c r="H25" i="9"/>
  <c r="K25" i="9" s="1"/>
  <c r="AI27" i="9"/>
  <c r="AL28" i="9"/>
  <c r="J9" i="9"/>
  <c r="J11" i="9" s="1"/>
  <c r="AI9" i="9"/>
  <c r="AI11" i="9" s="1"/>
  <c r="AL7" i="9"/>
  <c r="BB9" i="9"/>
  <c r="BB11" i="9" s="1"/>
  <c r="BB19" i="9" s="1"/>
  <c r="AL8" i="9"/>
  <c r="AO8" i="9" s="1"/>
  <c r="AL10" i="9"/>
  <c r="AO10" i="9" s="1"/>
  <c r="BC10" i="9"/>
  <c r="BF10" i="9" s="1"/>
  <c r="I13" i="9"/>
  <c r="X13" i="9"/>
  <c r="AN13" i="9"/>
  <c r="BE13" i="9"/>
  <c r="BC16" i="9"/>
  <c r="BF16" i="9" s="1"/>
  <c r="H17" i="9"/>
  <c r="K17" i="9" s="1"/>
  <c r="H22" i="9"/>
  <c r="K22" i="9" s="1"/>
  <c r="Y22" i="9"/>
  <c r="AB22" i="9" s="1"/>
  <c r="AC22" i="9" s="1"/>
  <c r="AM27" i="9"/>
  <c r="Y29" i="9"/>
  <c r="AB29" i="9" s="1"/>
  <c r="BB33" i="9"/>
  <c r="AL37" i="9"/>
  <c r="AO37" i="9" s="1"/>
  <c r="Y15" i="9"/>
  <c r="AB15" i="9" s="1"/>
  <c r="AL15" i="9"/>
  <c r="AO15" i="9" s="1"/>
  <c r="G9" i="9"/>
  <c r="G11" i="9" s="1"/>
  <c r="AX9" i="9"/>
  <c r="BC7" i="9"/>
  <c r="BF7" i="9" s="1"/>
  <c r="BC8" i="9"/>
  <c r="BF8" i="9" s="1"/>
  <c r="T9" i="9"/>
  <c r="Y7" i="9"/>
  <c r="AB7" i="9" s="1"/>
  <c r="AB9" i="9" s="1"/>
  <c r="AK9" i="9"/>
  <c r="AK11" i="9" s="1"/>
  <c r="AK19" i="9" s="1"/>
  <c r="Y8" i="9"/>
  <c r="AB8" i="9" s="1"/>
  <c r="H10" i="9"/>
  <c r="K10" i="9" s="1"/>
  <c r="Y10" i="9"/>
  <c r="AB10" i="9" s="1"/>
  <c r="AC10" i="9" s="1"/>
  <c r="J13" i="9"/>
  <c r="AA13" i="9"/>
  <c r="Y16" i="9"/>
  <c r="AB16" i="9" s="1"/>
  <c r="AL16" i="9"/>
  <c r="AO16" i="9" s="1"/>
  <c r="AL21" i="9"/>
  <c r="AO21" i="9" s="1"/>
  <c r="BC21" i="9"/>
  <c r="BF21" i="9" s="1"/>
  <c r="E27" i="9"/>
  <c r="H28" i="9"/>
  <c r="H30" i="9"/>
  <c r="K30" i="9" s="1"/>
  <c r="H35" i="9"/>
  <c r="K35" i="9" s="1"/>
  <c r="BC15" i="9"/>
  <c r="BF15" i="9" s="1"/>
  <c r="H16" i="9"/>
  <c r="K16" i="9" s="1"/>
  <c r="H21" i="9"/>
  <c r="K21" i="9" s="1"/>
  <c r="Y21" i="9"/>
  <c r="AB21" i="9" s="1"/>
  <c r="I27" i="9"/>
  <c r="BC28" i="9"/>
  <c r="AX27" i="9"/>
  <c r="BC30" i="9"/>
  <c r="BF30" i="9" s="1"/>
  <c r="U9" i="9"/>
  <c r="U11" i="9" s="1"/>
  <c r="BD9" i="9"/>
  <c r="BD11" i="9" s="1"/>
  <c r="W9" i="9"/>
  <c r="W11" i="9" s="1"/>
  <c r="W19" i="9" s="1"/>
  <c r="AM9" i="9"/>
  <c r="AM11" i="9" s="1"/>
  <c r="BB27" i="9"/>
  <c r="AL29" i="9"/>
  <c r="AO29" i="9" s="1"/>
  <c r="H34" i="9"/>
  <c r="E33" i="9"/>
  <c r="AL20" i="9"/>
  <c r="AO20" i="9" s="1"/>
  <c r="BC20" i="9"/>
  <c r="BF20" i="9" s="1"/>
  <c r="H7" i="9"/>
  <c r="E9" i="9"/>
  <c r="E11" i="9" s="1"/>
  <c r="X9" i="9"/>
  <c r="X11" i="9" s="1"/>
  <c r="X19" i="9" s="1"/>
  <c r="AN9" i="9"/>
  <c r="AN11" i="9" s="1"/>
  <c r="AN19" i="9" s="1"/>
  <c r="H8" i="9"/>
  <c r="K8" i="9" s="1"/>
  <c r="BC14" i="9"/>
  <c r="AX13" i="9"/>
  <c r="H15" i="9"/>
  <c r="K15" i="9" s="1"/>
  <c r="BC18" i="9"/>
  <c r="BF18" i="9" s="1"/>
  <c r="H20" i="9"/>
  <c r="K20" i="9" s="1"/>
  <c r="Y20" i="9"/>
  <c r="AB20" i="9" s="1"/>
  <c r="Y28" i="9"/>
  <c r="T27" i="9"/>
  <c r="Y30" i="9"/>
  <c r="AB30" i="9" s="1"/>
  <c r="AC30" i="9" s="1"/>
  <c r="AL35" i="9"/>
  <c r="AO35" i="9" s="1"/>
  <c r="X33" i="9"/>
  <c r="H37" i="9"/>
  <c r="K37" i="9" s="1"/>
  <c r="Y14" i="9"/>
  <c r="T13" i="9"/>
  <c r="AI13" i="9"/>
  <c r="AL14" i="9"/>
  <c r="AY13" i="9"/>
  <c r="H14" i="9"/>
  <c r="E13" i="9"/>
  <c r="U13" i="9"/>
  <c r="BA13" i="9"/>
  <c r="BC17" i="9"/>
  <c r="BF17" i="9" s="1"/>
  <c r="H18" i="9"/>
  <c r="K18" i="9" s="1"/>
  <c r="BC29" i="9"/>
  <c r="BF29" i="9" s="1"/>
  <c r="AL34" i="9"/>
  <c r="AI33" i="9"/>
  <c r="X27" i="9"/>
  <c r="H29" i="9"/>
  <c r="K29" i="9" s="1"/>
  <c r="Z9" i="9"/>
  <c r="Z11" i="9" s="1"/>
  <c r="AY9" i="9"/>
  <c r="AY11" i="9" s="1"/>
  <c r="I9" i="9"/>
  <c r="I11" i="9" s="1"/>
  <c r="I19" i="9" s="1"/>
  <c r="BA9" i="9"/>
  <c r="BA11" i="9" s="1"/>
  <c r="BA19" i="9" s="1"/>
  <c r="W13" i="9"/>
  <c r="AM13" i="9"/>
  <c r="BB13" i="9"/>
  <c r="Y17" i="9"/>
  <c r="AB17" i="9" s="1"/>
  <c r="AC17" i="9" s="1"/>
  <c r="AL17" i="9"/>
  <c r="AO17" i="9" s="1"/>
  <c r="AL30" i="9"/>
  <c r="AO30" i="9" s="1"/>
  <c r="AL25" i="9"/>
  <c r="AO25" i="9" s="1"/>
  <c r="F9" i="9"/>
  <c r="F11" i="9" s="1"/>
  <c r="V9" i="9"/>
  <c r="V11" i="9" s="1"/>
  <c r="AJ9" i="9"/>
  <c r="AJ11" i="9" s="1"/>
  <c r="AJ19" i="9" s="1"/>
  <c r="AZ9" i="9"/>
  <c r="AZ11" i="9" s="1"/>
  <c r="F13" i="9"/>
  <c r="AJ13" i="9"/>
  <c r="G27" i="9"/>
  <c r="Z27" i="9"/>
  <c r="AK27" i="9"/>
  <c r="BD27" i="9"/>
  <c r="V33" i="9"/>
  <c r="AZ33" i="9"/>
  <c r="G13" i="9"/>
  <c r="Z13" i="9"/>
  <c r="AK13" i="9"/>
  <c r="BD13" i="9"/>
  <c r="AA27" i="9"/>
  <c r="BE27" i="9"/>
  <c r="W33" i="9"/>
  <c r="BA33" i="9"/>
  <c r="Y25" i="9"/>
  <c r="AB25" i="9" s="1"/>
  <c r="AC25" i="9" s="1"/>
  <c r="BC25" i="9"/>
  <c r="BF25" i="9" s="1"/>
  <c r="J27" i="9"/>
  <c r="U27" i="9"/>
  <c r="AN27" i="9"/>
  <c r="AY27" i="9"/>
  <c r="F33" i="9"/>
  <c r="AJ33" i="9"/>
  <c r="V27" i="9"/>
  <c r="AZ27" i="9"/>
  <c r="G33" i="9"/>
  <c r="Z33" i="9"/>
  <c r="AK33" i="9"/>
  <c r="BD33" i="9"/>
  <c r="AA9" i="9"/>
  <c r="AA11" i="9" s="1"/>
  <c r="AA19" i="9" s="1"/>
  <c r="BE9" i="9"/>
  <c r="BE11" i="9" s="1"/>
  <c r="V13" i="9"/>
  <c r="AZ13" i="9"/>
  <c r="W27" i="9"/>
  <c r="BA27" i="9"/>
  <c r="AA33" i="9"/>
  <c r="BE33" i="9"/>
  <c r="I33" i="9"/>
  <c r="T33" i="9"/>
  <c r="Y34" i="9"/>
  <c r="AM33" i="9"/>
  <c r="AX33" i="9"/>
  <c r="BC34" i="9"/>
  <c r="Y35" i="9"/>
  <c r="AB35" i="9" s="1"/>
  <c r="AC35" i="9" s="1"/>
  <c r="BC35" i="9"/>
  <c r="BF35" i="9" s="1"/>
  <c r="Y37" i="9"/>
  <c r="AB37" i="9" s="1"/>
  <c r="BC37" i="9"/>
  <c r="BF37" i="9" s="1"/>
  <c r="F27" i="9"/>
  <c r="AJ27" i="9"/>
  <c r="J33" i="9"/>
  <c r="U33" i="9"/>
  <c r="AN33" i="9"/>
  <c r="AY33" i="9"/>
  <c r="Z18" i="11"/>
  <c r="AA18" i="11" s="1"/>
  <c r="Y18" i="11"/>
  <c r="AF18" i="11"/>
  <c r="AG18" i="11" s="1"/>
  <c r="AE18" i="11"/>
  <c r="O15" i="9"/>
  <c r="AS28" i="9"/>
  <c r="AR27" i="9"/>
  <c r="AS27" i="9" s="1"/>
  <c r="AR33" i="9"/>
  <c r="AS33" i="9" s="1"/>
  <c r="O31" i="9"/>
  <c r="O32" i="9"/>
  <c r="N46" i="9"/>
  <c r="O9" i="9"/>
  <c r="O35" i="9"/>
  <c r="O28" i="9"/>
  <c r="N27" i="9"/>
  <c r="O27" i="9" s="1"/>
  <c r="O30" i="9"/>
  <c r="O18" i="9"/>
  <c r="O25" i="9"/>
  <c r="N11" i="9"/>
  <c r="O34" i="9"/>
  <c r="AS48" i="9"/>
  <c r="N33" i="9"/>
  <c r="O33" i="9" s="1"/>
  <c r="O37" i="9"/>
  <c r="O10" i="9"/>
  <c r="O29" i="9"/>
  <c r="AO8" i="10"/>
  <c r="AQ8" i="10" s="1"/>
  <c r="BC8" i="10" s="1"/>
  <c r="AS32" i="9"/>
  <c r="AR11" i="9"/>
  <c r="AR46" i="9"/>
  <c r="AR86" i="10"/>
  <c r="AR79" i="10"/>
  <c r="AR18" i="10"/>
  <c r="U8" i="10"/>
  <c r="W8" i="10" s="1"/>
  <c r="AI8" i="10" s="1"/>
  <c r="K77" i="10"/>
  <c r="AR72" i="10"/>
  <c r="F40" i="10"/>
  <c r="K80" i="10"/>
  <c r="AR56" i="10"/>
  <c r="AR48" i="10"/>
  <c r="K40" i="10"/>
  <c r="AR49" i="10"/>
  <c r="AR75" i="10"/>
  <c r="K68" i="10"/>
  <c r="AR83" i="10"/>
  <c r="AR65" i="10"/>
  <c r="AR82" i="10"/>
  <c r="F77" i="10"/>
  <c r="F42" i="10"/>
  <c r="AR44" i="10"/>
  <c r="AR38" i="10"/>
  <c r="AR67" i="10"/>
  <c r="AR76" i="10"/>
  <c r="AR62" i="10"/>
  <c r="AR25" i="10"/>
  <c r="AR33" i="10"/>
  <c r="AR35" i="10"/>
  <c r="K31" i="10"/>
  <c r="K42" i="10"/>
  <c r="F21" i="10"/>
  <c r="AR27" i="10"/>
  <c r="K21" i="10"/>
  <c r="E8" i="10"/>
  <c r="F8" i="10" s="1"/>
  <c r="P8" i="10" s="1"/>
  <c r="F15" i="10"/>
  <c r="AR23" i="10"/>
  <c r="AC20" i="11"/>
  <c r="BQ16" i="11"/>
  <c r="AC15" i="11"/>
  <c r="AR18" i="11"/>
  <c r="BK18" i="11"/>
  <c r="BL18" i="11" s="1"/>
  <c r="AR16" i="11"/>
  <c r="BK16" i="11"/>
  <c r="AQ15" i="11"/>
  <c r="AW21" i="11"/>
  <c r="E8" i="11"/>
  <c r="AO8" i="11"/>
  <c r="BL17" i="11"/>
  <c r="BQ22" i="11"/>
  <c r="X21" i="11"/>
  <c r="W20" i="11"/>
  <c r="CC13" i="10"/>
  <c r="F20" i="11"/>
  <c r="AR20" i="11" s="1"/>
  <c r="AR21" i="11"/>
  <c r="BQ17" i="11"/>
  <c r="AR19" i="11"/>
  <c r="BQ29" i="11"/>
  <c r="AW15" i="11"/>
  <c r="AR17" i="11"/>
  <c r="X23" i="11"/>
  <c r="BK23" i="11"/>
  <c r="BL23" i="11" s="1"/>
  <c r="X27" i="11"/>
  <c r="BK27" i="11"/>
  <c r="BL27" i="11" s="1"/>
  <c r="X25" i="11"/>
  <c r="BK25" i="11"/>
  <c r="BL25" i="11" s="1"/>
  <c r="BQ27" i="11"/>
  <c r="BQ23" i="11"/>
  <c r="BQ25" i="11"/>
  <c r="X30" i="11"/>
  <c r="BQ31" i="11"/>
  <c r="BL22" i="11"/>
  <c r="BK21" i="11"/>
  <c r="X29" i="11"/>
  <c r="X22" i="11"/>
  <c r="X24" i="11"/>
  <c r="X26" i="11"/>
  <c r="X28" i="11"/>
  <c r="BK29" i="11"/>
  <c r="BL29" i="11" s="1"/>
  <c r="BK33" i="11"/>
  <c r="BL33" i="11" s="1"/>
  <c r="X31" i="11"/>
  <c r="AR34" i="11"/>
  <c r="AQ31" i="11"/>
  <c r="AC31" i="11"/>
  <c r="BK31" i="11"/>
  <c r="X32" i="11"/>
  <c r="BK35" i="11"/>
  <c r="BL35" i="11" s="1"/>
  <c r="X35" i="11"/>
  <c r="BK37" i="11"/>
  <c r="X37" i="11"/>
  <c r="AC36" i="11"/>
  <c r="BQ37" i="11"/>
  <c r="BK38" i="11"/>
  <c r="BL38" i="11" s="1"/>
  <c r="X38" i="11"/>
  <c r="BK34" i="11"/>
  <c r="BL34" i="11" s="1"/>
  <c r="X34" i="11"/>
  <c r="AQ36" i="11"/>
  <c r="AR36" i="11" s="1"/>
  <c r="AQ40" i="11"/>
  <c r="AR40" i="11" s="1"/>
  <c r="BQ41" i="11"/>
  <c r="BL53" i="11"/>
  <c r="BK44" i="11"/>
  <c r="BL44" i="11" s="1"/>
  <c r="X44" i="11"/>
  <c r="AW40" i="11"/>
  <c r="BQ44" i="11"/>
  <c r="BK42" i="11"/>
  <c r="BL43" i="11"/>
  <c r="X47" i="11"/>
  <c r="X53" i="11"/>
  <c r="X57" i="11"/>
  <c r="BK41" i="11"/>
  <c r="AQ42" i="11"/>
  <c r="W42" i="11"/>
  <c r="BQ49" i="11"/>
  <c r="BQ46" i="11" s="1"/>
  <c r="AR53" i="11"/>
  <c r="BK55" i="11"/>
  <c r="BL55" i="11" s="1"/>
  <c r="W52" i="11"/>
  <c r="X52" i="11" s="1"/>
  <c r="X55" i="11"/>
  <c r="AR57" i="11"/>
  <c r="BK45" i="11"/>
  <c r="BL45" i="11" s="1"/>
  <c r="X49" i="11"/>
  <c r="BQ55" i="11"/>
  <c r="AR56" i="11"/>
  <c r="X45" i="11"/>
  <c r="BK46" i="11"/>
  <c r="BL46" i="11" s="1"/>
  <c r="AQ52" i="11"/>
  <c r="BQ57" i="11"/>
  <c r="X62" i="11"/>
  <c r="AR54" i="11"/>
  <c r="BK61" i="11"/>
  <c r="W60" i="11"/>
  <c r="BK63" i="11"/>
  <c r="BL63" i="11" s="1"/>
  <c r="X63" i="11"/>
  <c r="BQ56" i="11"/>
  <c r="X58" i="11"/>
  <c r="X61" i="11"/>
  <c r="BQ58" i="11"/>
  <c r="F68" i="11"/>
  <c r="AR69" i="11"/>
  <c r="X69" i="11"/>
  <c r="W68" i="11"/>
  <c r="BK69" i="11"/>
  <c r="AW60" i="11"/>
  <c r="BQ62" i="11"/>
  <c r="X64" i="11"/>
  <c r="BK64" i="11"/>
  <c r="BL64" i="11" s="1"/>
  <c r="X66" i="11"/>
  <c r="BK66" i="11"/>
  <c r="BL66" i="11" s="1"/>
  <c r="BK56" i="11"/>
  <c r="BL56" i="11" s="1"/>
  <c r="BQ63" i="11"/>
  <c r="BQ66" i="11"/>
  <c r="AR67" i="11"/>
  <c r="BQ64" i="11"/>
  <c r="X65" i="11"/>
  <c r="BK65" i="11"/>
  <c r="BL65" i="11" s="1"/>
  <c r="AR65" i="11"/>
  <c r="BQ67" i="11"/>
  <c r="X72" i="11"/>
  <c r="AR72" i="11"/>
  <c r="BQ70" i="11"/>
  <c r="BQ68" i="11" s="1"/>
  <c r="BQ65" i="11"/>
  <c r="X67" i="11"/>
  <c r="BK67" i="11"/>
  <c r="BL67" i="11" s="1"/>
  <c r="BL72" i="11"/>
  <c r="BL73" i="11"/>
  <c r="AR74" i="11"/>
  <c r="X73" i="11"/>
  <c r="BK79" i="11"/>
  <c r="BL79" i="11" s="1"/>
  <c r="X79" i="11"/>
  <c r="AR78" i="11"/>
  <c r="BK74" i="11"/>
  <c r="BL74" i="11" s="1"/>
  <c r="X74" i="11"/>
  <c r="F80" i="11"/>
  <c r="AR81" i="11"/>
  <c r="X81" i="11"/>
  <c r="AR73" i="11"/>
  <c r="BK75" i="11"/>
  <c r="BL75" i="11" s="1"/>
  <c r="X78" i="11"/>
  <c r="AC77" i="11"/>
  <c r="BQ78" i="11"/>
  <c r="BQ80" i="11"/>
  <c r="BQ79" i="11"/>
  <c r="AW80" i="11"/>
  <c r="W88" i="11"/>
  <c r="X88" i="11" s="1"/>
  <c r="BK85" i="11"/>
  <c r="AC88" i="11"/>
  <c r="BQ85" i="11"/>
  <c r="AW77" i="11"/>
  <c r="BL82" i="11"/>
  <c r="X83" i="11"/>
  <c r="X86" i="11"/>
  <c r="BL81" i="11"/>
  <c r="BK80" i="11"/>
  <c r="X82" i="11"/>
  <c r="K88" i="11"/>
  <c r="BQ86" i="11"/>
  <c r="BK78" i="11"/>
  <c r="W77" i="11"/>
  <c r="AC80" i="11"/>
  <c r="AR88" i="11"/>
  <c r="AR85" i="11"/>
  <c r="BQ87" i="11"/>
  <c r="BQ52" i="11" l="1"/>
  <c r="M52" i="12"/>
  <c r="U52" i="12"/>
  <c r="H146" i="12"/>
  <c r="N109" i="12"/>
  <c r="H109" i="12"/>
  <c r="I133" i="12"/>
  <c r="I144" i="12" s="1"/>
  <c r="U57" i="12"/>
  <c r="U98" i="12"/>
  <c r="Y89" i="12"/>
  <c r="O59" i="12"/>
  <c r="V85" i="12"/>
  <c r="M126" i="12"/>
  <c r="P126" i="12"/>
  <c r="X35" i="12"/>
  <c r="V97" i="12"/>
  <c r="S125" i="12"/>
  <c r="P108" i="12"/>
  <c r="V92" i="12"/>
  <c r="N99" i="12"/>
  <c r="N101" i="12" s="1"/>
  <c r="I102" i="12"/>
  <c r="S18" i="12"/>
  <c r="Y131" i="12"/>
  <c r="Y142" i="12" s="1"/>
  <c r="H139" i="12"/>
  <c r="O52" i="12"/>
  <c r="N51" i="12"/>
  <c r="N52" i="12"/>
  <c r="N59" i="12"/>
  <c r="O51" i="12"/>
  <c r="S48" i="12"/>
  <c r="V51" i="12"/>
  <c r="W48" i="12"/>
  <c r="W59" i="12" s="1"/>
  <c r="Y47" i="12"/>
  <c r="Y58" i="12" s="1"/>
  <c r="V59" i="12"/>
  <c r="K77" i="12"/>
  <c r="Y106" i="12"/>
  <c r="Y38" i="12"/>
  <c r="Y55" i="12"/>
  <c r="Y27" i="12"/>
  <c r="U41" i="12"/>
  <c r="Y37" i="12"/>
  <c r="U39" i="12"/>
  <c r="U134" i="12"/>
  <c r="F145" i="12"/>
  <c r="W29" i="12"/>
  <c r="W28" i="12"/>
  <c r="W30" i="12"/>
  <c r="S24" i="12"/>
  <c r="S75" i="12" s="1"/>
  <c r="K75" i="12"/>
  <c r="R50" i="12"/>
  <c r="R51" i="12"/>
  <c r="R52" i="12"/>
  <c r="R59" i="12"/>
  <c r="J134" i="12"/>
  <c r="J145" i="12" s="1"/>
  <c r="J109" i="12"/>
  <c r="X29" i="12"/>
  <c r="X30" i="12"/>
  <c r="X28" i="12"/>
  <c r="V17" i="12"/>
  <c r="V19" i="12"/>
  <c r="V18" i="12"/>
  <c r="R136" i="12"/>
  <c r="R143" i="12"/>
  <c r="X108" i="12"/>
  <c r="R102" i="12"/>
  <c r="R101" i="12"/>
  <c r="R135" i="12"/>
  <c r="R110" i="12"/>
  <c r="R103" i="12"/>
  <c r="X92" i="12"/>
  <c r="X86" i="12"/>
  <c r="X85" i="12"/>
  <c r="J102" i="12"/>
  <c r="J101" i="12"/>
  <c r="J103" i="12"/>
  <c r="J135" i="12"/>
  <c r="K135" i="12" s="1"/>
  <c r="J110" i="12"/>
  <c r="M109" i="12"/>
  <c r="W98" i="12"/>
  <c r="W109" i="12" s="1"/>
  <c r="M99" i="12"/>
  <c r="M134" i="12"/>
  <c r="I137" i="12"/>
  <c r="I146" i="12"/>
  <c r="I138" i="12"/>
  <c r="X19" i="12"/>
  <c r="X18" i="12"/>
  <c r="X17" i="12"/>
  <c r="U136" i="12"/>
  <c r="Y132" i="12"/>
  <c r="U143" i="12"/>
  <c r="S85" i="12"/>
  <c r="S92" i="12"/>
  <c r="S86" i="12"/>
  <c r="V143" i="12"/>
  <c r="V136" i="12"/>
  <c r="M121" i="12"/>
  <c r="M128" i="12"/>
  <c r="W117" i="12"/>
  <c r="M119" i="12"/>
  <c r="M120" i="12"/>
  <c r="X143" i="12"/>
  <c r="X136" i="12"/>
  <c r="F108" i="12"/>
  <c r="F133" i="12"/>
  <c r="F138" i="12" s="1"/>
  <c r="K97" i="12"/>
  <c r="U97" i="12"/>
  <c r="Y24" i="12"/>
  <c r="Y75" i="12" s="1"/>
  <c r="K99" i="12"/>
  <c r="Q121" i="12"/>
  <c r="Q119" i="12"/>
  <c r="X117" i="12"/>
  <c r="Q128" i="12"/>
  <c r="Q120" i="12"/>
  <c r="U75" i="12"/>
  <c r="Q134" i="12"/>
  <c r="Q145" i="12" s="1"/>
  <c r="Q99" i="12"/>
  <c r="Q109" i="12"/>
  <c r="W19" i="12"/>
  <c r="W18" i="12"/>
  <c r="W17" i="12"/>
  <c r="F126" i="12"/>
  <c r="K35" i="12"/>
  <c r="S35" i="12" s="1"/>
  <c r="U35" i="12"/>
  <c r="F102" i="12"/>
  <c r="X77" i="12"/>
  <c r="X69" i="12"/>
  <c r="X70" i="12"/>
  <c r="X68" i="12"/>
  <c r="X133" i="12"/>
  <c r="X144" i="12" s="1"/>
  <c r="P144" i="12"/>
  <c r="V35" i="12"/>
  <c r="W136" i="12"/>
  <c r="W143" i="12"/>
  <c r="S84" i="12"/>
  <c r="S90" i="12"/>
  <c r="V29" i="12"/>
  <c r="V28" i="12"/>
  <c r="V30" i="12"/>
  <c r="X98" i="12"/>
  <c r="X109" i="12" s="1"/>
  <c r="P134" i="12"/>
  <c r="P109" i="12"/>
  <c r="P99" i="12"/>
  <c r="V121" i="12"/>
  <c r="V128" i="12"/>
  <c r="V119" i="12"/>
  <c r="V120" i="12"/>
  <c r="K136" i="12"/>
  <c r="K143" i="12"/>
  <c r="S132" i="12"/>
  <c r="K126" i="12"/>
  <c r="S115" i="12"/>
  <c r="W86" i="12"/>
  <c r="W85" i="12"/>
  <c r="Y83" i="12"/>
  <c r="W92" i="12"/>
  <c r="Y15" i="12"/>
  <c r="L134" i="12"/>
  <c r="L145" i="12" s="1"/>
  <c r="L109" i="12"/>
  <c r="L99" i="12"/>
  <c r="V77" i="12"/>
  <c r="K30" i="12"/>
  <c r="K29" i="12"/>
  <c r="S26" i="12"/>
  <c r="K28" i="12"/>
  <c r="X126" i="12"/>
  <c r="S67" i="12"/>
  <c r="S74" i="12"/>
  <c r="V52" i="12"/>
  <c r="F146" i="12"/>
  <c r="F139" i="12"/>
  <c r="U135" i="12"/>
  <c r="F137" i="12"/>
  <c r="L133" i="12"/>
  <c r="L144" i="12" s="1"/>
  <c r="L108" i="12"/>
  <c r="G137" i="12"/>
  <c r="G139" i="12"/>
  <c r="G146" i="12"/>
  <c r="S69" i="12"/>
  <c r="S68" i="12"/>
  <c r="S70" i="12"/>
  <c r="S77" i="12"/>
  <c r="K109" i="12"/>
  <c r="S98" i="12"/>
  <c r="S109" i="12" s="1"/>
  <c r="N108" i="12"/>
  <c r="N133" i="12"/>
  <c r="N144" i="12" s="1"/>
  <c r="V126" i="12"/>
  <c r="Y73" i="12"/>
  <c r="X40" i="12"/>
  <c r="X41" i="12"/>
  <c r="X39" i="12"/>
  <c r="O120" i="12"/>
  <c r="O119" i="12"/>
  <c r="O128" i="12"/>
  <c r="O121" i="12"/>
  <c r="U126" i="12"/>
  <c r="Y115" i="12"/>
  <c r="H110" i="12"/>
  <c r="H128" i="12"/>
  <c r="H41" i="12"/>
  <c r="H39" i="12"/>
  <c r="H40" i="12"/>
  <c r="W35" i="12"/>
  <c r="W126" i="12" s="1"/>
  <c r="U103" i="12"/>
  <c r="U110" i="12"/>
  <c r="U101" i="12"/>
  <c r="S56" i="12"/>
  <c r="S49" i="12"/>
  <c r="Y46" i="12"/>
  <c r="V57" i="12"/>
  <c r="S131" i="12"/>
  <c r="S142" i="12" s="1"/>
  <c r="K142" i="12"/>
  <c r="K119" i="12"/>
  <c r="K120" i="12"/>
  <c r="S117" i="12"/>
  <c r="K121" i="12"/>
  <c r="U121" i="12"/>
  <c r="U120" i="12"/>
  <c r="U128" i="12"/>
  <c r="U119" i="12"/>
  <c r="Y84" i="12"/>
  <c r="G110" i="12"/>
  <c r="G40" i="12"/>
  <c r="G41" i="12"/>
  <c r="G39" i="12"/>
  <c r="K37" i="12"/>
  <c r="K128" i="12" s="1"/>
  <c r="U30" i="12"/>
  <c r="Y26" i="12"/>
  <c r="U29" i="12"/>
  <c r="U77" i="12"/>
  <c r="U28" i="12"/>
  <c r="L126" i="12"/>
  <c r="O137" i="12"/>
  <c r="O139" i="12"/>
  <c r="O146" i="12"/>
  <c r="M133" i="12"/>
  <c r="W97" i="12"/>
  <c r="M108" i="12"/>
  <c r="G133" i="12"/>
  <c r="G144" i="12" s="1"/>
  <c r="G108" i="12"/>
  <c r="R126" i="12"/>
  <c r="R108" i="12"/>
  <c r="N40" i="12"/>
  <c r="X67" i="12"/>
  <c r="X74" i="12"/>
  <c r="Y63" i="12"/>
  <c r="Y90" i="12" s="1"/>
  <c r="I134" i="12"/>
  <c r="I139" i="12" s="1"/>
  <c r="I109" i="12"/>
  <c r="V98" i="12"/>
  <c r="V109" i="12" s="1"/>
  <c r="V39" i="12"/>
  <c r="V41" i="12"/>
  <c r="H108" i="12"/>
  <c r="H133" i="12"/>
  <c r="H102" i="12"/>
  <c r="K58" i="12"/>
  <c r="S47" i="12"/>
  <c r="S58" i="12" s="1"/>
  <c r="S116" i="12"/>
  <c r="S127" i="12" s="1"/>
  <c r="K127" i="12"/>
  <c r="S50" i="12"/>
  <c r="Y56" i="12"/>
  <c r="Y49" i="12"/>
  <c r="S73" i="12"/>
  <c r="S89" i="12"/>
  <c r="X56" i="12"/>
  <c r="X49" i="12"/>
  <c r="S100" i="12"/>
  <c r="S107" i="12"/>
  <c r="P59" i="12"/>
  <c r="P51" i="12"/>
  <c r="X48" i="12"/>
  <c r="P52" i="12"/>
  <c r="P50" i="12"/>
  <c r="U109" i="12"/>
  <c r="Y116" i="12"/>
  <c r="Y127" i="12" s="1"/>
  <c r="U127" i="12"/>
  <c r="W68" i="12"/>
  <c r="W70" i="12"/>
  <c r="W77" i="12"/>
  <c r="W69" i="12"/>
  <c r="Y66" i="12"/>
  <c r="K57" i="12"/>
  <c r="S46" i="12"/>
  <c r="S51" i="12" s="1"/>
  <c r="W39" i="12"/>
  <c r="W41" i="12"/>
  <c r="Y125" i="12"/>
  <c r="X107" i="12"/>
  <c r="Y96" i="12"/>
  <c r="X100" i="12"/>
  <c r="O133" i="12"/>
  <c r="O144" i="12" s="1"/>
  <c r="O108" i="12"/>
  <c r="BW79" i="10"/>
  <c r="BQ83" i="11"/>
  <c r="Z16" i="11"/>
  <c r="AA16" i="11" s="1"/>
  <c r="AK16" i="11"/>
  <c r="Y16" i="11"/>
  <c r="AF16" i="11"/>
  <c r="AG16" i="11" s="1"/>
  <c r="AE16" i="11"/>
  <c r="AL16" i="11"/>
  <c r="AM16" i="11" s="1"/>
  <c r="U15" i="11"/>
  <c r="AE28" i="11"/>
  <c r="Y28" i="11"/>
  <c r="AF28" i="11"/>
  <c r="AG28" i="11" s="1"/>
  <c r="AK28" i="11"/>
  <c r="Z28" i="11"/>
  <c r="AA28" i="11" s="1"/>
  <c r="AL28" i="11"/>
  <c r="AM28" i="11" s="1"/>
  <c r="Y39" i="11"/>
  <c r="AK39" i="11"/>
  <c r="Z39" i="11"/>
  <c r="AA39" i="11" s="1"/>
  <c r="AE39" i="11"/>
  <c r="AL39" i="11"/>
  <c r="AM39" i="11" s="1"/>
  <c r="AF39" i="11"/>
  <c r="AG39" i="11" s="1"/>
  <c r="AE56" i="11"/>
  <c r="AK56" i="11"/>
  <c r="AL56" i="11"/>
  <c r="AM56" i="11" s="1"/>
  <c r="Y56" i="11"/>
  <c r="Z56" i="11"/>
  <c r="AA56" i="11" s="1"/>
  <c r="AF56" i="11"/>
  <c r="AG56" i="11" s="1"/>
  <c r="AE64" i="11"/>
  <c r="Z64" i="11"/>
  <c r="AA64" i="11" s="1"/>
  <c r="Y64" i="11"/>
  <c r="AL64" i="11"/>
  <c r="AM64" i="11" s="1"/>
  <c r="AF64" i="11"/>
  <c r="AG64" i="11" s="1"/>
  <c r="AK64" i="11"/>
  <c r="Z74" i="11"/>
  <c r="AA74" i="11" s="1"/>
  <c r="Y74" i="11"/>
  <c r="AL74" i="11"/>
  <c r="AM74" i="11" s="1"/>
  <c r="AK74" i="11"/>
  <c r="AE74" i="11"/>
  <c r="AF74" i="11"/>
  <c r="AG74" i="11" s="1"/>
  <c r="AK79" i="11"/>
  <c r="Z79" i="11"/>
  <c r="AA79" i="11" s="1"/>
  <c r="Y79" i="11"/>
  <c r="AE79" i="11"/>
  <c r="AL79" i="11"/>
  <c r="AM79" i="11" s="1"/>
  <c r="AF79" i="11"/>
  <c r="AG79" i="11" s="1"/>
  <c r="AI15" i="11"/>
  <c r="BW34" i="10"/>
  <c r="AE23" i="11"/>
  <c r="Y23" i="11"/>
  <c r="AF23" i="11"/>
  <c r="AG23" i="11" s="1"/>
  <c r="AK23" i="11"/>
  <c r="AL23" i="11"/>
  <c r="AM23" i="11" s="1"/>
  <c r="Z23" i="11"/>
  <c r="AA23" i="11" s="1"/>
  <c r="AE33" i="11"/>
  <c r="Y33" i="11"/>
  <c r="AF33" i="11"/>
  <c r="AG33" i="11" s="1"/>
  <c r="AL33" i="11"/>
  <c r="AM33" i="11" s="1"/>
  <c r="AK33" i="11"/>
  <c r="Z33" i="11"/>
  <c r="AA33" i="11" s="1"/>
  <c r="AK49" i="11"/>
  <c r="AL49" i="11"/>
  <c r="AM49" i="11" s="1"/>
  <c r="Y49" i="11"/>
  <c r="AF49" i="11"/>
  <c r="AG49" i="11" s="1"/>
  <c r="AE49" i="11"/>
  <c r="Z49" i="11"/>
  <c r="AA49" i="11" s="1"/>
  <c r="AE58" i="11"/>
  <c r="AK58" i="11"/>
  <c r="AL58" i="11"/>
  <c r="AM58" i="11" s="1"/>
  <c r="Y58" i="11"/>
  <c r="Z58" i="11"/>
  <c r="AA58" i="11" s="1"/>
  <c r="AF58" i="11"/>
  <c r="AG58" i="11" s="1"/>
  <c r="AE66" i="11"/>
  <c r="Z66" i="11"/>
  <c r="AA66" i="11" s="1"/>
  <c r="AF66" i="11"/>
  <c r="AG66" i="11" s="1"/>
  <c r="Y66" i="11"/>
  <c r="AL66" i="11"/>
  <c r="AM66" i="11" s="1"/>
  <c r="AK66" i="11"/>
  <c r="AK78" i="11"/>
  <c r="Z78" i="11"/>
  <c r="AA78" i="11" s="1"/>
  <c r="Y78" i="11"/>
  <c r="AE78" i="11"/>
  <c r="AL78" i="11"/>
  <c r="AM78" i="11" s="1"/>
  <c r="U77" i="11"/>
  <c r="AF78" i="11"/>
  <c r="AG78" i="11" s="1"/>
  <c r="AK86" i="11"/>
  <c r="Z86" i="11"/>
  <c r="AA86" i="11" s="1"/>
  <c r="Y86" i="11"/>
  <c r="AF86" i="11"/>
  <c r="AG86" i="11" s="1"/>
  <c r="AE86" i="11"/>
  <c r="AL86" i="11"/>
  <c r="AM86" i="11" s="1"/>
  <c r="AI21" i="11"/>
  <c r="AI31" i="11"/>
  <c r="AI36" i="11"/>
  <c r="AI80" i="11"/>
  <c r="Y23" i="10"/>
  <c r="BI23" i="10"/>
  <c r="Z23" i="10"/>
  <c r="AA23" i="10" s="1"/>
  <c r="AF23" i="10"/>
  <c r="AG23" i="10" s="1"/>
  <c r="AE23" i="10"/>
  <c r="BW25" i="10"/>
  <c r="AK29" i="10"/>
  <c r="AL29" i="10"/>
  <c r="AM29" i="10" s="1"/>
  <c r="Z29" i="10"/>
  <c r="AA29" i="10" s="1"/>
  <c r="Y29" i="10"/>
  <c r="AF29" i="10"/>
  <c r="AG29" i="10" s="1"/>
  <c r="AE29" i="10"/>
  <c r="BI29" i="10"/>
  <c r="AJ55" i="10"/>
  <c r="BW55" i="10"/>
  <c r="BX55" i="10" s="1"/>
  <c r="AY44" i="10"/>
  <c r="AS44" i="10"/>
  <c r="BE44" i="10"/>
  <c r="AT44" i="10"/>
  <c r="AU44" i="10" s="1"/>
  <c r="AZ44" i="10"/>
  <c r="BA44" i="10" s="1"/>
  <c r="BF44" i="10"/>
  <c r="BG44" i="10" s="1"/>
  <c r="AK35" i="10"/>
  <c r="AL35" i="10"/>
  <c r="AM35" i="10" s="1"/>
  <c r="Z35" i="10"/>
  <c r="AA35" i="10" s="1"/>
  <c r="Y35" i="10"/>
  <c r="AE35" i="10"/>
  <c r="AF35" i="10"/>
  <c r="AG35" i="10" s="1"/>
  <c r="BI35" i="10"/>
  <c r="BC42" i="10"/>
  <c r="AE75" i="10"/>
  <c r="BI75" i="10"/>
  <c r="AL75" i="10"/>
  <c r="AM75" i="10" s="1"/>
  <c r="AK75" i="10"/>
  <c r="Z75" i="10"/>
  <c r="AA75" i="10" s="1"/>
  <c r="Y75" i="10"/>
  <c r="AF75" i="10"/>
  <c r="AG75" i="10" s="1"/>
  <c r="BF82" i="10"/>
  <c r="BG82" i="10" s="1"/>
  <c r="BE82" i="10"/>
  <c r="AT82" i="10"/>
  <c r="AU82" i="10" s="1"/>
  <c r="AY82" i="10"/>
  <c r="AS82" i="10"/>
  <c r="AZ82" i="10"/>
  <c r="BA82" i="10" s="1"/>
  <c r="AZ79" i="10"/>
  <c r="BA79" i="10" s="1"/>
  <c r="AY79" i="10"/>
  <c r="BE79" i="10"/>
  <c r="AT79" i="10"/>
  <c r="AU79" i="10" s="1"/>
  <c r="AS79" i="10"/>
  <c r="BF79" i="10"/>
  <c r="BG79" i="10" s="1"/>
  <c r="BW62" i="10"/>
  <c r="AS64" i="10"/>
  <c r="AZ64" i="10"/>
  <c r="BA64" i="10" s="1"/>
  <c r="BE64" i="10"/>
  <c r="AT64" i="10"/>
  <c r="AU64" i="10" s="1"/>
  <c r="BF64" i="10"/>
  <c r="BG64" i="10" s="1"/>
  <c r="AY64" i="10"/>
  <c r="Y83" i="10"/>
  <c r="Z83" i="10"/>
  <c r="AA83" i="10" s="1"/>
  <c r="BI83" i="10"/>
  <c r="AE83" i="10"/>
  <c r="AF83" i="10"/>
  <c r="AG83" i="10" s="1"/>
  <c r="BW57" i="10"/>
  <c r="Z85" i="10"/>
  <c r="AA85" i="10" s="1"/>
  <c r="AF85" i="10"/>
  <c r="AG85" i="10" s="1"/>
  <c r="Y85" i="10"/>
  <c r="AE85" i="10"/>
  <c r="BI85" i="10"/>
  <c r="BE62" i="10"/>
  <c r="AZ62" i="10"/>
  <c r="BA62" i="10" s="1"/>
  <c r="AS62" i="10"/>
  <c r="BF62" i="10"/>
  <c r="BG62" i="10" s="1"/>
  <c r="AY62" i="10"/>
  <c r="AT62" i="10"/>
  <c r="AU62" i="10" s="1"/>
  <c r="BC68" i="10"/>
  <c r="BI74" i="10"/>
  <c r="AF74" i="10"/>
  <c r="AG74" i="10" s="1"/>
  <c r="AE74" i="10"/>
  <c r="Y74" i="10"/>
  <c r="Z74" i="10"/>
  <c r="AA74" i="10" s="1"/>
  <c r="AK54" i="10"/>
  <c r="AE54" i="10"/>
  <c r="AF54" i="10"/>
  <c r="AG54" i="10" s="1"/>
  <c r="BI54" i="10"/>
  <c r="Z54" i="10"/>
  <c r="AA54" i="10" s="1"/>
  <c r="AL54" i="10"/>
  <c r="AM54" i="10" s="1"/>
  <c r="Y54" i="10"/>
  <c r="BE83" i="10"/>
  <c r="BF83" i="10"/>
  <c r="BG83" i="10" s="1"/>
  <c r="AT83" i="10"/>
  <c r="AU83" i="10" s="1"/>
  <c r="AS83" i="10"/>
  <c r="AY83" i="10"/>
  <c r="AZ83" i="10"/>
  <c r="BA83" i="10" s="1"/>
  <c r="AY65" i="10"/>
  <c r="AZ65" i="10"/>
  <c r="BA65" i="10" s="1"/>
  <c r="BE65" i="10"/>
  <c r="AS65" i="10"/>
  <c r="AT65" i="10"/>
  <c r="AU65" i="10" s="1"/>
  <c r="BF65" i="10"/>
  <c r="BG65" i="10" s="1"/>
  <c r="BF75" i="10"/>
  <c r="BG75" i="10" s="1"/>
  <c r="BE75" i="10"/>
  <c r="AT75" i="10"/>
  <c r="AU75" i="10" s="1"/>
  <c r="AY75" i="10"/>
  <c r="AZ75" i="10"/>
  <c r="BA75" i="10" s="1"/>
  <c r="AS75" i="10"/>
  <c r="BF81" i="10"/>
  <c r="BG81" i="10" s="1"/>
  <c r="AO80" i="10"/>
  <c r="AY81" i="10"/>
  <c r="AZ81" i="10"/>
  <c r="BA81" i="10" s="1"/>
  <c r="BE81" i="10"/>
  <c r="AT81" i="10"/>
  <c r="AU81" i="10" s="1"/>
  <c r="AS81" i="10"/>
  <c r="K51" i="11"/>
  <c r="K11" i="11" s="1"/>
  <c r="Z17" i="11"/>
  <c r="AA17" i="11" s="1"/>
  <c r="AK17" i="11"/>
  <c r="Y17" i="11"/>
  <c r="AE17" i="11"/>
  <c r="AL17" i="11"/>
  <c r="AM17" i="11" s="1"/>
  <c r="AF17" i="11"/>
  <c r="AG17" i="11" s="1"/>
  <c r="AE27" i="11"/>
  <c r="Y27" i="11"/>
  <c r="AF27" i="11"/>
  <c r="AG27" i="11" s="1"/>
  <c r="Z27" i="11"/>
  <c r="AA27" i="11" s="1"/>
  <c r="AK27" i="11"/>
  <c r="AL27" i="11"/>
  <c r="AM27" i="11" s="1"/>
  <c r="Y41" i="11"/>
  <c r="Z41" i="11"/>
  <c r="AA41" i="11" s="1"/>
  <c r="AL41" i="11"/>
  <c r="AM41" i="11" s="1"/>
  <c r="AK41" i="11"/>
  <c r="U40" i="11"/>
  <c r="AF41" i="11"/>
  <c r="AG41" i="11" s="1"/>
  <c r="AE41" i="11"/>
  <c r="AK53" i="11"/>
  <c r="AF53" i="11"/>
  <c r="AG53" i="11" s="1"/>
  <c r="AE53" i="11"/>
  <c r="Z53" i="11"/>
  <c r="AA53" i="11" s="1"/>
  <c r="Y53" i="11"/>
  <c r="U52" i="11"/>
  <c r="AL53" i="11"/>
  <c r="AM53" i="11" s="1"/>
  <c r="AE62" i="11"/>
  <c r="AK62" i="11"/>
  <c r="AL62" i="11"/>
  <c r="AM62" i="11" s="1"/>
  <c r="Y62" i="11"/>
  <c r="AF62" i="11"/>
  <c r="AG62" i="11" s="1"/>
  <c r="Z62" i="11"/>
  <c r="AA62" i="11" s="1"/>
  <c r="AF71" i="11"/>
  <c r="AG71" i="11" s="1"/>
  <c r="AE71" i="11"/>
  <c r="AK71" i="11"/>
  <c r="Z71" i="11"/>
  <c r="AA71" i="11" s="1"/>
  <c r="Y71" i="11"/>
  <c r="AL71" i="11"/>
  <c r="AM71" i="11" s="1"/>
  <c r="AK81" i="11"/>
  <c r="Z81" i="11"/>
  <c r="AA81" i="11" s="1"/>
  <c r="Y81" i="11"/>
  <c r="AE81" i="11"/>
  <c r="U80" i="11"/>
  <c r="AL81" i="11"/>
  <c r="AM81" i="11" s="1"/>
  <c r="AF81" i="11"/>
  <c r="AG81" i="11" s="1"/>
  <c r="AI60" i="11"/>
  <c r="AI42" i="11"/>
  <c r="AI68" i="11"/>
  <c r="AI88" i="11"/>
  <c r="BE28" i="10"/>
  <c r="BF28" i="10"/>
  <c r="BG28" i="10" s="1"/>
  <c r="AT28" i="10"/>
  <c r="AU28" i="10" s="1"/>
  <c r="AZ28" i="10"/>
  <c r="BA28" i="10" s="1"/>
  <c r="AY28" i="10"/>
  <c r="AS28" i="10"/>
  <c r="BW70" i="10"/>
  <c r="AZ66" i="10"/>
  <c r="BA66" i="10" s="1"/>
  <c r="AY66" i="10"/>
  <c r="AT66" i="10"/>
  <c r="AU66" i="10" s="1"/>
  <c r="AS66" i="10"/>
  <c r="BF66" i="10"/>
  <c r="BG66" i="10" s="1"/>
  <c r="BE66" i="10"/>
  <c r="AI42" i="10"/>
  <c r="BW43" i="10"/>
  <c r="BW73" i="10"/>
  <c r="AZ86" i="10"/>
  <c r="BA86" i="10" s="1"/>
  <c r="BF86" i="10"/>
  <c r="BG86" i="10" s="1"/>
  <c r="AS86" i="10"/>
  <c r="AT86" i="10"/>
  <c r="AU86" i="10" s="1"/>
  <c r="BE86" i="10"/>
  <c r="AY86" i="10"/>
  <c r="AT35" i="10"/>
  <c r="AU35" i="10" s="1"/>
  <c r="BF35" i="10"/>
  <c r="BG35" i="10" s="1"/>
  <c r="AZ35" i="10"/>
  <c r="BA35" i="10" s="1"/>
  <c r="AY35" i="10"/>
  <c r="AS35" i="10"/>
  <c r="BE35" i="10"/>
  <c r="BW29" i="10"/>
  <c r="AE25" i="11"/>
  <c r="Y25" i="11"/>
  <c r="AF25" i="11"/>
  <c r="AG25" i="11" s="1"/>
  <c r="AK25" i="11"/>
  <c r="AL25" i="11"/>
  <c r="AM25" i="11" s="1"/>
  <c r="Z25" i="11"/>
  <c r="AA25" i="11" s="1"/>
  <c r="Y35" i="11"/>
  <c r="AF35" i="11"/>
  <c r="AG35" i="11" s="1"/>
  <c r="AE35" i="11"/>
  <c r="AL35" i="11"/>
  <c r="AM35" i="11" s="1"/>
  <c r="Z35" i="11"/>
  <c r="AA35" i="11" s="1"/>
  <c r="AK35" i="11"/>
  <c r="Y47" i="11"/>
  <c r="AF47" i="11"/>
  <c r="AG47" i="11" s="1"/>
  <c r="AE47" i="11"/>
  <c r="U46" i="11"/>
  <c r="AL47" i="11"/>
  <c r="AM47" i="11" s="1"/>
  <c r="AK47" i="11"/>
  <c r="Z47" i="11"/>
  <c r="AA47" i="11" s="1"/>
  <c r="AE63" i="11"/>
  <c r="AK63" i="11"/>
  <c r="AL63" i="11"/>
  <c r="AM63" i="11" s="1"/>
  <c r="Y63" i="11"/>
  <c r="Z63" i="11"/>
  <c r="AA63" i="11" s="1"/>
  <c r="AF63" i="11"/>
  <c r="AG63" i="11" s="1"/>
  <c r="AE69" i="11"/>
  <c r="AL69" i="11"/>
  <c r="AM69" i="11" s="1"/>
  <c r="Z69" i="11"/>
  <c r="AA69" i="11" s="1"/>
  <c r="AK69" i="11"/>
  <c r="U68" i="11"/>
  <c r="AF69" i="11"/>
  <c r="AG69" i="11" s="1"/>
  <c r="Y69" i="11"/>
  <c r="AK83" i="11"/>
  <c r="Z83" i="11"/>
  <c r="AA83" i="11" s="1"/>
  <c r="Y83" i="11"/>
  <c r="AE83" i="11"/>
  <c r="AF83" i="11"/>
  <c r="AG83" i="11" s="1"/>
  <c r="AL83" i="11"/>
  <c r="AM83" i="11" s="1"/>
  <c r="BW27" i="10"/>
  <c r="AZ37" i="10"/>
  <c r="BA37" i="10" s="1"/>
  <c r="AS37" i="10"/>
  <c r="AO36" i="10"/>
  <c r="AY37" i="10"/>
  <c r="AT37" i="10"/>
  <c r="AU37" i="10" s="1"/>
  <c r="BF37" i="10"/>
  <c r="BG37" i="10" s="1"/>
  <c r="BE37" i="10"/>
  <c r="BW48" i="10"/>
  <c r="BE34" i="10"/>
  <c r="BF34" i="10"/>
  <c r="BG34" i="10" s="1"/>
  <c r="AZ34" i="10"/>
  <c r="BA34" i="10" s="1"/>
  <c r="AY34" i="10"/>
  <c r="AT34" i="10"/>
  <c r="AU34" i="10" s="1"/>
  <c r="AS34" i="10"/>
  <c r="AZ57" i="10"/>
  <c r="BA57" i="10" s="1"/>
  <c r="AY57" i="10"/>
  <c r="AT57" i="10"/>
  <c r="AU57" i="10" s="1"/>
  <c r="AS57" i="10"/>
  <c r="BF57" i="10"/>
  <c r="BG57" i="10" s="1"/>
  <c r="BE57" i="10"/>
  <c r="BC36" i="10"/>
  <c r="AI36" i="10"/>
  <c r="BW37" i="10"/>
  <c r="AI77" i="10"/>
  <c r="BW78" i="10"/>
  <c r="AL62" i="10"/>
  <c r="AM62" i="10" s="1"/>
  <c r="BI62" i="10"/>
  <c r="AK62" i="10"/>
  <c r="Y62" i="10"/>
  <c r="Z62" i="10"/>
  <c r="AA62" i="10" s="1"/>
  <c r="AF62" i="10"/>
  <c r="AG62" i="10" s="1"/>
  <c r="AE62" i="10"/>
  <c r="Z78" i="10"/>
  <c r="AA78" i="10" s="1"/>
  <c r="AF78" i="10"/>
  <c r="AG78" i="10" s="1"/>
  <c r="V78" i="10"/>
  <c r="AL78" i="10"/>
  <c r="AM78" i="10" s="1"/>
  <c r="U77" i="10"/>
  <c r="Y78" i="10"/>
  <c r="BI78" i="10"/>
  <c r="AK78" i="10"/>
  <c r="AE78" i="10"/>
  <c r="BC52" i="10"/>
  <c r="BC46" i="10"/>
  <c r="AT47" i="10"/>
  <c r="AU47" i="10" s="1"/>
  <c r="AY47" i="10"/>
  <c r="AZ47" i="10"/>
  <c r="BA47" i="10" s="1"/>
  <c r="BF47" i="10"/>
  <c r="BG47" i="10" s="1"/>
  <c r="BE47" i="10"/>
  <c r="AO46" i="10"/>
  <c r="AS47" i="10"/>
  <c r="AS55" i="10"/>
  <c r="AY55" i="10"/>
  <c r="AZ55" i="10"/>
  <c r="BA55" i="10" s="1"/>
  <c r="AT55" i="10"/>
  <c r="AU55" i="10" s="1"/>
  <c r="BF55" i="10"/>
  <c r="BG55" i="10" s="1"/>
  <c r="BE55" i="10"/>
  <c r="AZ32" i="10"/>
  <c r="BA32" i="10" s="1"/>
  <c r="AY32" i="10"/>
  <c r="AS32" i="10"/>
  <c r="BE32" i="10"/>
  <c r="AT32" i="10"/>
  <c r="AU32" i="10" s="1"/>
  <c r="AO31" i="10"/>
  <c r="BF32" i="10"/>
  <c r="BG32" i="10" s="1"/>
  <c r="BE39" i="10"/>
  <c r="AT39" i="10"/>
  <c r="AU39" i="10" s="1"/>
  <c r="AZ39" i="10"/>
  <c r="BA39" i="10" s="1"/>
  <c r="BF39" i="10"/>
  <c r="BG39" i="10" s="1"/>
  <c r="AS39" i="10"/>
  <c r="AY39" i="10"/>
  <c r="G16" i="10"/>
  <c r="CD16" i="10"/>
  <c r="M16" i="10"/>
  <c r="N16" i="10" s="1"/>
  <c r="L16" i="10"/>
  <c r="H16" i="10"/>
  <c r="I16" i="10" s="1"/>
  <c r="BW35" i="10"/>
  <c r="G78" i="10"/>
  <c r="L78" i="10"/>
  <c r="CD78" i="10"/>
  <c r="H78" i="10"/>
  <c r="I78" i="10" s="1"/>
  <c r="M78" i="10"/>
  <c r="N78" i="10" s="1"/>
  <c r="AL34" i="10"/>
  <c r="AM34" i="10" s="1"/>
  <c r="BI34" i="10"/>
  <c r="AK34" i="10"/>
  <c r="Z34" i="10"/>
  <c r="AA34" i="10" s="1"/>
  <c r="AF34" i="10"/>
  <c r="AG34" i="10" s="1"/>
  <c r="AE34" i="10"/>
  <c r="Y34" i="10"/>
  <c r="AE24" i="11"/>
  <c r="Y24" i="11"/>
  <c r="AF24" i="11"/>
  <c r="AG24" i="11" s="1"/>
  <c r="AK24" i="11"/>
  <c r="AL24" i="11"/>
  <c r="AM24" i="11" s="1"/>
  <c r="Z24" i="11"/>
  <c r="AA24" i="11" s="1"/>
  <c r="AE34" i="11"/>
  <c r="AK34" i="11"/>
  <c r="Y34" i="11"/>
  <c r="AF34" i="11"/>
  <c r="AG34" i="11" s="1"/>
  <c r="AL34" i="11"/>
  <c r="AM34" i="11" s="1"/>
  <c r="Z34" i="11"/>
  <c r="AA34" i="11" s="1"/>
  <c r="Y45" i="11"/>
  <c r="AF45" i="11"/>
  <c r="AG45" i="11" s="1"/>
  <c r="AE45" i="11"/>
  <c r="AK45" i="11"/>
  <c r="Z45" i="11"/>
  <c r="AA45" i="11" s="1"/>
  <c r="AL45" i="11"/>
  <c r="AM45" i="11" s="1"/>
  <c r="AE61" i="11"/>
  <c r="AK61" i="11"/>
  <c r="AL61" i="11"/>
  <c r="AM61" i="11" s="1"/>
  <c r="Y61" i="11"/>
  <c r="AF61" i="11"/>
  <c r="AG61" i="11" s="1"/>
  <c r="U60" i="11"/>
  <c r="Z61" i="11"/>
  <c r="AA61" i="11" s="1"/>
  <c r="AE70" i="11"/>
  <c r="AL70" i="11"/>
  <c r="AM70" i="11" s="1"/>
  <c r="Z70" i="11"/>
  <c r="AA70" i="11" s="1"/>
  <c r="Y70" i="11"/>
  <c r="AF70" i="11"/>
  <c r="AG70" i="11" s="1"/>
  <c r="AK70" i="11"/>
  <c r="Z75" i="11"/>
  <c r="AA75" i="11" s="1"/>
  <c r="AL75" i="11"/>
  <c r="AM75" i="11" s="1"/>
  <c r="AF75" i="11"/>
  <c r="AG75" i="11" s="1"/>
  <c r="AE75" i="11"/>
  <c r="Y75" i="11"/>
  <c r="AK75" i="11"/>
  <c r="AI52" i="11"/>
  <c r="BW58" i="10"/>
  <c r="AL19" i="11"/>
  <c r="AM19" i="11" s="1"/>
  <c r="Z19" i="11"/>
  <c r="AA19" i="11" s="1"/>
  <c r="AK19" i="11"/>
  <c r="Y19" i="11"/>
  <c r="AE19" i="11"/>
  <c r="AF19" i="11"/>
  <c r="AG19" i="11" s="1"/>
  <c r="AE26" i="11"/>
  <c r="Y26" i="11"/>
  <c r="AF26" i="11"/>
  <c r="AG26" i="11" s="1"/>
  <c r="AK26" i="11"/>
  <c r="Z26" i="11"/>
  <c r="AA26" i="11" s="1"/>
  <c r="AL26" i="11"/>
  <c r="AM26" i="11" s="1"/>
  <c r="Y37" i="11"/>
  <c r="AL37" i="11"/>
  <c r="AM37" i="11" s="1"/>
  <c r="AK37" i="11"/>
  <c r="Z37" i="11"/>
  <c r="AA37" i="11" s="1"/>
  <c r="AF37" i="11"/>
  <c r="AG37" i="11" s="1"/>
  <c r="AE37" i="11"/>
  <c r="U36" i="11"/>
  <c r="Y48" i="11"/>
  <c r="AF48" i="11"/>
  <c r="AG48" i="11" s="1"/>
  <c r="AE48" i="11"/>
  <c r="AL48" i="11"/>
  <c r="AM48" i="11" s="1"/>
  <c r="AK48" i="11"/>
  <c r="Z48" i="11"/>
  <c r="AA48" i="11" s="1"/>
  <c r="AE57" i="11"/>
  <c r="AK57" i="11"/>
  <c r="AL57" i="11"/>
  <c r="AM57" i="11" s="1"/>
  <c r="Y57" i="11"/>
  <c r="AF57" i="11"/>
  <c r="AG57" i="11" s="1"/>
  <c r="Z57" i="11"/>
  <c r="AA57" i="11" s="1"/>
  <c r="Z73" i="11"/>
  <c r="AA73" i="11" s="1"/>
  <c r="AL73" i="11"/>
  <c r="AM73" i="11" s="1"/>
  <c r="AK73" i="11"/>
  <c r="AF73" i="11"/>
  <c r="AG73" i="11" s="1"/>
  <c r="AE73" i="11"/>
  <c r="Y73" i="11"/>
  <c r="AK82" i="11"/>
  <c r="Z82" i="11"/>
  <c r="AA82" i="11" s="1"/>
  <c r="Y82" i="11"/>
  <c r="AE82" i="11"/>
  <c r="AF82" i="11"/>
  <c r="AG82" i="11" s="1"/>
  <c r="AL82" i="11"/>
  <c r="AM82" i="11" s="1"/>
  <c r="AI40" i="11"/>
  <c r="AI77" i="11"/>
  <c r="BW33" i="10"/>
  <c r="BW26" i="10"/>
  <c r="AF37" i="10"/>
  <c r="AG37" i="10" s="1"/>
  <c r="AL37" i="10"/>
  <c r="AM37" i="10" s="1"/>
  <c r="AE37" i="10"/>
  <c r="U36" i="10"/>
  <c r="BI37" i="10"/>
  <c r="Z37" i="10"/>
  <c r="AA37" i="10" s="1"/>
  <c r="Y37" i="10"/>
  <c r="AK37" i="10"/>
  <c r="AS85" i="10"/>
  <c r="AO88" i="10"/>
  <c r="AZ85" i="10"/>
  <c r="BA85" i="10" s="1"/>
  <c r="BF85" i="10"/>
  <c r="BG85" i="10" s="1"/>
  <c r="BE85" i="10"/>
  <c r="AY85" i="10"/>
  <c r="AT85" i="10"/>
  <c r="AU85" i="10" s="1"/>
  <c r="BW38" i="10"/>
  <c r="AY67" i="10"/>
  <c r="BF67" i="10"/>
  <c r="BG67" i="10" s="1"/>
  <c r="AT67" i="10"/>
  <c r="AU67" i="10" s="1"/>
  <c r="AZ67" i="10"/>
  <c r="BA67" i="10" s="1"/>
  <c r="AS67" i="10"/>
  <c r="BE67" i="10"/>
  <c r="AF53" i="10"/>
  <c r="AG53" i="10" s="1"/>
  <c r="Y53" i="10"/>
  <c r="BI53" i="10"/>
  <c r="Z53" i="10"/>
  <c r="AA53" i="10" s="1"/>
  <c r="AE53" i="10"/>
  <c r="AY19" i="10"/>
  <c r="AZ19" i="10"/>
  <c r="BA19" i="10" s="1"/>
  <c r="AT19" i="10"/>
  <c r="AU19" i="10" s="1"/>
  <c r="AS19" i="10"/>
  <c r="BF27" i="10"/>
  <c r="BG27" i="10" s="1"/>
  <c r="AY27" i="10"/>
  <c r="AS27" i="10"/>
  <c r="BE27" i="10"/>
  <c r="AZ27" i="10"/>
  <c r="BA27" i="10" s="1"/>
  <c r="AT27" i="10"/>
  <c r="AU27" i="10" s="1"/>
  <c r="BI67" i="10"/>
  <c r="AF67" i="10"/>
  <c r="AG67" i="10" s="1"/>
  <c r="AL67" i="10"/>
  <c r="AM67" i="10" s="1"/>
  <c r="Z67" i="10"/>
  <c r="AA67" i="10" s="1"/>
  <c r="AK67" i="10"/>
  <c r="AE67" i="10"/>
  <c r="Y67" i="10"/>
  <c r="BI38" i="10"/>
  <c r="AF38" i="10"/>
  <c r="AG38" i="10" s="1"/>
  <c r="AE38" i="10"/>
  <c r="AK38" i="10"/>
  <c r="Z38" i="10"/>
  <c r="AA38" i="10" s="1"/>
  <c r="Y38" i="10"/>
  <c r="AL38" i="10"/>
  <c r="AM38" i="10" s="1"/>
  <c r="BW47" i="10"/>
  <c r="CC51" i="10"/>
  <c r="CC11" i="10" s="1"/>
  <c r="BE53" i="10"/>
  <c r="AO52" i="10"/>
  <c r="BF53" i="10"/>
  <c r="BG53" i="10" s="1"/>
  <c r="AT53" i="10"/>
  <c r="AU53" i="10" s="1"/>
  <c r="AY53" i="10"/>
  <c r="AS53" i="10"/>
  <c r="AZ53" i="10"/>
  <c r="BA53" i="10" s="1"/>
  <c r="BF61" i="10"/>
  <c r="BG61" i="10" s="1"/>
  <c r="AS61" i="10"/>
  <c r="AY61" i="10"/>
  <c r="AZ61" i="10"/>
  <c r="BA61" i="10" s="1"/>
  <c r="BE61" i="10"/>
  <c r="BE60" i="10" s="1"/>
  <c r="AO60" i="10"/>
  <c r="AT61" i="10"/>
  <c r="AU61" i="10" s="1"/>
  <c r="BE69" i="10"/>
  <c r="AO68" i="10"/>
  <c r="AS69" i="10"/>
  <c r="AY69" i="10"/>
  <c r="AZ69" i="10"/>
  <c r="BA69" i="10" s="1"/>
  <c r="BF69" i="10"/>
  <c r="BG69" i="10" s="1"/>
  <c r="AT69" i="10"/>
  <c r="AU69" i="10" s="1"/>
  <c r="BF76" i="10"/>
  <c r="BG76" i="10" s="1"/>
  <c r="BE76" i="10"/>
  <c r="AT76" i="10"/>
  <c r="AU76" i="10" s="1"/>
  <c r="AY76" i="10"/>
  <c r="AZ76" i="10"/>
  <c r="BA76" i="10" s="1"/>
  <c r="AS76" i="10"/>
  <c r="AZ73" i="10"/>
  <c r="BA73" i="10" s="1"/>
  <c r="AY73" i="10"/>
  <c r="BE73" i="10"/>
  <c r="AS73" i="10"/>
  <c r="AT73" i="10"/>
  <c r="AU73" i="10" s="1"/>
  <c r="BF73" i="10"/>
  <c r="BG73" i="10" s="1"/>
  <c r="BF17" i="10"/>
  <c r="BG17" i="10" s="1"/>
  <c r="BE17" i="10"/>
  <c r="AT17" i="10"/>
  <c r="AU17" i="10" s="1"/>
  <c r="AS17" i="10"/>
  <c r="AZ17" i="10"/>
  <c r="BA17" i="10" s="1"/>
  <c r="AY17" i="10"/>
  <c r="BW22" i="10"/>
  <c r="AY38" i="10"/>
  <c r="BF38" i="10"/>
  <c r="BG38" i="10" s="1"/>
  <c r="AS38" i="10"/>
  <c r="BE38" i="10"/>
  <c r="AZ38" i="10"/>
  <c r="BA38" i="10" s="1"/>
  <c r="AT38" i="10"/>
  <c r="AU38" i="10" s="1"/>
  <c r="AI31" i="10"/>
  <c r="BW32" i="10"/>
  <c r="Z48" i="10"/>
  <c r="AA48" i="10" s="1"/>
  <c r="BI48" i="10"/>
  <c r="AF48" i="10"/>
  <c r="AG48" i="10" s="1"/>
  <c r="Y48" i="10"/>
  <c r="AL48" i="10"/>
  <c r="AM48" i="10" s="1"/>
  <c r="AK48" i="10"/>
  <c r="AE48" i="10"/>
  <c r="BF33" i="10"/>
  <c r="BG33" i="10" s="1"/>
  <c r="AY33" i="10"/>
  <c r="AT33" i="10"/>
  <c r="AU33" i="10" s="1"/>
  <c r="AS33" i="10"/>
  <c r="BE33" i="10"/>
  <c r="AZ33" i="10"/>
  <c r="BA33" i="10" s="1"/>
  <c r="BW87" i="10"/>
  <c r="Y43" i="10"/>
  <c r="BI43" i="10"/>
  <c r="U42" i="10"/>
  <c r="AE43" i="10"/>
  <c r="AL43" i="10"/>
  <c r="AM43" i="10" s="1"/>
  <c r="AF43" i="10"/>
  <c r="AG43" i="10" s="1"/>
  <c r="Z43" i="10"/>
  <c r="AA43" i="10" s="1"/>
  <c r="AK43" i="10"/>
  <c r="BW66" i="10"/>
  <c r="AY58" i="10"/>
  <c r="BF58" i="10"/>
  <c r="BG58" i="10" s="1"/>
  <c r="AZ58" i="10"/>
  <c r="BA58" i="10" s="1"/>
  <c r="AT58" i="10"/>
  <c r="AU58" i="10" s="1"/>
  <c r="BE58" i="10"/>
  <c r="AS58" i="10"/>
  <c r="BW64" i="10"/>
  <c r="AT70" i="10"/>
  <c r="AU70" i="10" s="1"/>
  <c r="AZ70" i="10"/>
  <c r="BA70" i="10" s="1"/>
  <c r="BF70" i="10"/>
  <c r="BG70" i="10" s="1"/>
  <c r="AY70" i="10"/>
  <c r="AS70" i="10"/>
  <c r="BE70" i="10"/>
  <c r="Y86" i="10"/>
  <c r="AF86" i="10"/>
  <c r="AG86" i="10" s="1"/>
  <c r="AE86" i="10"/>
  <c r="Z86" i="10"/>
  <c r="AA86" i="10" s="1"/>
  <c r="BI86" i="10"/>
  <c r="BI33" i="10"/>
  <c r="AL33" i="10"/>
  <c r="AM33" i="10" s="1"/>
  <c r="AF33" i="10"/>
  <c r="AG33" i="10" s="1"/>
  <c r="AE33" i="10"/>
  <c r="Z33" i="10"/>
  <c r="AA33" i="10" s="1"/>
  <c r="Y33" i="10"/>
  <c r="AK33" i="10"/>
  <c r="BD55" i="10"/>
  <c r="BD86" i="10"/>
  <c r="AS71" i="10"/>
  <c r="BF71" i="10"/>
  <c r="BG71" i="10" s="1"/>
  <c r="AT71" i="10"/>
  <c r="AU71" i="10" s="1"/>
  <c r="AZ71" i="10"/>
  <c r="BA71" i="10" s="1"/>
  <c r="AY71" i="10"/>
  <c r="BE71" i="10"/>
  <c r="BW45" i="10"/>
  <c r="Z55" i="10"/>
  <c r="AA55" i="10" s="1"/>
  <c r="AE55" i="10"/>
  <c r="AK55" i="10"/>
  <c r="AF55" i="10"/>
  <c r="AG55" i="10" s="1"/>
  <c r="BI55" i="10"/>
  <c r="Y55" i="10"/>
  <c r="AL55" i="10"/>
  <c r="AM55" i="10" s="1"/>
  <c r="BW63" i="10"/>
  <c r="BW71" i="10"/>
  <c r="AZ87" i="10"/>
  <c r="BA87" i="10" s="1"/>
  <c r="AY87" i="10"/>
  <c r="BF87" i="10"/>
  <c r="BG87" i="10" s="1"/>
  <c r="AS87" i="10"/>
  <c r="AT87" i="10"/>
  <c r="AU87" i="10" s="1"/>
  <c r="BE87" i="10"/>
  <c r="AZ26" i="10"/>
  <c r="BA26" i="10" s="1"/>
  <c r="AY26" i="10"/>
  <c r="BE26" i="10"/>
  <c r="AT26" i="10"/>
  <c r="AU26" i="10" s="1"/>
  <c r="AS26" i="10"/>
  <c r="BF26" i="10"/>
  <c r="BG26" i="10" s="1"/>
  <c r="BC77" i="10"/>
  <c r="AS23" i="10"/>
  <c r="BF23" i="10"/>
  <c r="BG23" i="10" s="1"/>
  <c r="BE23" i="10"/>
  <c r="AZ23" i="10"/>
  <c r="BA23" i="10" s="1"/>
  <c r="AY23" i="10"/>
  <c r="AT23" i="10"/>
  <c r="AU23" i="10" s="1"/>
  <c r="AS22" i="10"/>
  <c r="BE22" i="10"/>
  <c r="AT22" i="10"/>
  <c r="AU22" i="10" s="1"/>
  <c r="AY22" i="10"/>
  <c r="AZ22" i="10"/>
  <c r="BA22" i="10" s="1"/>
  <c r="BF22" i="10"/>
  <c r="BG22" i="10" s="1"/>
  <c r="BW39" i="10"/>
  <c r="AZ49" i="10"/>
  <c r="BA49" i="10" s="1"/>
  <c r="BF49" i="10"/>
  <c r="BG49" i="10" s="1"/>
  <c r="AY49" i="10"/>
  <c r="BE49" i="10"/>
  <c r="AT49" i="10"/>
  <c r="AU49" i="10" s="1"/>
  <c r="AS49" i="10"/>
  <c r="BI44" i="10"/>
  <c r="AF44" i="10"/>
  <c r="AG44" i="10" s="1"/>
  <c r="AL44" i="10"/>
  <c r="AM44" i="10" s="1"/>
  <c r="Y44" i="10"/>
  <c r="AK44" i="10"/>
  <c r="Z44" i="10"/>
  <c r="AA44" i="10" s="1"/>
  <c r="AE44" i="10"/>
  <c r="AK41" i="10"/>
  <c r="U40" i="10"/>
  <c r="BI41" i="10"/>
  <c r="AF41" i="10"/>
  <c r="AG41" i="10" s="1"/>
  <c r="Y41" i="10"/>
  <c r="AL41" i="10"/>
  <c r="AM41" i="10" s="1"/>
  <c r="AE41" i="10"/>
  <c r="Z41" i="10"/>
  <c r="AA41" i="10" s="1"/>
  <c r="AT41" i="10"/>
  <c r="AU41" i="10" s="1"/>
  <c r="AZ41" i="10"/>
  <c r="BA41" i="10" s="1"/>
  <c r="AS41" i="10"/>
  <c r="BF41" i="10"/>
  <c r="BG41" i="10" s="1"/>
  <c r="BE41" i="10"/>
  <c r="AY41" i="10"/>
  <c r="AO40" i="10"/>
  <c r="Z69" i="10"/>
  <c r="AA69" i="10" s="1"/>
  <c r="AE69" i="10"/>
  <c r="AF69" i="10"/>
  <c r="AG69" i="10" s="1"/>
  <c r="Y69" i="10"/>
  <c r="BI69" i="10"/>
  <c r="AY74" i="10"/>
  <c r="BE74" i="10"/>
  <c r="BF74" i="10"/>
  <c r="BG74" i="10" s="1"/>
  <c r="AS74" i="10"/>
  <c r="AZ74" i="10"/>
  <c r="BA74" i="10" s="1"/>
  <c r="AT74" i="10"/>
  <c r="AU74" i="10" s="1"/>
  <c r="AS78" i="10"/>
  <c r="AY78" i="10"/>
  <c r="BF78" i="10"/>
  <c r="BG78" i="10" s="1"/>
  <c r="AP78" i="10"/>
  <c r="AZ78" i="10"/>
  <c r="BA78" i="10" s="1"/>
  <c r="BE78" i="10"/>
  <c r="AO77" i="10"/>
  <c r="AT78" i="10"/>
  <c r="AU78" i="10" s="1"/>
  <c r="AZ72" i="10"/>
  <c r="BA72" i="10" s="1"/>
  <c r="BE72" i="10"/>
  <c r="AS72" i="10"/>
  <c r="BF72" i="10"/>
  <c r="BG72" i="10" s="1"/>
  <c r="AY72" i="10"/>
  <c r="AT72" i="10"/>
  <c r="AU72" i="10" s="1"/>
  <c r="AK47" i="10"/>
  <c r="AE47" i="10"/>
  <c r="AF47" i="10"/>
  <c r="AG47" i="10" s="1"/>
  <c r="AL47" i="10"/>
  <c r="AM47" i="10" s="1"/>
  <c r="Z47" i="10"/>
  <c r="AA47" i="10" s="1"/>
  <c r="BI47" i="10"/>
  <c r="Y47" i="10"/>
  <c r="AY56" i="10"/>
  <c r="AT56" i="10"/>
  <c r="AU56" i="10" s="1"/>
  <c r="BF56" i="10"/>
  <c r="BG56" i="10" s="1"/>
  <c r="BE56" i="10"/>
  <c r="AZ56" i="10"/>
  <c r="BA56" i="10" s="1"/>
  <c r="AS56" i="10"/>
  <c r="BW54" i="10"/>
  <c r="BC80" i="10"/>
  <c r="BW44" i="10"/>
  <c r="BW67" i="10"/>
  <c r="AE81" i="10"/>
  <c r="BI81" i="10"/>
  <c r="Z81" i="10"/>
  <c r="AA81" i="10" s="1"/>
  <c r="Y81" i="10"/>
  <c r="AF81" i="10"/>
  <c r="AG81" i="10" s="1"/>
  <c r="Y79" i="10"/>
  <c r="AF79" i="10"/>
  <c r="AG79" i="10" s="1"/>
  <c r="AE79" i="10"/>
  <c r="BI79" i="10"/>
  <c r="AL79" i="10"/>
  <c r="AM79" i="10" s="1"/>
  <c r="Z79" i="10"/>
  <c r="AA79" i="10" s="1"/>
  <c r="AK79" i="10"/>
  <c r="BC21" i="10"/>
  <c r="BF45" i="10"/>
  <c r="BG45" i="10" s="1"/>
  <c r="AS45" i="10"/>
  <c r="AT45" i="10"/>
  <c r="AU45" i="10" s="1"/>
  <c r="BE45" i="10"/>
  <c r="AZ45" i="10"/>
  <c r="BA45" i="10" s="1"/>
  <c r="AY45" i="10"/>
  <c r="BC88" i="10"/>
  <c r="AL28" i="10"/>
  <c r="AM28" i="10" s="1"/>
  <c r="BI28" i="10"/>
  <c r="AK28" i="10"/>
  <c r="Z28" i="10"/>
  <c r="AA28" i="10" s="1"/>
  <c r="Y28" i="10"/>
  <c r="AF28" i="10"/>
  <c r="AG28" i="10" s="1"/>
  <c r="AE28" i="10"/>
  <c r="AE22" i="11"/>
  <c r="Y22" i="11"/>
  <c r="AF22" i="11"/>
  <c r="AG22" i="11" s="1"/>
  <c r="U21" i="11"/>
  <c r="AK22" i="11"/>
  <c r="AL22" i="11"/>
  <c r="AM22" i="11" s="1"/>
  <c r="Z22" i="11"/>
  <c r="AA22" i="11" s="1"/>
  <c r="AE32" i="11"/>
  <c r="Y32" i="11"/>
  <c r="AF32" i="11"/>
  <c r="AG32" i="11" s="1"/>
  <c r="U31" i="11"/>
  <c r="AL32" i="11"/>
  <c r="AM32" i="11" s="1"/>
  <c r="AK32" i="11"/>
  <c r="Z32" i="11"/>
  <c r="AA32" i="11" s="1"/>
  <c r="Y44" i="11"/>
  <c r="AK44" i="11"/>
  <c r="Z44" i="11"/>
  <c r="AA44" i="11" s="1"/>
  <c r="AF44" i="11"/>
  <c r="AG44" i="11" s="1"/>
  <c r="AE44" i="11"/>
  <c r="AL44" i="11"/>
  <c r="AM44" i="11" s="1"/>
  <c r="AE55" i="11"/>
  <c r="AK55" i="11"/>
  <c r="AL55" i="11"/>
  <c r="AM55" i="11" s="1"/>
  <c r="Z55" i="11"/>
  <c r="AA55" i="11" s="1"/>
  <c r="Y55" i="11"/>
  <c r="AF55" i="11"/>
  <c r="AG55" i="11" s="1"/>
  <c r="AE65" i="11"/>
  <c r="AF65" i="11"/>
  <c r="AG65" i="11" s="1"/>
  <c r="AL65" i="11"/>
  <c r="AM65" i="11" s="1"/>
  <c r="Y65" i="11"/>
  <c r="AK65" i="11"/>
  <c r="Z65" i="11"/>
  <c r="AA65" i="11" s="1"/>
  <c r="AF76" i="11"/>
  <c r="AG76" i="11" s="1"/>
  <c r="AL76" i="11"/>
  <c r="AM76" i="11" s="1"/>
  <c r="Z76" i="11"/>
  <c r="AA76" i="11" s="1"/>
  <c r="AK76" i="11"/>
  <c r="Y76" i="11"/>
  <c r="AE76" i="11"/>
  <c r="AK85" i="11"/>
  <c r="Z85" i="11"/>
  <c r="AA85" i="11" s="1"/>
  <c r="U88" i="11"/>
  <c r="Y85" i="11"/>
  <c r="AF85" i="11"/>
  <c r="AG85" i="11" s="1"/>
  <c r="AE85" i="11"/>
  <c r="AL85" i="11"/>
  <c r="AM85" i="11" s="1"/>
  <c r="AL18" i="11"/>
  <c r="AM18" i="11" s="1"/>
  <c r="AK18" i="11"/>
  <c r="AI46" i="11"/>
  <c r="AZ43" i="10"/>
  <c r="BA43" i="10" s="1"/>
  <c r="BE43" i="10"/>
  <c r="AT43" i="10"/>
  <c r="AU43" i="10" s="1"/>
  <c r="AS43" i="10"/>
  <c r="AO42" i="10"/>
  <c r="BF43" i="10"/>
  <c r="BG43" i="10" s="1"/>
  <c r="AY43" i="10"/>
  <c r="BW41" i="10"/>
  <c r="AI40" i="10"/>
  <c r="AE32" i="10"/>
  <c r="AL32" i="10"/>
  <c r="AM32" i="10" s="1"/>
  <c r="AK32" i="10"/>
  <c r="AF32" i="10"/>
  <c r="AG32" i="10" s="1"/>
  <c r="BI32" i="10"/>
  <c r="Z32" i="10"/>
  <c r="AA32" i="10" s="1"/>
  <c r="U31" i="10"/>
  <c r="Y32" i="10"/>
  <c r="AE45" i="10"/>
  <c r="AK45" i="10"/>
  <c r="Z45" i="10"/>
  <c r="AA45" i="10" s="1"/>
  <c r="Y45" i="10"/>
  <c r="BI45" i="10"/>
  <c r="AL45" i="10"/>
  <c r="AM45" i="10" s="1"/>
  <c r="AF45" i="10"/>
  <c r="AG45" i="10" s="1"/>
  <c r="AE39" i="10"/>
  <c r="Y39" i="10"/>
  <c r="Z39" i="10"/>
  <c r="AA39" i="10" s="1"/>
  <c r="BI39" i="10"/>
  <c r="AL39" i="10"/>
  <c r="AM39" i="10" s="1"/>
  <c r="AK39" i="10"/>
  <c r="AF39" i="10"/>
  <c r="AG39" i="10" s="1"/>
  <c r="AK70" i="10"/>
  <c r="BI70" i="10"/>
  <c r="AL70" i="10"/>
  <c r="AM70" i="10" s="1"/>
  <c r="Y70" i="10"/>
  <c r="AF70" i="10"/>
  <c r="AG70" i="10" s="1"/>
  <c r="AE70" i="10"/>
  <c r="Z70" i="10"/>
  <c r="AA70" i="10" s="1"/>
  <c r="BI66" i="10"/>
  <c r="AK66" i="10"/>
  <c r="Y66" i="10"/>
  <c r="AL66" i="10"/>
  <c r="AM66" i="10" s="1"/>
  <c r="Z66" i="10"/>
  <c r="AA66" i="10" s="1"/>
  <c r="AE66" i="10"/>
  <c r="AF66" i="10"/>
  <c r="AG66" i="10" s="1"/>
  <c r="BC40" i="10"/>
  <c r="AS48" i="10"/>
  <c r="AY48" i="10"/>
  <c r="AT48" i="10"/>
  <c r="AU48" i="10" s="1"/>
  <c r="BF48" i="10"/>
  <c r="BG48" i="10" s="1"/>
  <c r="BE48" i="10"/>
  <c r="AZ48" i="10"/>
  <c r="BA48" i="10" s="1"/>
  <c r="BC60" i="10"/>
  <c r="Y38" i="11"/>
  <c r="AK38" i="11"/>
  <c r="Z38" i="11"/>
  <c r="AA38" i="11" s="1"/>
  <c r="AF38" i="11"/>
  <c r="AG38" i="11" s="1"/>
  <c r="AE38" i="11"/>
  <c r="AL38" i="11"/>
  <c r="AM38" i="11" s="1"/>
  <c r="AE29" i="11"/>
  <c r="Y29" i="11"/>
  <c r="AF29" i="11"/>
  <c r="AG29" i="11" s="1"/>
  <c r="Z29" i="11"/>
  <c r="AA29" i="11" s="1"/>
  <c r="AL29" i="11"/>
  <c r="AM29" i="11" s="1"/>
  <c r="AK29" i="11"/>
  <c r="Y43" i="11"/>
  <c r="AK43" i="11"/>
  <c r="Z43" i="11"/>
  <c r="AA43" i="11" s="1"/>
  <c r="AF43" i="11"/>
  <c r="AG43" i="11" s="1"/>
  <c r="AE43" i="11"/>
  <c r="AL43" i="11"/>
  <c r="AM43" i="11" s="1"/>
  <c r="U42" i="11"/>
  <c r="AK54" i="11"/>
  <c r="AE54" i="11"/>
  <c r="Z54" i="11"/>
  <c r="AA54" i="11" s="1"/>
  <c r="Y54" i="11"/>
  <c r="AL54" i="11"/>
  <c r="AM54" i="11" s="1"/>
  <c r="AF54" i="11"/>
  <c r="AG54" i="11" s="1"/>
  <c r="AE67" i="11"/>
  <c r="Z67" i="11"/>
  <c r="AA67" i="11" s="1"/>
  <c r="AL67" i="11"/>
  <c r="AM67" i="11" s="1"/>
  <c r="Y67" i="11"/>
  <c r="AK67" i="11"/>
  <c r="AF67" i="11"/>
  <c r="AG67" i="11" s="1"/>
  <c r="AF72" i="11"/>
  <c r="AG72" i="11" s="1"/>
  <c r="AE72" i="11"/>
  <c r="AL72" i="11"/>
  <c r="AM72" i="11" s="1"/>
  <c r="Z72" i="11"/>
  <c r="AA72" i="11" s="1"/>
  <c r="AK72" i="11"/>
  <c r="Y72" i="11"/>
  <c r="AK87" i="11"/>
  <c r="Z87" i="11"/>
  <c r="AA87" i="11" s="1"/>
  <c r="Y87" i="11"/>
  <c r="AF87" i="11"/>
  <c r="AG87" i="11" s="1"/>
  <c r="AE87" i="11"/>
  <c r="AL87" i="11"/>
  <c r="AM87" i="11" s="1"/>
  <c r="AY25" i="10"/>
  <c r="BF25" i="10"/>
  <c r="BG25" i="10" s="1"/>
  <c r="BE25" i="10"/>
  <c r="AT25" i="10"/>
  <c r="AU25" i="10" s="1"/>
  <c r="AS25" i="10"/>
  <c r="AZ25" i="10"/>
  <c r="BA25" i="10" s="1"/>
  <c r="BW28" i="10"/>
  <c r="AT29" i="10"/>
  <c r="AU29" i="10" s="1"/>
  <c r="AZ29" i="10"/>
  <c r="BA29" i="10" s="1"/>
  <c r="AY29" i="10"/>
  <c r="BF29" i="10"/>
  <c r="BG29" i="10" s="1"/>
  <c r="BE29" i="10"/>
  <c r="AS29" i="10"/>
  <c r="BI25" i="10"/>
  <c r="AF25" i="10"/>
  <c r="AG25" i="10" s="1"/>
  <c r="AE25" i="10"/>
  <c r="AK25" i="10"/>
  <c r="Z25" i="10"/>
  <c r="AA25" i="10" s="1"/>
  <c r="Y25" i="10"/>
  <c r="AL25" i="10"/>
  <c r="AM25" i="10" s="1"/>
  <c r="BC31" i="10"/>
  <c r="AT54" i="10"/>
  <c r="AU54" i="10" s="1"/>
  <c r="AZ54" i="10"/>
  <c r="BA54" i="10" s="1"/>
  <c r="BE54" i="10"/>
  <c r="AS54" i="10"/>
  <c r="BF54" i="10"/>
  <c r="BG54" i="10" s="1"/>
  <c r="AY54" i="10"/>
  <c r="BI58" i="10"/>
  <c r="AF58" i="10"/>
  <c r="AG58" i="10" s="1"/>
  <c r="AK58" i="10"/>
  <c r="Z58" i="10"/>
  <c r="AA58" i="10" s="1"/>
  <c r="AL58" i="10"/>
  <c r="AM58" i="10" s="1"/>
  <c r="AE58" i="10"/>
  <c r="Y58" i="10"/>
  <c r="Y56" i="10"/>
  <c r="BI56" i="10"/>
  <c r="AF56" i="10"/>
  <c r="AG56" i="10" s="1"/>
  <c r="AE56" i="10"/>
  <c r="Z56" i="10"/>
  <c r="AA56" i="10" s="1"/>
  <c r="BW75" i="10"/>
  <c r="AT63" i="10"/>
  <c r="AU63" i="10" s="1"/>
  <c r="BF63" i="10"/>
  <c r="BG63" i="10" s="1"/>
  <c r="AS63" i="10"/>
  <c r="BE63" i="10"/>
  <c r="AY63" i="10"/>
  <c r="AZ63" i="10"/>
  <c r="BA63" i="10" s="1"/>
  <c r="BL78" i="11"/>
  <c r="BK77" i="11"/>
  <c r="BL77" i="11" s="1"/>
  <c r="X42" i="11"/>
  <c r="BL21" i="11"/>
  <c r="BK20" i="11"/>
  <c r="BL20" i="11" s="1"/>
  <c r="BQ21" i="11"/>
  <c r="AW59" i="11"/>
  <c r="AW51" i="11" s="1"/>
  <c r="BK52" i="11"/>
  <c r="BL52" i="11" s="1"/>
  <c r="BK36" i="11"/>
  <c r="BL36" i="11" s="1"/>
  <c r="BL37" i="11"/>
  <c r="AQ14" i="11"/>
  <c r="AR15" i="11"/>
  <c r="BQ15" i="11"/>
  <c r="F31" i="10"/>
  <c r="F30" i="10" s="1"/>
  <c r="K20" i="10"/>
  <c r="AR29" i="10"/>
  <c r="X43" i="10"/>
  <c r="BK43" i="10"/>
  <c r="W42" i="10"/>
  <c r="X42" i="10" s="1"/>
  <c r="AR39" i="10"/>
  <c r="X34" i="10"/>
  <c r="BK34" i="10"/>
  <c r="BL34" i="10" s="1"/>
  <c r="K36" i="10"/>
  <c r="BQ75" i="10"/>
  <c r="X37" i="10"/>
  <c r="W36" i="10"/>
  <c r="BK37" i="10"/>
  <c r="BK48" i="10"/>
  <c r="BL48" i="10" s="1"/>
  <c r="X48" i="10"/>
  <c r="BQ76" i="10"/>
  <c r="X75" i="10"/>
  <c r="BK75" i="10"/>
  <c r="BL75" i="10" s="1"/>
  <c r="BK53" i="10"/>
  <c r="X53" i="10"/>
  <c r="W52" i="10"/>
  <c r="BK47" i="10"/>
  <c r="W46" i="10"/>
  <c r="X47" i="10"/>
  <c r="AX86" i="10"/>
  <c r="BQ28" i="10"/>
  <c r="BK38" i="10"/>
  <c r="BL38" i="10" s="1"/>
  <c r="X38" i="10"/>
  <c r="AR57" i="10"/>
  <c r="AR71" i="10"/>
  <c r="X78" i="10"/>
  <c r="W77" i="10"/>
  <c r="X77" i="10" s="1"/>
  <c r="BK78" i="10"/>
  <c r="W88" i="10"/>
  <c r="BK85" i="10"/>
  <c r="X85" i="10"/>
  <c r="BQ62" i="10"/>
  <c r="BQ69" i="10"/>
  <c r="AC68" i="10"/>
  <c r="X24" i="10"/>
  <c r="BK24" i="10"/>
  <c r="BL24" i="10" s="1"/>
  <c r="AR26" i="10"/>
  <c r="AR16" i="10"/>
  <c r="AQ15" i="10"/>
  <c r="BG25" i="9"/>
  <c r="BH17" i="9"/>
  <c r="AT17" i="9"/>
  <c r="BI17" i="9"/>
  <c r="AU17" i="9"/>
  <c r="Z19" i="9"/>
  <c r="Y13" i="9"/>
  <c r="AB14" i="9"/>
  <c r="P20" i="9"/>
  <c r="AD20" i="9"/>
  <c r="Q20" i="9"/>
  <c r="AE20" i="9"/>
  <c r="E19" i="9"/>
  <c r="AM19" i="9"/>
  <c r="AC21" i="9"/>
  <c r="BF9" i="9"/>
  <c r="J19" i="9"/>
  <c r="X77" i="11"/>
  <c r="BL80" i="11"/>
  <c r="BQ60" i="11"/>
  <c r="BQ36" i="11"/>
  <c r="BQ39" i="10"/>
  <c r="X68" i="11"/>
  <c r="BQ40" i="11"/>
  <c r="X20" i="11"/>
  <c r="W14" i="11"/>
  <c r="W13" i="11" s="1"/>
  <c r="AQ8" i="11"/>
  <c r="BC8" i="11" s="1"/>
  <c r="AW15" i="10"/>
  <c r="BK26" i="10"/>
  <c r="BL26" i="10" s="1"/>
  <c r="X26" i="10"/>
  <c r="AC60" i="10"/>
  <c r="BQ61" i="10"/>
  <c r="BQ27" i="10"/>
  <c r="X57" i="10"/>
  <c r="BK57" i="10"/>
  <c r="BL57" i="10" s="1"/>
  <c r="F36" i="10"/>
  <c r="AQ80" i="10"/>
  <c r="AR81" i="10"/>
  <c r="AR45" i="10"/>
  <c r="K46" i="10"/>
  <c r="X83" i="10"/>
  <c r="BK83" i="10"/>
  <c r="BL83" i="10" s="1"/>
  <c r="F52" i="10"/>
  <c r="BQ71" i="10"/>
  <c r="BK65" i="10"/>
  <c r="BL65" i="10" s="1"/>
  <c r="X65" i="10"/>
  <c r="BQ64" i="10"/>
  <c r="K88" i="10"/>
  <c r="BK58" i="10"/>
  <c r="BL58" i="10" s="1"/>
  <c r="X58" i="10"/>
  <c r="BQ66" i="10"/>
  <c r="X18" i="10"/>
  <c r="BK18" i="10"/>
  <c r="BL18" i="10" s="1"/>
  <c r="X16" i="10"/>
  <c r="BK16" i="10"/>
  <c r="W15" i="10"/>
  <c r="K15" i="10"/>
  <c r="K14" i="10" s="1"/>
  <c r="K13" i="10" s="1"/>
  <c r="BQ18" i="10"/>
  <c r="AB34" i="9"/>
  <c r="Y33" i="9"/>
  <c r="AE29" i="9"/>
  <c r="L29" i="9"/>
  <c r="AD29" i="9"/>
  <c r="Q29" i="9"/>
  <c r="P29" i="9"/>
  <c r="Q37" i="9"/>
  <c r="P37" i="9"/>
  <c r="AE37" i="9"/>
  <c r="L37" i="9"/>
  <c r="AD37" i="9"/>
  <c r="BG18" i="9"/>
  <c r="K7" i="9"/>
  <c r="K9" i="9" s="1"/>
  <c r="H9" i="9"/>
  <c r="H11" i="9" s="1"/>
  <c r="H19" i="9" s="1"/>
  <c r="H24" i="9" s="1"/>
  <c r="W42" i="9"/>
  <c r="W24" i="9"/>
  <c r="P21" i="9"/>
  <c r="AD21" i="9"/>
  <c r="L21" i="9"/>
  <c r="Q21" i="9"/>
  <c r="AE21" i="9"/>
  <c r="BG21" i="9"/>
  <c r="AX11" i="9"/>
  <c r="AX19" i="9" s="1"/>
  <c r="BC9" i="9"/>
  <c r="BC11" i="9" s="1"/>
  <c r="AL27" i="9"/>
  <c r="AO28" i="9"/>
  <c r="BK35" i="10"/>
  <c r="BL35" i="10" s="1"/>
  <c r="X35" i="10"/>
  <c r="BL69" i="11"/>
  <c r="BK68" i="11"/>
  <c r="BL68" i="11" s="1"/>
  <c r="BL16" i="11"/>
  <c r="BK15" i="11"/>
  <c r="AQ31" i="10"/>
  <c r="AR32" i="10"/>
  <c r="AC51" i="11"/>
  <c r="BQ88" i="11"/>
  <c r="BL42" i="11"/>
  <c r="AQ30" i="11"/>
  <c r="AR30" i="11" s="1"/>
  <c r="AR31" i="11"/>
  <c r="F8" i="11"/>
  <c r="P8" i="11" s="1"/>
  <c r="F14" i="11"/>
  <c r="F13" i="11" s="1"/>
  <c r="AC15" i="10"/>
  <c r="BQ16" i="10"/>
  <c r="BK76" i="10"/>
  <c r="BL76" i="10" s="1"/>
  <c r="X76" i="10"/>
  <c r="BK28" i="10"/>
  <c r="BL28" i="10" s="1"/>
  <c r="X28" i="10"/>
  <c r="AW31" i="10"/>
  <c r="BQ58" i="10"/>
  <c r="AW36" i="10"/>
  <c r="AQ46" i="10"/>
  <c r="AR46" i="10" s="1"/>
  <c r="AR47" i="10"/>
  <c r="X87" i="10"/>
  <c r="BK87" i="10"/>
  <c r="BL87" i="10" s="1"/>
  <c r="F46" i="10"/>
  <c r="BQ33" i="10"/>
  <c r="AC88" i="10"/>
  <c r="BQ85" i="10"/>
  <c r="AW68" i="10"/>
  <c r="AW52" i="10"/>
  <c r="AR41" i="10"/>
  <c r="AQ40" i="10"/>
  <c r="AR40" i="10" s="1"/>
  <c r="BK64" i="10"/>
  <c r="BL64" i="10" s="1"/>
  <c r="X64" i="10"/>
  <c r="BQ70" i="10"/>
  <c r="BQ87" i="10"/>
  <c r="BQ56" i="10"/>
  <c r="AR85" i="10"/>
  <c r="AQ88" i="10"/>
  <c r="AR88" i="10" s="1"/>
  <c r="AR24" i="10"/>
  <c r="BQ53" i="10"/>
  <c r="AC52" i="10"/>
  <c r="AR87" i="10"/>
  <c r="AR41" i="9"/>
  <c r="AR47" i="9"/>
  <c r="BK29" i="10"/>
  <c r="BL29" i="10" s="1"/>
  <c r="X29" i="10"/>
  <c r="BQ17" i="10"/>
  <c r="BG37" i="9"/>
  <c r="BE19" i="9"/>
  <c r="AZ19" i="9"/>
  <c r="AD15" i="9"/>
  <c r="P15" i="9"/>
  <c r="AE15" i="9"/>
  <c r="Q15" i="9"/>
  <c r="L15" i="9"/>
  <c r="BG20" i="9"/>
  <c r="BD19" i="9"/>
  <c r="AD16" i="9"/>
  <c r="L16" i="9"/>
  <c r="AE16" i="9"/>
  <c r="AT21" i="9"/>
  <c r="BH21" i="9"/>
  <c r="AU21" i="9"/>
  <c r="BI21" i="9"/>
  <c r="P10" i="9"/>
  <c r="AD10" i="9"/>
  <c r="AE10" i="9"/>
  <c r="L10" i="9"/>
  <c r="Q10" i="9"/>
  <c r="G19" i="9"/>
  <c r="P22" i="9"/>
  <c r="AD22" i="9"/>
  <c r="AE22" i="9"/>
  <c r="L22" i="9"/>
  <c r="Q22" i="9"/>
  <c r="BG10" i="9"/>
  <c r="AW77" i="10"/>
  <c r="BQ32" i="10"/>
  <c r="AC31" i="10"/>
  <c r="BK49" i="10"/>
  <c r="BL49" i="10" s="1"/>
  <c r="X49" i="10"/>
  <c r="BQ72" i="10"/>
  <c r="BK86" i="10"/>
  <c r="BL86" i="10" s="1"/>
  <c r="X86" i="10"/>
  <c r="AR54" i="10"/>
  <c r="BK63" i="10"/>
  <c r="BL63" i="10" s="1"/>
  <c r="X63" i="10"/>
  <c r="X71" i="10"/>
  <c r="BK71" i="10"/>
  <c r="BL71" i="10" s="1"/>
  <c r="AC42" i="10"/>
  <c r="BQ43" i="10"/>
  <c r="AC77" i="10"/>
  <c r="BQ78" i="10"/>
  <c r="BQ48" i="10"/>
  <c r="AR64" i="10"/>
  <c r="AW88" i="10"/>
  <c r="X25" i="10"/>
  <c r="BK25" i="10"/>
  <c r="BL25" i="10" s="1"/>
  <c r="AR43" i="10"/>
  <c r="AQ42" i="10"/>
  <c r="AR42" i="10" s="1"/>
  <c r="X62" i="10"/>
  <c r="BK62" i="10"/>
  <c r="BL62" i="10" s="1"/>
  <c r="BQ74" i="10"/>
  <c r="BQ24" i="10"/>
  <c r="AS11" i="9"/>
  <c r="BQ25" i="10"/>
  <c r="AC37" i="9"/>
  <c r="AA42" i="9"/>
  <c r="AA24" i="9"/>
  <c r="AJ42" i="9"/>
  <c r="AJ24" i="9"/>
  <c r="K14" i="9"/>
  <c r="H13" i="9"/>
  <c r="AU35" i="9"/>
  <c r="AT35" i="9"/>
  <c r="BI35" i="9"/>
  <c r="BH35" i="9"/>
  <c r="AT20" i="9"/>
  <c r="BH20" i="9"/>
  <c r="AU20" i="9"/>
  <c r="BI20" i="9"/>
  <c r="U19" i="9"/>
  <c r="BH16" i="9"/>
  <c r="BI16" i="9"/>
  <c r="AP16" i="9"/>
  <c r="BH15" i="9"/>
  <c r="AT15" i="9"/>
  <c r="BI15" i="9"/>
  <c r="AU15" i="9"/>
  <c r="AD17" i="9"/>
  <c r="P17" i="9"/>
  <c r="AE17" i="9"/>
  <c r="Q17" i="9"/>
  <c r="L17" i="9"/>
  <c r="AT10" i="9"/>
  <c r="BH10" i="9"/>
  <c r="AU10" i="9"/>
  <c r="BI10" i="9"/>
  <c r="AD25" i="9"/>
  <c r="P25" i="9"/>
  <c r="Q25" i="9"/>
  <c r="L25" i="9"/>
  <c r="AE25" i="9"/>
  <c r="AD55" i="10"/>
  <c r="BQ55" i="10"/>
  <c r="BR55" i="10" s="1"/>
  <c r="BK54" i="10"/>
  <c r="BL54" i="10" s="1"/>
  <c r="X54" i="10"/>
  <c r="X61" i="10"/>
  <c r="BK61" i="10"/>
  <c r="W60" i="10"/>
  <c r="F60" i="10"/>
  <c r="F59" i="10" s="1"/>
  <c r="K51" i="10"/>
  <c r="BQ41" i="10"/>
  <c r="AC40" i="10"/>
  <c r="AD86" i="10"/>
  <c r="BQ86" i="10"/>
  <c r="BR86" i="10" s="1"/>
  <c r="AR78" i="10"/>
  <c r="AQ77" i="10"/>
  <c r="AR77" i="10" s="1"/>
  <c r="BK19" i="10"/>
  <c r="BL19" i="10" s="1"/>
  <c r="X19" i="10"/>
  <c r="X44" i="10"/>
  <c r="BK44" i="10"/>
  <c r="BL44" i="10" s="1"/>
  <c r="F80" i="10"/>
  <c r="BQ83" i="10"/>
  <c r="BK17" i="10"/>
  <c r="BL17" i="10" s="1"/>
  <c r="X17" i="10"/>
  <c r="X22" i="10"/>
  <c r="W21" i="10"/>
  <c r="BK22" i="10"/>
  <c r="BG35" i="9"/>
  <c r="V19" i="9"/>
  <c r="AL33" i="9"/>
  <c r="AO34" i="9"/>
  <c r="BC13" i="9"/>
  <c r="BF14" i="9"/>
  <c r="BG30" i="9"/>
  <c r="BG15" i="9"/>
  <c r="AK42" i="9"/>
  <c r="AK24" i="9"/>
  <c r="AC15" i="9"/>
  <c r="BG16" i="9"/>
  <c r="BG22" i="9"/>
  <c r="BQ23" i="10"/>
  <c r="BK23" i="10"/>
  <c r="BL23" i="10" s="1"/>
  <c r="X23" i="10"/>
  <c r="BK33" i="10"/>
  <c r="BL33" i="10" s="1"/>
  <c r="X33" i="10"/>
  <c r="K30" i="10"/>
  <c r="AW42" i="10"/>
  <c r="AR55" i="10"/>
  <c r="BQ67" i="10"/>
  <c r="BK56" i="10"/>
  <c r="BL56" i="10" s="1"/>
  <c r="X56" i="10"/>
  <c r="AX55" i="10"/>
  <c r="BQ73" i="10"/>
  <c r="W80" i="10"/>
  <c r="BK81" i="10"/>
  <c r="X81" i="10"/>
  <c r="AR61" i="10"/>
  <c r="AQ60" i="10"/>
  <c r="BK72" i="10"/>
  <c r="BL72" i="10" s="1"/>
  <c r="X72" i="10"/>
  <c r="BQ34" i="10"/>
  <c r="X70" i="10"/>
  <c r="BK70" i="10"/>
  <c r="BL70" i="10" s="1"/>
  <c r="AW80" i="10"/>
  <c r="K60" i="10"/>
  <c r="K59" i="10" s="1"/>
  <c r="AQ21" i="10"/>
  <c r="AR22" i="10"/>
  <c r="O11" i="9"/>
  <c r="N47" i="9"/>
  <c r="N41" i="9"/>
  <c r="O41" i="9" s="1"/>
  <c r="F19" i="9"/>
  <c r="BA24" i="9"/>
  <c r="BA42" i="9"/>
  <c r="BG29" i="9"/>
  <c r="AO14" i="9"/>
  <c r="AL13" i="9"/>
  <c r="H33" i="9"/>
  <c r="K34" i="9"/>
  <c r="Q35" i="9"/>
  <c r="P35" i="9"/>
  <c r="AE35" i="9"/>
  <c r="L35" i="9"/>
  <c r="AD35" i="9"/>
  <c r="AC16" i="9"/>
  <c r="AC9" i="9"/>
  <c r="AC32" i="9"/>
  <c r="AB11" i="9"/>
  <c r="AC31" i="9"/>
  <c r="AU37" i="9"/>
  <c r="AT37" i="9"/>
  <c r="BI37" i="9"/>
  <c r="AP37" i="9"/>
  <c r="BH37" i="9"/>
  <c r="BB42" i="9"/>
  <c r="BB24" i="9"/>
  <c r="AT22" i="9"/>
  <c r="BH22" i="9"/>
  <c r="AU22" i="9"/>
  <c r="BI22" i="9"/>
  <c r="AP22" i="9"/>
  <c r="BQ26" i="10"/>
  <c r="BQ81" i="10"/>
  <c r="AC80" i="10"/>
  <c r="BL85" i="11"/>
  <c r="BK88" i="11"/>
  <c r="BL88" i="11" s="1"/>
  <c r="BQ77" i="11"/>
  <c r="AR80" i="11"/>
  <c r="X80" i="11"/>
  <c r="BK60" i="11"/>
  <c r="BL61" i="11"/>
  <c r="AR52" i="11"/>
  <c r="AQ51" i="11"/>
  <c r="BK40" i="11"/>
  <c r="BL40" i="11" s="1"/>
  <c r="BL41" i="11"/>
  <c r="BQ42" i="11"/>
  <c r="AC30" i="11"/>
  <c r="AC14" i="11"/>
  <c r="AW21" i="10"/>
  <c r="AW40" i="10"/>
  <c r="AC21" i="10"/>
  <c r="BQ22" i="10"/>
  <c r="AR28" i="10"/>
  <c r="BQ35" i="10"/>
  <c r="X73" i="10"/>
  <c r="BK73" i="10"/>
  <c r="BL73" i="10" s="1"/>
  <c r="BK32" i="10"/>
  <c r="W31" i="10"/>
  <c r="X32" i="10"/>
  <c r="AR70" i="10"/>
  <c r="BQ45" i="10"/>
  <c r="X69" i="10"/>
  <c r="BK69" i="10"/>
  <c r="W68" i="10"/>
  <c r="X68" i="10" s="1"/>
  <c r="AR74" i="10"/>
  <c r="AR58" i="10"/>
  <c r="BQ79" i="10"/>
  <c r="BQ82" i="10"/>
  <c r="BQ57" i="10"/>
  <c r="BQ65" i="10"/>
  <c r="BK55" i="10"/>
  <c r="BL55" i="10" s="1"/>
  <c r="X55" i="10"/>
  <c r="F68" i="10"/>
  <c r="K52" i="10"/>
  <c r="AR63" i="10"/>
  <c r="AR66" i="10"/>
  <c r="AR73" i="10"/>
  <c r="AR19" i="10"/>
  <c r="BF34" i="9"/>
  <c r="BC33" i="9"/>
  <c r="BH25" i="9"/>
  <c r="AT25" i="9"/>
  <c r="AU25" i="9"/>
  <c r="AP25" i="9"/>
  <c r="BI25" i="9"/>
  <c r="I42" i="9"/>
  <c r="I24" i="9"/>
  <c r="AD18" i="9"/>
  <c r="P18" i="9"/>
  <c r="AE18" i="9"/>
  <c r="Q18" i="9"/>
  <c r="L18" i="9"/>
  <c r="Y27" i="9"/>
  <c r="AB28" i="9"/>
  <c r="AN42" i="9"/>
  <c r="AN24" i="9"/>
  <c r="BI29" i="9"/>
  <c r="AP29" i="9"/>
  <c r="BH29" i="9"/>
  <c r="AU29" i="9"/>
  <c r="AT29" i="9"/>
  <c r="BF28" i="9"/>
  <c r="BC27" i="9"/>
  <c r="AE30" i="9"/>
  <c r="L30" i="9"/>
  <c r="AD30" i="9"/>
  <c r="Q30" i="9"/>
  <c r="P30" i="9"/>
  <c r="T11" i="9"/>
  <c r="T19" i="9" s="1"/>
  <c r="Y9" i="9"/>
  <c r="Y11" i="9" s="1"/>
  <c r="Y19" i="9" s="1"/>
  <c r="Y24" i="9" s="1"/>
  <c r="AO7" i="9"/>
  <c r="AO9" i="9" s="1"/>
  <c r="AP21" i="9" s="1"/>
  <c r="AL9" i="9"/>
  <c r="AL11" i="9" s="1"/>
  <c r="BH18" i="9"/>
  <c r="AT18" i="9"/>
  <c r="BI18" i="9"/>
  <c r="AU18" i="9"/>
  <c r="AP18" i="9"/>
  <c r="X27" i="10"/>
  <c r="BK27" i="10"/>
  <c r="BL27" i="10" s="1"/>
  <c r="BQ38" i="10"/>
  <c r="BQ54" i="10"/>
  <c r="X66" i="10"/>
  <c r="BK66" i="10"/>
  <c r="BL66" i="10" s="1"/>
  <c r="AR68" i="11"/>
  <c r="F59" i="11"/>
  <c r="AR59" i="11" s="1"/>
  <c r="W59" i="11"/>
  <c r="W51" i="11" s="1"/>
  <c r="X60" i="11"/>
  <c r="AR42" i="11"/>
  <c r="AQ13" i="11"/>
  <c r="BL31" i="11"/>
  <c r="AW20" i="11"/>
  <c r="AW14" i="11" s="1"/>
  <c r="F20" i="10"/>
  <c r="F14" i="10" s="1"/>
  <c r="F13" i="10" s="1"/>
  <c r="AW46" i="10"/>
  <c r="BQ44" i="10"/>
  <c r="BQ37" i="10"/>
  <c r="AC36" i="10"/>
  <c r="BK39" i="10"/>
  <c r="BL39" i="10" s="1"/>
  <c r="X39" i="10"/>
  <c r="X41" i="10"/>
  <c r="W40" i="10"/>
  <c r="X40" i="10" s="1"/>
  <c r="BK41" i="10"/>
  <c r="AR34" i="10"/>
  <c r="BK79" i="10"/>
  <c r="BL79" i="10" s="1"/>
  <c r="X79" i="10"/>
  <c r="AC46" i="10"/>
  <c r="BQ47" i="10"/>
  <c r="X82" i="10"/>
  <c r="BK82" i="10"/>
  <c r="BL82" i="10" s="1"/>
  <c r="BQ63" i="10"/>
  <c r="BQ49" i="10"/>
  <c r="F88" i="10"/>
  <c r="AR69" i="10"/>
  <c r="AQ68" i="10"/>
  <c r="AR68" i="10" s="1"/>
  <c r="X45" i="10"/>
  <c r="BK45" i="10"/>
  <c r="BL45" i="10" s="1"/>
  <c r="AR53" i="10"/>
  <c r="AQ52" i="10"/>
  <c r="AR52" i="10" s="1"/>
  <c r="AR37" i="10"/>
  <c r="AQ36" i="10"/>
  <c r="AR36" i="10" s="1"/>
  <c r="AW60" i="10"/>
  <c r="X67" i="10"/>
  <c r="BK67" i="10"/>
  <c r="BL67" i="10" s="1"/>
  <c r="X74" i="10"/>
  <c r="BK74" i="10"/>
  <c r="BL74" i="10" s="1"/>
  <c r="BQ29" i="10"/>
  <c r="AR17" i="10"/>
  <c r="BQ19" i="10"/>
  <c r="BI30" i="9"/>
  <c r="AP30" i="9"/>
  <c r="BH30" i="9"/>
  <c r="AU30" i="9"/>
  <c r="AT30" i="9"/>
  <c r="AY19" i="9"/>
  <c r="BG17" i="9"/>
  <c r="AC20" i="9"/>
  <c r="X42" i="9"/>
  <c r="X24" i="9"/>
  <c r="K28" i="9"/>
  <c r="H27" i="9"/>
  <c r="AC29" i="9"/>
  <c r="AI19" i="9"/>
  <c r="AC18" i="9"/>
  <c r="BK30" i="11" l="1"/>
  <c r="BL30" i="11" s="1"/>
  <c r="K11" i="10"/>
  <c r="X13" i="11"/>
  <c r="AR13" i="11"/>
  <c r="W50" i="12"/>
  <c r="V108" i="12"/>
  <c r="V40" i="12"/>
  <c r="W108" i="12"/>
  <c r="N110" i="12"/>
  <c r="N103" i="12"/>
  <c r="N102" i="12"/>
  <c r="W40" i="12"/>
  <c r="N135" i="12"/>
  <c r="N146" i="12" s="1"/>
  <c r="Y35" i="12"/>
  <c r="W52" i="12"/>
  <c r="W51" i="12"/>
  <c r="S59" i="12"/>
  <c r="O138" i="12"/>
  <c r="Y126" i="12"/>
  <c r="Y98" i="12"/>
  <c r="Y109" i="12" s="1"/>
  <c r="Y30" i="12"/>
  <c r="Y28" i="12"/>
  <c r="Y29" i="12"/>
  <c r="K137" i="12"/>
  <c r="K146" i="12"/>
  <c r="Y19" i="12"/>
  <c r="Y18" i="12"/>
  <c r="Y17" i="12"/>
  <c r="P103" i="12"/>
  <c r="P110" i="12"/>
  <c r="P102" i="12"/>
  <c r="P101" i="12"/>
  <c r="X99" i="12"/>
  <c r="P135" i="12"/>
  <c r="U108" i="12"/>
  <c r="Y97" i="12"/>
  <c r="W128" i="12"/>
  <c r="W121" i="12"/>
  <c r="W120" i="12"/>
  <c r="W119" i="12"/>
  <c r="J139" i="12"/>
  <c r="J146" i="12"/>
  <c r="J138" i="12"/>
  <c r="J137" i="12"/>
  <c r="K134" i="12"/>
  <c r="K139" i="12" s="1"/>
  <c r="Y100" i="12"/>
  <c r="Y107" i="12"/>
  <c r="Y70" i="12"/>
  <c r="Y69" i="12"/>
  <c r="Y77" i="12"/>
  <c r="Y68" i="12"/>
  <c r="S52" i="12"/>
  <c r="S30" i="12"/>
  <c r="S29" i="12"/>
  <c r="S28" i="12"/>
  <c r="S136" i="12"/>
  <c r="S143" i="12"/>
  <c r="K108" i="12"/>
  <c r="S97" i="12"/>
  <c r="S108" i="12" s="1"/>
  <c r="Y136" i="12"/>
  <c r="Y143" i="12"/>
  <c r="R139" i="12"/>
  <c r="R146" i="12"/>
  <c r="R138" i="12"/>
  <c r="R137" i="12"/>
  <c r="K41" i="12"/>
  <c r="K40" i="12"/>
  <c r="K39" i="12"/>
  <c r="S37" i="12"/>
  <c r="S128" i="12" s="1"/>
  <c r="U102" i="12"/>
  <c r="V133" i="12"/>
  <c r="V144" i="12" s="1"/>
  <c r="X134" i="12"/>
  <c r="X145" i="12" s="1"/>
  <c r="P145" i="12"/>
  <c r="U133" i="12"/>
  <c r="U138" i="12" s="1"/>
  <c r="K133" i="12"/>
  <c r="K138" i="12" s="1"/>
  <c r="F144" i="12"/>
  <c r="U145" i="12"/>
  <c r="X120" i="12"/>
  <c r="X119" i="12"/>
  <c r="X121" i="12"/>
  <c r="X128" i="12"/>
  <c r="M145" i="12"/>
  <c r="W134" i="12"/>
  <c r="W145" i="12" s="1"/>
  <c r="U40" i="12"/>
  <c r="X51" i="12"/>
  <c r="X52" i="12"/>
  <c r="X50" i="12"/>
  <c r="X59" i="12"/>
  <c r="Y48" i="12"/>
  <c r="I145" i="12"/>
  <c r="V134" i="12"/>
  <c r="V145" i="12" s="1"/>
  <c r="Y117" i="12"/>
  <c r="Y86" i="12"/>
  <c r="Y92" i="12"/>
  <c r="Y85" i="12"/>
  <c r="M101" i="12"/>
  <c r="M135" i="12"/>
  <c r="M110" i="12"/>
  <c r="M103" i="12"/>
  <c r="M102" i="12"/>
  <c r="W99" i="12"/>
  <c r="H144" i="12"/>
  <c r="H138" i="12"/>
  <c r="Y74" i="12"/>
  <c r="Y67" i="12"/>
  <c r="L103" i="12"/>
  <c r="L101" i="12"/>
  <c r="L135" i="12"/>
  <c r="L110" i="12"/>
  <c r="L102" i="12"/>
  <c r="V99" i="12"/>
  <c r="Y41" i="12"/>
  <c r="Y40" i="12"/>
  <c r="Y39" i="12"/>
  <c r="Y57" i="12"/>
  <c r="U146" i="12"/>
  <c r="U139" i="12"/>
  <c r="U137" i="12"/>
  <c r="Q135" i="12"/>
  <c r="Q110" i="12"/>
  <c r="Q102" i="12"/>
  <c r="Q103" i="12"/>
  <c r="Q101" i="12"/>
  <c r="K102" i="12"/>
  <c r="K110" i="12"/>
  <c r="S99" i="12"/>
  <c r="K103" i="12"/>
  <c r="K101" i="12"/>
  <c r="S57" i="12"/>
  <c r="M144" i="12"/>
  <c r="W133" i="12"/>
  <c r="W144" i="12" s="1"/>
  <c r="S119" i="12"/>
  <c r="S121" i="12"/>
  <c r="S120" i="12"/>
  <c r="G138" i="12"/>
  <c r="S126" i="12"/>
  <c r="BD34" i="10"/>
  <c r="AD34" i="10"/>
  <c r="AJ34" i="10"/>
  <c r="AX34" i="10"/>
  <c r="BD64" i="10"/>
  <c r="AJ64" i="10"/>
  <c r="AX64" i="10"/>
  <c r="AD64" i="10"/>
  <c r="P36" i="10"/>
  <c r="AD37" i="10"/>
  <c r="BD37" i="10"/>
  <c r="AX37" i="10"/>
  <c r="AJ37" i="10"/>
  <c r="L63" i="11"/>
  <c r="H63" i="11"/>
  <c r="I63" i="11" s="1"/>
  <c r="M63" i="11"/>
  <c r="N63" i="11" s="1"/>
  <c r="G63" i="11"/>
  <c r="V63" i="11"/>
  <c r="AX67" i="10"/>
  <c r="BD67" i="10"/>
  <c r="AD67" i="10"/>
  <c r="AJ67" i="10"/>
  <c r="AT28" i="11"/>
  <c r="AU28" i="11" s="1"/>
  <c r="AS28" i="11"/>
  <c r="AY28" i="11"/>
  <c r="AZ28" i="11"/>
  <c r="BA28" i="11" s="1"/>
  <c r="AP28" i="11"/>
  <c r="BI28" i="11"/>
  <c r="AT58" i="11"/>
  <c r="AU58" i="11" s="1"/>
  <c r="AY58" i="11"/>
  <c r="AS58" i="11"/>
  <c r="AP58" i="11"/>
  <c r="AZ58" i="11"/>
  <c r="BA58" i="11" s="1"/>
  <c r="BI58" i="11"/>
  <c r="AX49" i="10"/>
  <c r="BD49" i="10"/>
  <c r="AD49" i="10"/>
  <c r="Y17" i="10"/>
  <c r="AL17" i="10"/>
  <c r="AM17" i="10" s="1"/>
  <c r="AK17" i="10"/>
  <c r="Z17" i="10"/>
  <c r="AA17" i="10" s="1"/>
  <c r="AF17" i="10"/>
  <c r="AG17" i="10" s="1"/>
  <c r="V17" i="10"/>
  <c r="AE17" i="10"/>
  <c r="BI17" i="10"/>
  <c r="Q86" i="10"/>
  <c r="CD86" i="10"/>
  <c r="L86" i="10"/>
  <c r="G86" i="10"/>
  <c r="H86" i="10"/>
  <c r="I86" i="10" s="1"/>
  <c r="M86" i="10"/>
  <c r="N86" i="10" s="1"/>
  <c r="R86" i="10"/>
  <c r="S86" i="10" s="1"/>
  <c r="AP86" i="10"/>
  <c r="V86" i="10"/>
  <c r="AJ79" i="10"/>
  <c r="AD79" i="10"/>
  <c r="AX79" i="10"/>
  <c r="BD79" i="10"/>
  <c r="CD37" i="10"/>
  <c r="L37" i="10"/>
  <c r="Q37" i="10"/>
  <c r="R37" i="10"/>
  <c r="S37" i="10" s="1"/>
  <c r="M37" i="10"/>
  <c r="N37" i="10" s="1"/>
  <c r="E36" i="10"/>
  <c r="H37" i="10"/>
  <c r="I37" i="10" s="1"/>
  <c r="G37" i="10"/>
  <c r="V37" i="10"/>
  <c r="AP37" i="10"/>
  <c r="R27" i="10"/>
  <c r="S27" i="10" s="1"/>
  <c r="G27" i="10"/>
  <c r="Q27" i="10"/>
  <c r="CD27" i="10"/>
  <c r="M27" i="10"/>
  <c r="N27" i="10" s="1"/>
  <c r="L27" i="10"/>
  <c r="H27" i="10"/>
  <c r="I27" i="10" s="1"/>
  <c r="AP27" i="10"/>
  <c r="R29" i="10"/>
  <c r="S29" i="10" s="1"/>
  <c r="H29" i="10"/>
  <c r="I29" i="10" s="1"/>
  <c r="CD29" i="10"/>
  <c r="M29" i="10"/>
  <c r="N29" i="10" s="1"/>
  <c r="G29" i="10"/>
  <c r="Q29" i="10"/>
  <c r="L29" i="10"/>
  <c r="V29" i="10"/>
  <c r="AP29" i="10"/>
  <c r="Y65" i="10"/>
  <c r="AF65" i="10"/>
  <c r="AG65" i="10" s="1"/>
  <c r="Z65" i="10"/>
  <c r="AA65" i="10" s="1"/>
  <c r="BI65" i="10"/>
  <c r="AL65" i="10"/>
  <c r="AM65" i="10" s="1"/>
  <c r="V65" i="10"/>
  <c r="AK65" i="10"/>
  <c r="AE65" i="10"/>
  <c r="Z16" i="10"/>
  <c r="AA16" i="10" s="1"/>
  <c r="BI16" i="10"/>
  <c r="U15" i="10"/>
  <c r="AL16" i="10"/>
  <c r="AM16" i="10" s="1"/>
  <c r="AK16" i="10"/>
  <c r="Y16" i="10"/>
  <c r="AF16" i="10"/>
  <c r="AG16" i="10" s="1"/>
  <c r="V16" i="10"/>
  <c r="AE16" i="10"/>
  <c r="M61" i="10"/>
  <c r="N61" i="10" s="1"/>
  <c r="CD61" i="10"/>
  <c r="R61" i="10"/>
  <c r="S61" i="10" s="1"/>
  <c r="E60" i="10"/>
  <c r="Q61" i="10"/>
  <c r="L61" i="10"/>
  <c r="H61" i="10"/>
  <c r="I61" i="10" s="1"/>
  <c r="G61" i="10"/>
  <c r="AP61" i="10"/>
  <c r="BD54" i="10"/>
  <c r="AD54" i="10"/>
  <c r="AJ54" i="10"/>
  <c r="AX54" i="10"/>
  <c r="M38" i="10"/>
  <c r="N38" i="10" s="1"/>
  <c r="CD38" i="10"/>
  <c r="H38" i="10"/>
  <c r="I38" i="10" s="1"/>
  <c r="G38" i="10"/>
  <c r="R38" i="10"/>
  <c r="S38" i="10" s="1"/>
  <c r="Q38" i="10"/>
  <c r="L38" i="10"/>
  <c r="V38" i="10"/>
  <c r="AP38" i="10"/>
  <c r="AJ26" i="10"/>
  <c r="AD26" i="10"/>
  <c r="AX26" i="10"/>
  <c r="BD26" i="10"/>
  <c r="BW61" i="10"/>
  <c r="AI60" i="10"/>
  <c r="AJ61" i="10"/>
  <c r="AJ66" i="10"/>
  <c r="AX66" i="10"/>
  <c r="AD66" i="10"/>
  <c r="BD66" i="10"/>
  <c r="AD28" i="10"/>
  <c r="AX28" i="10"/>
  <c r="BD28" i="10"/>
  <c r="AJ28" i="10"/>
  <c r="P15" i="10"/>
  <c r="AX16" i="10"/>
  <c r="Q16" i="10"/>
  <c r="BD16" i="10"/>
  <c r="R16" i="10"/>
  <c r="S16" i="10" s="1"/>
  <c r="AD16" i="10"/>
  <c r="G18" i="11"/>
  <c r="L18" i="11"/>
  <c r="M18" i="11"/>
  <c r="N18" i="11" s="1"/>
  <c r="H18" i="11"/>
  <c r="I18" i="11" s="1"/>
  <c r="V18" i="11"/>
  <c r="L28" i="11"/>
  <c r="M28" i="11"/>
  <c r="N28" i="11" s="1"/>
  <c r="H28" i="11"/>
  <c r="I28" i="11" s="1"/>
  <c r="G28" i="11"/>
  <c r="V28" i="11"/>
  <c r="M38" i="11"/>
  <c r="N38" i="11" s="1"/>
  <c r="L38" i="11"/>
  <c r="H38" i="11"/>
  <c r="I38" i="11" s="1"/>
  <c r="G38" i="11"/>
  <c r="V38" i="11"/>
  <c r="E42" i="11"/>
  <c r="H43" i="11"/>
  <c r="I43" i="11" s="1"/>
  <c r="G43" i="11"/>
  <c r="M43" i="11"/>
  <c r="N43" i="11" s="1"/>
  <c r="L43" i="11"/>
  <c r="V43" i="11"/>
  <c r="L67" i="11"/>
  <c r="M67" i="11"/>
  <c r="N67" i="11" s="1"/>
  <c r="H67" i="11"/>
  <c r="I67" i="11" s="1"/>
  <c r="G67" i="11"/>
  <c r="V67" i="11"/>
  <c r="G74" i="11"/>
  <c r="M74" i="11"/>
  <c r="N74" i="11" s="1"/>
  <c r="L74" i="11"/>
  <c r="H74" i="11"/>
  <c r="I74" i="11" s="1"/>
  <c r="V74" i="11"/>
  <c r="H82" i="11"/>
  <c r="I82" i="11" s="1"/>
  <c r="G82" i="11"/>
  <c r="M82" i="11"/>
  <c r="N82" i="11" s="1"/>
  <c r="L82" i="11"/>
  <c r="V82" i="11"/>
  <c r="AF24" i="10"/>
  <c r="AG24" i="10" s="1"/>
  <c r="V24" i="10"/>
  <c r="AL24" i="10"/>
  <c r="AM24" i="10" s="1"/>
  <c r="AK24" i="10"/>
  <c r="Z24" i="10"/>
  <c r="AA24" i="10" s="1"/>
  <c r="Y24" i="10"/>
  <c r="AE24" i="10"/>
  <c r="BI24" i="10"/>
  <c r="R72" i="10"/>
  <c r="S72" i="10" s="1"/>
  <c r="CD72" i="10"/>
  <c r="G72" i="10"/>
  <c r="Q72" i="10"/>
  <c r="M72" i="10"/>
  <c r="N72" i="10" s="1"/>
  <c r="L72" i="10"/>
  <c r="H72" i="10"/>
  <c r="I72" i="10" s="1"/>
  <c r="AP72" i="10"/>
  <c r="Q28" i="10"/>
  <c r="CD28" i="10"/>
  <c r="L28" i="10"/>
  <c r="H28" i="10"/>
  <c r="I28" i="10" s="1"/>
  <c r="R28" i="10"/>
  <c r="S28" i="10" s="1"/>
  <c r="M28" i="10"/>
  <c r="N28" i="10" s="1"/>
  <c r="G28" i="10"/>
  <c r="AP28" i="10"/>
  <c r="V28" i="10"/>
  <c r="AJ33" i="10"/>
  <c r="AD33" i="10"/>
  <c r="BD33" i="10"/>
  <c r="AX33" i="10"/>
  <c r="AP39" i="11"/>
  <c r="AZ39" i="11"/>
  <c r="BA39" i="11" s="1"/>
  <c r="AY39" i="11"/>
  <c r="AT39" i="11"/>
  <c r="AU39" i="11" s="1"/>
  <c r="AS39" i="11"/>
  <c r="BI39" i="11"/>
  <c r="AT29" i="11"/>
  <c r="AU29" i="11" s="1"/>
  <c r="AS29" i="11"/>
  <c r="AP29" i="11"/>
  <c r="AZ29" i="11"/>
  <c r="BA29" i="11" s="1"/>
  <c r="AY29" i="11"/>
  <c r="BI29" i="11"/>
  <c r="AZ48" i="11"/>
  <c r="BA48" i="11" s="1"/>
  <c r="AP48" i="11"/>
  <c r="AY48" i="11"/>
  <c r="AT48" i="11"/>
  <c r="AU48" i="11" s="1"/>
  <c r="AS48" i="11"/>
  <c r="BI48" i="11"/>
  <c r="AO60" i="11"/>
  <c r="AT61" i="11"/>
  <c r="AU61" i="11" s="1"/>
  <c r="AY61" i="11"/>
  <c r="AS61" i="11"/>
  <c r="AZ61" i="11"/>
  <c r="BA61" i="11" s="1"/>
  <c r="AP61" i="11"/>
  <c r="BI61" i="11"/>
  <c r="AS75" i="11"/>
  <c r="AT75" i="11"/>
  <c r="AU75" i="11" s="1"/>
  <c r="AY75" i="11"/>
  <c r="AP75" i="11"/>
  <c r="AZ75" i="11"/>
  <c r="BA75" i="11" s="1"/>
  <c r="BI75" i="11"/>
  <c r="AY72" i="11"/>
  <c r="AP72" i="11"/>
  <c r="AZ72" i="11"/>
  <c r="BA72" i="11" s="1"/>
  <c r="AT72" i="11"/>
  <c r="AU72" i="11" s="1"/>
  <c r="AS72" i="11"/>
  <c r="BI72" i="11"/>
  <c r="P46" i="10"/>
  <c r="AD47" i="10"/>
  <c r="AJ47" i="10"/>
  <c r="AX47" i="10"/>
  <c r="BD47" i="10"/>
  <c r="R33" i="10"/>
  <c r="S33" i="10" s="1"/>
  <c r="G33" i="10"/>
  <c r="Q33" i="10"/>
  <c r="L33" i="10"/>
  <c r="CD33" i="10"/>
  <c r="M33" i="10"/>
  <c r="N33" i="10" s="1"/>
  <c r="H33" i="10"/>
  <c r="I33" i="10" s="1"/>
  <c r="AP33" i="10"/>
  <c r="V33" i="10"/>
  <c r="AJ18" i="10"/>
  <c r="BW18" i="10"/>
  <c r="BX18" i="10" s="1"/>
  <c r="Z71" i="10"/>
  <c r="AA71" i="10" s="1"/>
  <c r="AF71" i="10"/>
  <c r="AG71" i="10" s="1"/>
  <c r="V71" i="10"/>
  <c r="AL71" i="10"/>
  <c r="AM71" i="10" s="1"/>
  <c r="Y71" i="10"/>
  <c r="BI71" i="10"/>
  <c r="AK71" i="10"/>
  <c r="AE71" i="10"/>
  <c r="U68" i="10"/>
  <c r="BD18" i="10"/>
  <c r="AX18" i="10"/>
  <c r="AD18" i="10"/>
  <c r="AF73" i="10"/>
  <c r="AG73" i="10" s="1"/>
  <c r="Y73" i="10"/>
  <c r="AL73" i="10"/>
  <c r="AM73" i="10" s="1"/>
  <c r="V73" i="10"/>
  <c r="AK73" i="10"/>
  <c r="Z73" i="10"/>
  <c r="AA73" i="10" s="1"/>
  <c r="BI73" i="10"/>
  <c r="AE73" i="10"/>
  <c r="AS16" i="10"/>
  <c r="AO15" i="10"/>
  <c r="BF16" i="10"/>
  <c r="BG16" i="10" s="1"/>
  <c r="BE16" i="10"/>
  <c r="AT16" i="10"/>
  <c r="AU16" i="10" s="1"/>
  <c r="AZ16" i="10"/>
  <c r="BA16" i="10" s="1"/>
  <c r="AP16" i="10"/>
  <c r="AY16" i="10"/>
  <c r="AK76" i="10"/>
  <c r="Z76" i="10"/>
  <c r="AA76" i="10" s="1"/>
  <c r="Y76" i="10"/>
  <c r="V76" i="10"/>
  <c r="AF76" i="10"/>
  <c r="AG76" i="10" s="1"/>
  <c r="AE76" i="10"/>
  <c r="AL76" i="10"/>
  <c r="AM76" i="10" s="1"/>
  <c r="BI76" i="10"/>
  <c r="H53" i="11"/>
  <c r="I53" i="11" s="1"/>
  <c r="L53" i="11"/>
  <c r="G53" i="11"/>
  <c r="M53" i="11"/>
  <c r="N53" i="11" s="1"/>
  <c r="E52" i="11"/>
  <c r="V53" i="11"/>
  <c r="AS17" i="11"/>
  <c r="AZ17" i="11"/>
  <c r="BA17" i="11" s="1"/>
  <c r="AP17" i="11"/>
  <c r="AY17" i="11"/>
  <c r="AT17" i="11"/>
  <c r="AU17" i="11" s="1"/>
  <c r="BI17" i="11"/>
  <c r="AS47" i="11"/>
  <c r="AZ47" i="11"/>
  <c r="BA47" i="11" s="1"/>
  <c r="AP47" i="11"/>
  <c r="AY47" i="11"/>
  <c r="AO46" i="11"/>
  <c r="AT47" i="11"/>
  <c r="AU47" i="11" s="1"/>
  <c r="BI47" i="11"/>
  <c r="AT78" i="11"/>
  <c r="AU78" i="11" s="1"/>
  <c r="AS78" i="11"/>
  <c r="AY78" i="11"/>
  <c r="AP78" i="11"/>
  <c r="AO77" i="11"/>
  <c r="AZ78" i="11"/>
  <c r="BA78" i="11" s="1"/>
  <c r="BI78" i="11"/>
  <c r="M74" i="10"/>
  <c r="N74" i="10" s="1"/>
  <c r="R74" i="10"/>
  <c r="S74" i="10" s="1"/>
  <c r="G74" i="10"/>
  <c r="Q74" i="10"/>
  <c r="H74" i="10"/>
  <c r="I74" i="10" s="1"/>
  <c r="CD74" i="10"/>
  <c r="L74" i="10"/>
  <c r="V74" i="10"/>
  <c r="AP74" i="10"/>
  <c r="BI27" i="10"/>
  <c r="AL27" i="10"/>
  <c r="AM27" i="10" s="1"/>
  <c r="AK27" i="10"/>
  <c r="Z27" i="10"/>
  <c r="AA27" i="10" s="1"/>
  <c r="AF27" i="10"/>
  <c r="AG27" i="10" s="1"/>
  <c r="V27" i="10"/>
  <c r="AE27" i="10"/>
  <c r="Y27" i="10"/>
  <c r="BD19" i="10"/>
  <c r="BE19" i="10"/>
  <c r="BF19" i="10"/>
  <c r="BG19" i="10" s="1"/>
  <c r="BC15" i="10"/>
  <c r="CD73" i="10"/>
  <c r="H73" i="10"/>
  <c r="I73" i="10" s="1"/>
  <c r="G73" i="10"/>
  <c r="Q73" i="10"/>
  <c r="R73" i="10"/>
  <c r="S73" i="10" s="1"/>
  <c r="M73" i="10"/>
  <c r="N73" i="10" s="1"/>
  <c r="L73" i="10"/>
  <c r="AP73" i="10"/>
  <c r="AX56" i="10"/>
  <c r="BD56" i="10"/>
  <c r="AD56" i="10"/>
  <c r="P77" i="10"/>
  <c r="AD78" i="10"/>
  <c r="R78" i="10"/>
  <c r="S78" i="10" s="1"/>
  <c r="AX78" i="10"/>
  <c r="AJ78" i="10"/>
  <c r="Q78" i="10"/>
  <c r="BD78" i="10"/>
  <c r="L32" i="10"/>
  <c r="E31" i="10"/>
  <c r="H32" i="10"/>
  <c r="I32" i="10" s="1"/>
  <c r="R32" i="10"/>
  <c r="S32" i="10" s="1"/>
  <c r="G32" i="10"/>
  <c r="M32" i="10"/>
  <c r="N32" i="10" s="1"/>
  <c r="Q32" i="10"/>
  <c r="CD32" i="10"/>
  <c r="AP32" i="10"/>
  <c r="V32" i="10"/>
  <c r="R79" i="10"/>
  <c r="S79" i="10" s="1"/>
  <c r="CD79" i="10"/>
  <c r="H79" i="10"/>
  <c r="I79" i="10" s="1"/>
  <c r="L79" i="10"/>
  <c r="G79" i="10"/>
  <c r="Q79" i="10"/>
  <c r="M79" i="10"/>
  <c r="N79" i="10" s="1"/>
  <c r="V79" i="10"/>
  <c r="E77" i="10"/>
  <c r="AP79" i="10"/>
  <c r="AD71" i="10"/>
  <c r="BD71" i="10"/>
  <c r="AJ71" i="10"/>
  <c r="AX71" i="10"/>
  <c r="R70" i="10"/>
  <c r="S70" i="10" s="1"/>
  <c r="H70" i="10"/>
  <c r="I70" i="10" s="1"/>
  <c r="L70" i="10"/>
  <c r="M70" i="10"/>
  <c r="N70" i="10" s="1"/>
  <c r="G70" i="10"/>
  <c r="CD70" i="10"/>
  <c r="Q70" i="10"/>
  <c r="AP70" i="10"/>
  <c r="V70" i="10"/>
  <c r="AX75" i="10"/>
  <c r="AJ75" i="10"/>
  <c r="BD75" i="10"/>
  <c r="AD75" i="10"/>
  <c r="BW53" i="10"/>
  <c r="AI52" i="10"/>
  <c r="AJ53" i="10"/>
  <c r="AK53" i="10"/>
  <c r="AL53" i="10"/>
  <c r="AM53" i="10" s="1"/>
  <c r="G17" i="11"/>
  <c r="L17" i="11"/>
  <c r="M17" i="11"/>
  <c r="N17" i="11" s="1"/>
  <c r="H17" i="11"/>
  <c r="I17" i="11" s="1"/>
  <c r="V17" i="11"/>
  <c r="L33" i="11"/>
  <c r="M33" i="11"/>
  <c r="N33" i="11" s="1"/>
  <c r="H33" i="11"/>
  <c r="I33" i="11" s="1"/>
  <c r="G33" i="11"/>
  <c r="V33" i="11"/>
  <c r="M45" i="11"/>
  <c r="N45" i="11" s="1"/>
  <c r="L45" i="11"/>
  <c r="H45" i="11"/>
  <c r="I45" i="11" s="1"/>
  <c r="G45" i="11"/>
  <c r="V45" i="11"/>
  <c r="L55" i="11"/>
  <c r="H55" i="11"/>
  <c r="I55" i="11" s="1"/>
  <c r="M55" i="11"/>
  <c r="N55" i="11" s="1"/>
  <c r="G55" i="11"/>
  <c r="V55" i="11"/>
  <c r="L66" i="11"/>
  <c r="M66" i="11"/>
  <c r="N66" i="11" s="1"/>
  <c r="H66" i="11"/>
  <c r="I66" i="11" s="1"/>
  <c r="G66" i="11"/>
  <c r="V66" i="11"/>
  <c r="M72" i="11"/>
  <c r="N72" i="11" s="1"/>
  <c r="L72" i="11"/>
  <c r="H72" i="11"/>
  <c r="I72" i="11" s="1"/>
  <c r="G72" i="11"/>
  <c r="V72" i="11"/>
  <c r="H83" i="11"/>
  <c r="I83" i="11" s="1"/>
  <c r="G83" i="11"/>
  <c r="M83" i="11"/>
  <c r="N83" i="11" s="1"/>
  <c r="L83" i="11"/>
  <c r="V83" i="11"/>
  <c r="BI19" i="10"/>
  <c r="AF19" i="10"/>
  <c r="AG19" i="10" s="1"/>
  <c r="Y19" i="10"/>
  <c r="AL19" i="10"/>
  <c r="AM19" i="10" s="1"/>
  <c r="Z19" i="10"/>
  <c r="AA19" i="10" s="1"/>
  <c r="AK19" i="10"/>
  <c r="V19" i="10"/>
  <c r="AE19" i="10"/>
  <c r="AK63" i="10"/>
  <c r="AF63" i="10"/>
  <c r="AG63" i="10" s="1"/>
  <c r="V63" i="10"/>
  <c r="AL63" i="10"/>
  <c r="AM63" i="10" s="1"/>
  <c r="Y63" i="10"/>
  <c r="BI63" i="10"/>
  <c r="Z63" i="10"/>
  <c r="AA63" i="10" s="1"/>
  <c r="AE63" i="10"/>
  <c r="H65" i="10"/>
  <c r="I65" i="10" s="1"/>
  <c r="CD65" i="10"/>
  <c r="G65" i="10"/>
  <c r="Q65" i="10"/>
  <c r="L65" i="10"/>
  <c r="R65" i="10"/>
  <c r="S65" i="10" s="1"/>
  <c r="M65" i="10"/>
  <c r="N65" i="10" s="1"/>
  <c r="AP65" i="10"/>
  <c r="P31" i="10"/>
  <c r="P30" i="10" s="1"/>
  <c r="AD32" i="10"/>
  <c r="BD32" i="10"/>
  <c r="AX32" i="10"/>
  <c r="AJ32" i="10"/>
  <c r="AS18" i="11"/>
  <c r="AZ18" i="11"/>
  <c r="BA18" i="11" s="1"/>
  <c r="AP18" i="11"/>
  <c r="AY18" i="11"/>
  <c r="AT18" i="11"/>
  <c r="AU18" i="11" s="1"/>
  <c r="BI18" i="11"/>
  <c r="AO21" i="11"/>
  <c r="AT22" i="11"/>
  <c r="AU22" i="11" s="1"/>
  <c r="AS22" i="11"/>
  <c r="AY22" i="11"/>
  <c r="AP22" i="11"/>
  <c r="AZ22" i="11"/>
  <c r="BA22" i="11" s="1"/>
  <c r="BI22" i="11"/>
  <c r="AO31" i="11"/>
  <c r="AT32" i="11"/>
  <c r="AU32" i="11" s="1"/>
  <c r="AS32" i="11"/>
  <c r="AZ32" i="11"/>
  <c r="BA32" i="11" s="1"/>
  <c r="AY32" i="11"/>
  <c r="AP32" i="11"/>
  <c r="BI32" i="11"/>
  <c r="AT54" i="11"/>
  <c r="AU54" i="11" s="1"/>
  <c r="AZ54" i="11"/>
  <c r="BA54" i="11" s="1"/>
  <c r="AP54" i="11"/>
  <c r="AY54" i="11"/>
  <c r="AS54" i="11"/>
  <c r="BI54" i="11"/>
  <c r="AT62" i="11"/>
  <c r="AU62" i="11" s="1"/>
  <c r="AY62" i="11"/>
  <c r="AS62" i="11"/>
  <c r="AZ62" i="11"/>
  <c r="BA62" i="11" s="1"/>
  <c r="AP62" i="11"/>
  <c r="BI62" i="11"/>
  <c r="AS73" i="11"/>
  <c r="AT73" i="11"/>
  <c r="AU73" i="11" s="1"/>
  <c r="AP73" i="11"/>
  <c r="AY73" i="11"/>
  <c r="AZ73" i="11"/>
  <c r="BA73" i="11" s="1"/>
  <c r="BI73" i="11"/>
  <c r="AT79" i="11"/>
  <c r="AU79" i="11" s="1"/>
  <c r="AS79" i="11"/>
  <c r="AY79" i="11"/>
  <c r="AZ79" i="11"/>
  <c r="BA79" i="11" s="1"/>
  <c r="AP79" i="11"/>
  <c r="BI79" i="11"/>
  <c r="AX48" i="10"/>
  <c r="AJ48" i="10"/>
  <c r="AD48" i="10"/>
  <c r="BD48" i="10"/>
  <c r="BW86" i="10"/>
  <c r="BX86" i="10" s="1"/>
  <c r="AJ86" i="10"/>
  <c r="AK86" i="10"/>
  <c r="AL86" i="10"/>
  <c r="AM86" i="10" s="1"/>
  <c r="M69" i="10"/>
  <c r="N69" i="10" s="1"/>
  <c r="E68" i="10"/>
  <c r="CD69" i="10"/>
  <c r="R69" i="10"/>
  <c r="S69" i="10" s="1"/>
  <c r="Q69" i="10"/>
  <c r="H69" i="10"/>
  <c r="I69" i="10" s="1"/>
  <c r="G69" i="10"/>
  <c r="L69" i="10"/>
  <c r="AP69" i="10"/>
  <c r="V69" i="10"/>
  <c r="AD73" i="10"/>
  <c r="AJ73" i="10"/>
  <c r="AX73" i="10"/>
  <c r="BD73" i="10"/>
  <c r="L27" i="11"/>
  <c r="M27" i="11"/>
  <c r="N27" i="11" s="1"/>
  <c r="H27" i="11"/>
  <c r="I27" i="11" s="1"/>
  <c r="G27" i="11"/>
  <c r="V27" i="11"/>
  <c r="L62" i="10"/>
  <c r="M62" i="10"/>
  <c r="N62" i="10" s="1"/>
  <c r="CD62" i="10"/>
  <c r="R62" i="10"/>
  <c r="S62" i="10" s="1"/>
  <c r="Q62" i="10"/>
  <c r="H62" i="10"/>
  <c r="I62" i="10" s="1"/>
  <c r="G62" i="10"/>
  <c r="V62" i="10"/>
  <c r="AP62" i="10"/>
  <c r="AS43" i="11"/>
  <c r="AZ43" i="11"/>
  <c r="BA43" i="11" s="1"/>
  <c r="AP43" i="11"/>
  <c r="AT43" i="11"/>
  <c r="AU43" i="11" s="1"/>
  <c r="AO42" i="11"/>
  <c r="AY43" i="11"/>
  <c r="BI43" i="11"/>
  <c r="AY71" i="11"/>
  <c r="AP71" i="11"/>
  <c r="AZ71" i="11"/>
  <c r="BA71" i="11" s="1"/>
  <c r="AT71" i="11"/>
  <c r="AU71" i="11" s="1"/>
  <c r="AS71" i="11"/>
  <c r="BI71" i="11"/>
  <c r="AD23" i="10"/>
  <c r="BD23" i="10"/>
  <c r="AX23" i="10"/>
  <c r="M83" i="10"/>
  <c r="N83" i="10" s="1"/>
  <c r="Q83" i="10"/>
  <c r="L83" i="10"/>
  <c r="R83" i="10"/>
  <c r="S83" i="10" s="1"/>
  <c r="CD83" i="10"/>
  <c r="H83" i="10"/>
  <c r="I83" i="10" s="1"/>
  <c r="G83" i="10"/>
  <c r="AP83" i="10"/>
  <c r="V83" i="10"/>
  <c r="AD82" i="10"/>
  <c r="BD82" i="10"/>
  <c r="AX82" i="10"/>
  <c r="P80" i="10"/>
  <c r="BD81" i="10"/>
  <c r="AX81" i="10"/>
  <c r="AD81" i="10"/>
  <c r="P40" i="10"/>
  <c r="AX41" i="10"/>
  <c r="AJ41" i="10"/>
  <c r="AD41" i="10"/>
  <c r="BD41" i="10"/>
  <c r="L81" i="10"/>
  <c r="E80" i="10"/>
  <c r="Q81" i="10"/>
  <c r="CD81" i="10"/>
  <c r="G81" i="10"/>
  <c r="H81" i="10"/>
  <c r="I81" i="10" s="1"/>
  <c r="M81" i="10"/>
  <c r="N81" i="10" s="1"/>
  <c r="R81" i="10"/>
  <c r="S81" i="10" s="1"/>
  <c r="AP81" i="10"/>
  <c r="V81" i="10"/>
  <c r="R56" i="10"/>
  <c r="S56" i="10" s="1"/>
  <c r="G56" i="10"/>
  <c r="H56" i="10"/>
  <c r="I56" i="10" s="1"/>
  <c r="L56" i="10"/>
  <c r="Q56" i="10"/>
  <c r="M56" i="10"/>
  <c r="N56" i="10" s="1"/>
  <c r="CD56" i="10"/>
  <c r="AP56" i="10"/>
  <c r="V56" i="10"/>
  <c r="Z22" i="10"/>
  <c r="AA22" i="10" s="1"/>
  <c r="BI22" i="10"/>
  <c r="AL22" i="10"/>
  <c r="AM22" i="10" s="1"/>
  <c r="AF22" i="10"/>
  <c r="AG22" i="10" s="1"/>
  <c r="AE22" i="10"/>
  <c r="Y22" i="10"/>
  <c r="U21" i="10"/>
  <c r="V22" i="10"/>
  <c r="AK22" i="10"/>
  <c r="CD66" i="10"/>
  <c r="R66" i="10"/>
  <c r="S66" i="10" s="1"/>
  <c r="G66" i="10"/>
  <c r="L66" i="10"/>
  <c r="Q66" i="10"/>
  <c r="M66" i="10"/>
  <c r="N66" i="10" s="1"/>
  <c r="H66" i="10"/>
  <c r="I66" i="10" s="1"/>
  <c r="AP66" i="10"/>
  <c r="V66" i="10"/>
  <c r="AX29" i="10"/>
  <c r="AJ29" i="10"/>
  <c r="AD29" i="10"/>
  <c r="BD29" i="10"/>
  <c r="AJ24" i="10"/>
  <c r="BW24" i="10"/>
  <c r="BX24" i="10" s="1"/>
  <c r="Y49" i="10"/>
  <c r="AL49" i="10"/>
  <c r="AM49" i="10" s="1"/>
  <c r="AE49" i="10"/>
  <c r="BI49" i="10"/>
  <c r="AK49" i="10"/>
  <c r="V49" i="10"/>
  <c r="AF49" i="10"/>
  <c r="AG49" i="10" s="1"/>
  <c r="Z49" i="10"/>
  <c r="AA49" i="10" s="1"/>
  <c r="U46" i="10"/>
  <c r="AD72" i="10"/>
  <c r="AX72" i="10"/>
  <c r="BD72" i="10"/>
  <c r="R54" i="10"/>
  <c r="S54" i="10" s="1"/>
  <c r="H54" i="10"/>
  <c r="I54" i="10" s="1"/>
  <c r="M54" i="10"/>
  <c r="N54" i="10" s="1"/>
  <c r="G54" i="10"/>
  <c r="Q54" i="10"/>
  <c r="CD54" i="10"/>
  <c r="L54" i="10"/>
  <c r="AP54" i="10"/>
  <c r="V54" i="10"/>
  <c r="AJ85" i="10"/>
  <c r="AI88" i="10"/>
  <c r="BW85" i="10"/>
  <c r="AL85" i="10"/>
  <c r="AM85" i="10" s="1"/>
  <c r="AK85" i="10"/>
  <c r="G19" i="11"/>
  <c r="L19" i="11"/>
  <c r="M19" i="11"/>
  <c r="N19" i="11" s="1"/>
  <c r="H19" i="11"/>
  <c r="I19" i="11" s="1"/>
  <c r="V19" i="11"/>
  <c r="L29" i="11"/>
  <c r="M29" i="11"/>
  <c r="N29" i="11" s="1"/>
  <c r="H29" i="11"/>
  <c r="I29" i="11" s="1"/>
  <c r="G29" i="11"/>
  <c r="V29" i="11"/>
  <c r="L47" i="11"/>
  <c r="H47" i="11"/>
  <c r="I47" i="11" s="1"/>
  <c r="G47" i="11"/>
  <c r="E46" i="11"/>
  <c r="M47" i="11"/>
  <c r="N47" i="11" s="1"/>
  <c r="V47" i="11"/>
  <c r="M44" i="11"/>
  <c r="N44" i="11" s="1"/>
  <c r="H44" i="11"/>
  <c r="I44" i="11" s="1"/>
  <c r="G44" i="11"/>
  <c r="L44" i="11"/>
  <c r="V44" i="11"/>
  <c r="L57" i="11"/>
  <c r="H57" i="11"/>
  <c r="I57" i="11" s="1"/>
  <c r="M57" i="11"/>
  <c r="N57" i="11" s="1"/>
  <c r="G57" i="11"/>
  <c r="V57" i="11"/>
  <c r="G75" i="11"/>
  <c r="M75" i="11"/>
  <c r="N75" i="11" s="1"/>
  <c r="L75" i="11"/>
  <c r="H75" i="11"/>
  <c r="I75" i="11" s="1"/>
  <c r="V75" i="11"/>
  <c r="H85" i="11"/>
  <c r="I85" i="11" s="1"/>
  <c r="G85" i="11"/>
  <c r="E88" i="11"/>
  <c r="M85" i="11"/>
  <c r="N85" i="11" s="1"/>
  <c r="L85" i="11"/>
  <c r="V85" i="11"/>
  <c r="BW49" i="10"/>
  <c r="BX49" i="10" s="1"/>
  <c r="AJ49" i="10"/>
  <c r="AI46" i="10"/>
  <c r="AJ46" i="10" s="1"/>
  <c r="AX87" i="10"/>
  <c r="BD87" i="10"/>
  <c r="AJ87" i="10"/>
  <c r="AD87" i="10"/>
  <c r="L53" i="10"/>
  <c r="Q53" i="10"/>
  <c r="M53" i="10"/>
  <c r="N53" i="10" s="1"/>
  <c r="E52" i="10"/>
  <c r="CD53" i="10"/>
  <c r="H53" i="10"/>
  <c r="I53" i="10" s="1"/>
  <c r="G53" i="10"/>
  <c r="R53" i="10"/>
  <c r="S53" i="10" s="1"/>
  <c r="V53" i="10"/>
  <c r="AP53" i="10"/>
  <c r="AS19" i="11"/>
  <c r="AT19" i="11"/>
  <c r="AU19" i="11" s="1"/>
  <c r="AZ19" i="11"/>
  <c r="BA19" i="11" s="1"/>
  <c r="AP19" i="11"/>
  <c r="AY19" i="11"/>
  <c r="BI19" i="11"/>
  <c r="AT23" i="11"/>
  <c r="AU23" i="11" s="1"/>
  <c r="AS23" i="11"/>
  <c r="AY23" i="11"/>
  <c r="AP23" i="11"/>
  <c r="AZ23" i="11"/>
  <c r="BA23" i="11" s="1"/>
  <c r="BI23" i="11"/>
  <c r="AT33" i="11"/>
  <c r="AU33" i="11" s="1"/>
  <c r="AS33" i="11"/>
  <c r="AP33" i="11"/>
  <c r="AZ33" i="11"/>
  <c r="BA33" i="11" s="1"/>
  <c r="AY33" i="11"/>
  <c r="BI33" i="11"/>
  <c r="AT49" i="11"/>
  <c r="AU49" i="11" s="1"/>
  <c r="AY49" i="11"/>
  <c r="AS49" i="11"/>
  <c r="AP49" i="11"/>
  <c r="AZ49" i="11"/>
  <c r="BA49" i="11" s="1"/>
  <c r="BI49" i="11"/>
  <c r="AT63" i="11"/>
  <c r="AU63" i="11" s="1"/>
  <c r="AY63" i="11"/>
  <c r="AP63" i="11"/>
  <c r="AS63" i="11"/>
  <c r="AZ63" i="11"/>
  <c r="BA63" i="11" s="1"/>
  <c r="BI63" i="11"/>
  <c r="AT83" i="11"/>
  <c r="AU83" i="11" s="1"/>
  <c r="AS83" i="11"/>
  <c r="AY83" i="11"/>
  <c r="AZ83" i="11"/>
  <c r="BA83" i="11" s="1"/>
  <c r="AP83" i="11"/>
  <c r="BI83" i="11"/>
  <c r="AT85" i="11"/>
  <c r="AU85" i="11" s="1"/>
  <c r="AS85" i="11"/>
  <c r="AY85" i="11"/>
  <c r="AO88" i="11"/>
  <c r="AP85" i="11"/>
  <c r="AZ85" i="11"/>
  <c r="BA85" i="11" s="1"/>
  <c r="BI85" i="11"/>
  <c r="AJ25" i="10"/>
  <c r="AD25" i="10"/>
  <c r="AX25" i="10"/>
  <c r="BD25" i="10"/>
  <c r="H81" i="11"/>
  <c r="I81" i="11" s="1"/>
  <c r="G81" i="11"/>
  <c r="M81" i="11"/>
  <c r="N81" i="11" s="1"/>
  <c r="E80" i="11"/>
  <c r="L81" i="11"/>
  <c r="V81" i="11"/>
  <c r="AT24" i="11"/>
  <c r="AU24" i="11" s="1"/>
  <c r="AS24" i="11"/>
  <c r="AY24" i="11"/>
  <c r="AZ24" i="11"/>
  <c r="BA24" i="11" s="1"/>
  <c r="AP24" i="11"/>
  <c r="BI24" i="11"/>
  <c r="M25" i="10"/>
  <c r="N25" i="10" s="1"/>
  <c r="CD25" i="10"/>
  <c r="L25" i="10"/>
  <c r="R25" i="10"/>
  <c r="S25" i="10" s="1"/>
  <c r="Q25" i="10"/>
  <c r="H25" i="10"/>
  <c r="I25" i="10" s="1"/>
  <c r="G25" i="10"/>
  <c r="AP25" i="10"/>
  <c r="V25" i="10"/>
  <c r="BW56" i="10"/>
  <c r="BX56" i="10" s="1"/>
  <c r="AJ56" i="10"/>
  <c r="AK56" i="10"/>
  <c r="AL56" i="10"/>
  <c r="AM56" i="10" s="1"/>
  <c r="BW69" i="10"/>
  <c r="AJ69" i="10"/>
  <c r="AI68" i="10"/>
  <c r="AL69" i="10"/>
  <c r="AM69" i="10" s="1"/>
  <c r="AK69" i="10"/>
  <c r="M41" i="11"/>
  <c r="N41" i="11" s="1"/>
  <c r="L41" i="11"/>
  <c r="E40" i="11"/>
  <c r="V40" i="11" s="1"/>
  <c r="H41" i="11"/>
  <c r="I41" i="11" s="1"/>
  <c r="G41" i="11"/>
  <c r="V41" i="11"/>
  <c r="BD63" i="10"/>
  <c r="AX63" i="10"/>
  <c r="AJ63" i="10"/>
  <c r="AD63" i="10"/>
  <c r="AL61" i="10"/>
  <c r="AM61" i="10" s="1"/>
  <c r="Z61" i="10"/>
  <c r="AA61" i="10" s="1"/>
  <c r="AE61" i="10"/>
  <c r="AK61" i="10"/>
  <c r="U60" i="10"/>
  <c r="AF61" i="10"/>
  <c r="AG61" i="10" s="1"/>
  <c r="V61" i="10"/>
  <c r="BI61" i="10"/>
  <c r="Y61" i="10"/>
  <c r="L45" i="10"/>
  <c r="CD45" i="10"/>
  <c r="M45" i="10"/>
  <c r="N45" i="10" s="1"/>
  <c r="G45" i="10"/>
  <c r="Q45" i="10"/>
  <c r="R45" i="10"/>
  <c r="S45" i="10" s="1"/>
  <c r="H45" i="10"/>
  <c r="I45" i="10" s="1"/>
  <c r="AP45" i="10"/>
  <c r="V45" i="10"/>
  <c r="R63" i="10"/>
  <c r="S63" i="10" s="1"/>
  <c r="H63" i="10"/>
  <c r="I63" i="10" s="1"/>
  <c r="G63" i="10"/>
  <c r="M63" i="10"/>
  <c r="N63" i="10" s="1"/>
  <c r="CD63" i="10"/>
  <c r="Q63" i="10"/>
  <c r="L63" i="10"/>
  <c r="AP63" i="10"/>
  <c r="BW72" i="10"/>
  <c r="BX72" i="10" s="1"/>
  <c r="AJ72" i="10"/>
  <c r="Q55" i="10"/>
  <c r="G55" i="10"/>
  <c r="H55" i="10"/>
  <c r="I55" i="10" s="1"/>
  <c r="L55" i="10"/>
  <c r="R55" i="10"/>
  <c r="S55" i="10" s="1"/>
  <c r="CD55" i="10"/>
  <c r="M55" i="10"/>
  <c r="N55" i="10" s="1"/>
  <c r="V55" i="10"/>
  <c r="AP55" i="10"/>
  <c r="L32" i="11"/>
  <c r="M32" i="11"/>
  <c r="N32" i="11" s="1"/>
  <c r="E31" i="11"/>
  <c r="H32" i="11"/>
  <c r="I32" i="11" s="1"/>
  <c r="G32" i="11"/>
  <c r="V32" i="11"/>
  <c r="L56" i="11"/>
  <c r="H56" i="11"/>
  <c r="I56" i="11" s="1"/>
  <c r="M56" i="11"/>
  <c r="N56" i="11" s="1"/>
  <c r="G56" i="11"/>
  <c r="V56" i="11"/>
  <c r="CD24" i="10"/>
  <c r="Q24" i="10"/>
  <c r="M24" i="10"/>
  <c r="N24" i="10" s="1"/>
  <c r="H24" i="10"/>
  <c r="I24" i="10" s="1"/>
  <c r="G24" i="10"/>
  <c r="R24" i="10"/>
  <c r="S24" i="10" s="1"/>
  <c r="L24" i="10"/>
  <c r="AZ34" i="11"/>
  <c r="BA34" i="11" s="1"/>
  <c r="AP34" i="11"/>
  <c r="AT34" i="11"/>
  <c r="AU34" i="11" s="1"/>
  <c r="AS34" i="11"/>
  <c r="AY34" i="11"/>
  <c r="BI34" i="11"/>
  <c r="AS64" i="11"/>
  <c r="AZ64" i="11"/>
  <c r="BA64" i="11" s="1"/>
  <c r="AP64" i="11"/>
  <c r="AT64" i="11"/>
  <c r="AU64" i="11" s="1"/>
  <c r="AY64" i="11"/>
  <c r="BI64" i="11"/>
  <c r="Z64" i="10"/>
  <c r="AA64" i="10" s="1"/>
  <c r="AE64" i="10"/>
  <c r="AF64" i="10"/>
  <c r="AG64" i="10" s="1"/>
  <c r="Y64" i="10"/>
  <c r="BI64" i="10"/>
  <c r="V64" i="10"/>
  <c r="AL64" i="10"/>
  <c r="AM64" i="10" s="1"/>
  <c r="AK64" i="10"/>
  <c r="AD62" i="10"/>
  <c r="BD62" i="10"/>
  <c r="AX62" i="10"/>
  <c r="AJ62" i="10"/>
  <c r="AJ57" i="10"/>
  <c r="BD57" i="10"/>
  <c r="AX57" i="10"/>
  <c r="AD57" i="10"/>
  <c r="P21" i="10"/>
  <c r="P20" i="10" s="1"/>
  <c r="AJ22" i="10"/>
  <c r="AD22" i="10"/>
  <c r="BD22" i="10"/>
  <c r="AX22" i="10"/>
  <c r="AX19" i="10"/>
  <c r="AD19" i="10"/>
  <c r="CD82" i="10"/>
  <c r="Q82" i="10"/>
  <c r="G82" i="10"/>
  <c r="R82" i="10"/>
  <c r="S82" i="10" s="1"/>
  <c r="L82" i="10"/>
  <c r="H82" i="10"/>
  <c r="I82" i="10" s="1"/>
  <c r="M82" i="10"/>
  <c r="N82" i="10" s="1"/>
  <c r="AP82" i="10"/>
  <c r="AD58" i="10"/>
  <c r="BD58" i="10"/>
  <c r="AJ58" i="10"/>
  <c r="AX58" i="10"/>
  <c r="M58" i="10"/>
  <c r="N58" i="10" s="1"/>
  <c r="CD58" i="10"/>
  <c r="H58" i="10"/>
  <c r="I58" i="10" s="1"/>
  <c r="Q58" i="10"/>
  <c r="L58" i="10"/>
  <c r="G58" i="10"/>
  <c r="R58" i="10"/>
  <c r="S58" i="10" s="1"/>
  <c r="V58" i="10"/>
  <c r="AP58" i="10"/>
  <c r="R35" i="10"/>
  <c r="S35" i="10" s="1"/>
  <c r="H35" i="10"/>
  <c r="I35" i="10" s="1"/>
  <c r="CD35" i="10"/>
  <c r="Q35" i="10"/>
  <c r="M35" i="10"/>
  <c r="N35" i="10" s="1"/>
  <c r="L35" i="10"/>
  <c r="G35" i="10"/>
  <c r="V35" i="10"/>
  <c r="AP35" i="10"/>
  <c r="BW65" i="10"/>
  <c r="BX65" i="10" s="1"/>
  <c r="AJ65" i="10"/>
  <c r="P52" i="10"/>
  <c r="BD53" i="10"/>
  <c r="AX53" i="10"/>
  <c r="AD53" i="10"/>
  <c r="CD43" i="10"/>
  <c r="M43" i="10"/>
  <c r="N43" i="10" s="1"/>
  <c r="E42" i="10"/>
  <c r="R43" i="10"/>
  <c r="S43" i="10" s="1"/>
  <c r="G43" i="10"/>
  <c r="L43" i="10"/>
  <c r="H43" i="10"/>
  <c r="I43" i="10" s="1"/>
  <c r="Q43" i="10"/>
  <c r="V43" i="10"/>
  <c r="AP43" i="10"/>
  <c r="AL57" i="10"/>
  <c r="AM57" i="10" s="1"/>
  <c r="AE57" i="10"/>
  <c r="BI57" i="10"/>
  <c r="AK57" i="10"/>
  <c r="V57" i="10"/>
  <c r="AF57" i="10"/>
  <c r="AG57" i="10" s="1"/>
  <c r="Z57" i="10"/>
  <c r="AA57" i="10" s="1"/>
  <c r="Y57" i="10"/>
  <c r="U52" i="10"/>
  <c r="L24" i="11"/>
  <c r="M24" i="11"/>
  <c r="N24" i="11" s="1"/>
  <c r="H24" i="11"/>
  <c r="I24" i="11" s="1"/>
  <c r="G24" i="11"/>
  <c r="V24" i="11"/>
  <c r="L34" i="11"/>
  <c r="M34" i="11"/>
  <c r="N34" i="11" s="1"/>
  <c r="H34" i="11"/>
  <c r="I34" i="11" s="1"/>
  <c r="G34" i="11"/>
  <c r="V34" i="11"/>
  <c r="H48" i="11"/>
  <c r="I48" i="11" s="1"/>
  <c r="G48" i="11"/>
  <c r="M48" i="11"/>
  <c r="N48" i="11" s="1"/>
  <c r="L48" i="11"/>
  <c r="V48" i="11"/>
  <c r="L62" i="11"/>
  <c r="H62" i="11"/>
  <c r="I62" i="11" s="1"/>
  <c r="M62" i="11"/>
  <c r="N62" i="11" s="1"/>
  <c r="G62" i="11"/>
  <c r="V62" i="11"/>
  <c r="L65" i="11"/>
  <c r="M65" i="11"/>
  <c r="N65" i="11" s="1"/>
  <c r="H65" i="11"/>
  <c r="I65" i="11" s="1"/>
  <c r="G65" i="11"/>
  <c r="V65" i="11"/>
  <c r="G76" i="11"/>
  <c r="M76" i="11"/>
  <c r="N76" i="11" s="1"/>
  <c r="L76" i="11"/>
  <c r="H76" i="11"/>
  <c r="I76" i="11" s="1"/>
  <c r="V76" i="11"/>
  <c r="H87" i="11"/>
  <c r="I87" i="11" s="1"/>
  <c r="G87" i="11"/>
  <c r="M87" i="11"/>
  <c r="N87" i="11" s="1"/>
  <c r="L87" i="11"/>
  <c r="V87" i="11"/>
  <c r="CD87" i="10"/>
  <c r="H87" i="10"/>
  <c r="I87" i="10" s="1"/>
  <c r="L87" i="10"/>
  <c r="R87" i="10"/>
  <c r="S87" i="10" s="1"/>
  <c r="Q87" i="10"/>
  <c r="M87" i="10"/>
  <c r="N87" i="10" s="1"/>
  <c r="G87" i="10"/>
  <c r="AP87" i="10"/>
  <c r="AJ17" i="10"/>
  <c r="BW17" i="10"/>
  <c r="BX17" i="10" s="1"/>
  <c r="AJ70" i="10"/>
  <c r="AX70" i="10"/>
  <c r="BD70" i="10"/>
  <c r="AD70" i="10"/>
  <c r="AX83" i="10"/>
  <c r="BD83" i="10"/>
  <c r="AD83" i="10"/>
  <c r="AT37" i="11"/>
  <c r="AU37" i="11" s="1"/>
  <c r="AO36" i="11"/>
  <c r="AS37" i="11"/>
  <c r="AP37" i="11"/>
  <c r="AZ37" i="11"/>
  <c r="BA37" i="11" s="1"/>
  <c r="AY37" i="11"/>
  <c r="BI37" i="11"/>
  <c r="AT25" i="11"/>
  <c r="AU25" i="11" s="1"/>
  <c r="AS25" i="11"/>
  <c r="AY25" i="11"/>
  <c r="AZ25" i="11"/>
  <c r="BA25" i="11" s="1"/>
  <c r="AP25" i="11"/>
  <c r="BI25" i="11"/>
  <c r="AT44" i="11"/>
  <c r="AU44" i="11" s="1"/>
  <c r="AZ44" i="11"/>
  <c r="BA44" i="11" s="1"/>
  <c r="AP44" i="11"/>
  <c r="AY44" i="11"/>
  <c r="AS44" i="11"/>
  <c r="BI44" i="11"/>
  <c r="AT55" i="11"/>
  <c r="AU55" i="11" s="1"/>
  <c r="AY55" i="11"/>
  <c r="AP55" i="11"/>
  <c r="AZ55" i="11"/>
  <c r="BA55" i="11" s="1"/>
  <c r="AS55" i="11"/>
  <c r="BI55" i="11"/>
  <c r="AS65" i="11"/>
  <c r="AZ65" i="11"/>
  <c r="BA65" i="11" s="1"/>
  <c r="AP65" i="11"/>
  <c r="AT65" i="11"/>
  <c r="AU65" i="11" s="1"/>
  <c r="AY65" i="11"/>
  <c r="BI65" i="11"/>
  <c r="AT81" i="11"/>
  <c r="AU81" i="11" s="1"/>
  <c r="AS81" i="11"/>
  <c r="AY81" i="11"/>
  <c r="AP81" i="11"/>
  <c r="AO80" i="11"/>
  <c r="AZ81" i="11"/>
  <c r="BA81" i="11" s="1"/>
  <c r="BI81" i="11"/>
  <c r="AT87" i="11"/>
  <c r="AU87" i="11" s="1"/>
  <c r="AS87" i="11"/>
  <c r="AZ87" i="11"/>
  <c r="BA87" i="11" s="1"/>
  <c r="AY87" i="11"/>
  <c r="AP87" i="11"/>
  <c r="BI87" i="11"/>
  <c r="AJ23" i="10"/>
  <c r="BW23" i="10"/>
  <c r="BX23" i="10" s="1"/>
  <c r="AL23" i="10"/>
  <c r="AM23" i="10" s="1"/>
  <c r="AI21" i="10"/>
  <c r="AK23" i="10"/>
  <c r="R47" i="10"/>
  <c r="S47" i="10" s="1"/>
  <c r="H47" i="10"/>
  <c r="I47" i="10" s="1"/>
  <c r="G47" i="10"/>
  <c r="L47" i="10"/>
  <c r="Q47" i="10"/>
  <c r="CD47" i="10"/>
  <c r="M47" i="10"/>
  <c r="N47" i="10" s="1"/>
  <c r="E46" i="10"/>
  <c r="AP47" i="10"/>
  <c r="V47" i="10"/>
  <c r="AD74" i="10"/>
  <c r="BD74" i="10"/>
  <c r="AX74" i="10"/>
  <c r="AJ19" i="10"/>
  <c r="BW19" i="10"/>
  <c r="BX19" i="10" s="1"/>
  <c r="AE26" i="10"/>
  <c r="V26" i="10"/>
  <c r="BI26" i="10"/>
  <c r="AL26" i="10"/>
  <c r="AM26" i="10" s="1"/>
  <c r="Y26" i="10"/>
  <c r="Z26" i="10"/>
  <c r="AA26" i="10" s="1"/>
  <c r="AK26" i="10"/>
  <c r="AF26" i="10"/>
  <c r="AG26" i="10" s="1"/>
  <c r="Q34" i="10"/>
  <c r="CD34" i="10"/>
  <c r="G34" i="10"/>
  <c r="R34" i="10"/>
  <c r="S34" i="10" s="1"/>
  <c r="M34" i="10"/>
  <c r="N34" i="10" s="1"/>
  <c r="L34" i="10"/>
  <c r="H34" i="10"/>
  <c r="I34" i="10" s="1"/>
  <c r="V34" i="10"/>
  <c r="AP34" i="10"/>
  <c r="AJ76" i="10"/>
  <c r="BW76" i="10"/>
  <c r="BX76" i="10" s="1"/>
  <c r="G16" i="11"/>
  <c r="H16" i="11"/>
  <c r="I16" i="11" s="1"/>
  <c r="E15" i="11"/>
  <c r="M16" i="11"/>
  <c r="N16" i="11" s="1"/>
  <c r="L16" i="11"/>
  <c r="V16" i="11"/>
  <c r="Q85" i="10"/>
  <c r="G85" i="10"/>
  <c r="L85" i="10"/>
  <c r="E88" i="10"/>
  <c r="AP88" i="10" s="1"/>
  <c r="R85" i="10"/>
  <c r="S85" i="10" s="1"/>
  <c r="CD85" i="10"/>
  <c r="M85" i="10"/>
  <c r="N85" i="10" s="1"/>
  <c r="H85" i="10"/>
  <c r="I85" i="10" s="1"/>
  <c r="V85" i="10"/>
  <c r="AP85" i="10"/>
  <c r="BD76" i="10"/>
  <c r="AX76" i="10"/>
  <c r="AD76" i="10"/>
  <c r="Q71" i="10"/>
  <c r="G71" i="10"/>
  <c r="H71" i="10"/>
  <c r="I71" i="10" s="1"/>
  <c r="M71" i="10"/>
  <c r="N71" i="10" s="1"/>
  <c r="L71" i="10"/>
  <c r="CD71" i="10"/>
  <c r="R71" i="10"/>
  <c r="S71" i="10" s="1"/>
  <c r="AP71" i="10"/>
  <c r="CD49" i="10"/>
  <c r="Q49" i="10"/>
  <c r="R49" i="10"/>
  <c r="S49" i="10" s="1"/>
  <c r="G49" i="10"/>
  <c r="H49" i="10"/>
  <c r="I49" i="10" s="1"/>
  <c r="M49" i="10"/>
  <c r="N49" i="10" s="1"/>
  <c r="L49" i="10"/>
  <c r="AP49" i="10"/>
  <c r="AX65" i="10"/>
  <c r="AD65" i="10"/>
  <c r="BD65" i="10"/>
  <c r="Q64" i="10"/>
  <c r="G64" i="10"/>
  <c r="R64" i="10"/>
  <c r="S64" i="10" s="1"/>
  <c r="CD64" i="10"/>
  <c r="L64" i="10"/>
  <c r="M64" i="10"/>
  <c r="N64" i="10" s="1"/>
  <c r="H64" i="10"/>
  <c r="I64" i="10" s="1"/>
  <c r="AP64" i="10"/>
  <c r="M73" i="11"/>
  <c r="N73" i="11" s="1"/>
  <c r="L73" i="11"/>
  <c r="H73" i="11"/>
  <c r="I73" i="11" s="1"/>
  <c r="G73" i="11"/>
  <c r="V73" i="11"/>
  <c r="AY35" i="11"/>
  <c r="AT35" i="11"/>
  <c r="AU35" i="11" s="1"/>
  <c r="AS35" i="11"/>
  <c r="AZ35" i="11"/>
  <c r="BA35" i="11" s="1"/>
  <c r="AP35" i="11"/>
  <c r="BI35" i="11"/>
  <c r="AY76" i="11"/>
  <c r="AP76" i="11"/>
  <c r="AS76" i="11"/>
  <c r="AZ76" i="11"/>
  <c r="BA76" i="11" s="1"/>
  <c r="AT76" i="11"/>
  <c r="AU76" i="11" s="1"/>
  <c r="BI76" i="11"/>
  <c r="CD57" i="10"/>
  <c r="Q57" i="10"/>
  <c r="R57" i="10"/>
  <c r="S57" i="10" s="1"/>
  <c r="G57" i="10"/>
  <c r="M57" i="10"/>
  <c r="N57" i="10" s="1"/>
  <c r="L57" i="10"/>
  <c r="H57" i="10"/>
  <c r="I57" i="10" s="1"/>
  <c r="AP57" i="10"/>
  <c r="AJ45" i="10"/>
  <c r="BD45" i="10"/>
  <c r="AX45" i="10"/>
  <c r="AD45" i="10"/>
  <c r="AJ27" i="10"/>
  <c r="BD27" i="10"/>
  <c r="AD27" i="10"/>
  <c r="AX27" i="10"/>
  <c r="CD76" i="10"/>
  <c r="G76" i="10"/>
  <c r="Q76" i="10"/>
  <c r="L76" i="10"/>
  <c r="H76" i="10"/>
  <c r="I76" i="10" s="1"/>
  <c r="R76" i="10"/>
  <c r="S76" i="10" s="1"/>
  <c r="M76" i="10"/>
  <c r="N76" i="10" s="1"/>
  <c r="AP76" i="10"/>
  <c r="AD35" i="10"/>
  <c r="AX35" i="10"/>
  <c r="AJ35" i="10"/>
  <c r="BD35" i="10"/>
  <c r="AK18" i="10"/>
  <c r="Z18" i="10"/>
  <c r="AA18" i="10" s="1"/>
  <c r="Y18" i="10"/>
  <c r="AF18" i="10"/>
  <c r="AG18" i="10" s="1"/>
  <c r="V18" i="10"/>
  <c r="AE18" i="10"/>
  <c r="BI18" i="10"/>
  <c r="AL18" i="10"/>
  <c r="AM18" i="10" s="1"/>
  <c r="BD38" i="10"/>
  <c r="AJ38" i="10"/>
  <c r="AX38" i="10"/>
  <c r="AD38" i="10"/>
  <c r="AE87" i="10"/>
  <c r="AL87" i="10"/>
  <c r="AM87" i="10" s="1"/>
  <c r="Y87" i="10"/>
  <c r="Z87" i="10"/>
  <c r="AA87" i="10" s="1"/>
  <c r="V87" i="10"/>
  <c r="BI87" i="10"/>
  <c r="AK87" i="10"/>
  <c r="AF87" i="10"/>
  <c r="AG87" i="10" s="1"/>
  <c r="U88" i="10"/>
  <c r="L25" i="11"/>
  <c r="M25" i="11"/>
  <c r="N25" i="11" s="1"/>
  <c r="H25" i="11"/>
  <c r="I25" i="11" s="1"/>
  <c r="G25" i="11"/>
  <c r="V25" i="11"/>
  <c r="H35" i="11"/>
  <c r="I35" i="11" s="1"/>
  <c r="G35" i="11"/>
  <c r="M35" i="11"/>
  <c r="N35" i="11" s="1"/>
  <c r="L35" i="11"/>
  <c r="V35" i="11"/>
  <c r="H49" i="11"/>
  <c r="I49" i="11" s="1"/>
  <c r="G49" i="11"/>
  <c r="M49" i="11"/>
  <c r="N49" i="11" s="1"/>
  <c r="L49" i="11"/>
  <c r="V49" i="11"/>
  <c r="L58" i="11"/>
  <c r="H58" i="11"/>
  <c r="I58" i="11" s="1"/>
  <c r="M58" i="11"/>
  <c r="N58" i="11" s="1"/>
  <c r="G58" i="11"/>
  <c r="V58" i="11"/>
  <c r="L70" i="11"/>
  <c r="M70" i="11"/>
  <c r="N70" i="11" s="1"/>
  <c r="H70" i="11"/>
  <c r="I70" i="11" s="1"/>
  <c r="G70" i="11"/>
  <c r="V70" i="11"/>
  <c r="H78" i="11"/>
  <c r="I78" i="11" s="1"/>
  <c r="G78" i="11"/>
  <c r="M78" i="11"/>
  <c r="N78" i="11" s="1"/>
  <c r="E77" i="11"/>
  <c r="L78" i="11"/>
  <c r="V78" i="11"/>
  <c r="Y72" i="10"/>
  <c r="AE72" i="10"/>
  <c r="AF72" i="10"/>
  <c r="AG72" i="10" s="1"/>
  <c r="AL72" i="10"/>
  <c r="AM72" i="10" s="1"/>
  <c r="AK72" i="10"/>
  <c r="Z72" i="10"/>
  <c r="AA72" i="10" s="1"/>
  <c r="BI72" i="10"/>
  <c r="V72" i="10"/>
  <c r="P68" i="10"/>
  <c r="AX68" i="10" s="1"/>
  <c r="AD69" i="10"/>
  <c r="BD69" i="10"/>
  <c r="AX69" i="10"/>
  <c r="CD17" i="10"/>
  <c r="Q17" i="10"/>
  <c r="M17" i="10"/>
  <c r="N17" i="10" s="1"/>
  <c r="L17" i="10"/>
  <c r="H17" i="10"/>
  <c r="I17" i="10" s="1"/>
  <c r="R17" i="10"/>
  <c r="S17" i="10" s="1"/>
  <c r="G17" i="10"/>
  <c r="E15" i="10"/>
  <c r="AP17" i="10"/>
  <c r="AT38" i="11"/>
  <c r="AU38" i="11" s="1"/>
  <c r="AY38" i="11"/>
  <c r="AS38" i="11"/>
  <c r="AP38" i="11"/>
  <c r="AZ38" i="11"/>
  <c r="BA38" i="11" s="1"/>
  <c r="BI38" i="11"/>
  <c r="AT26" i="11"/>
  <c r="AU26" i="11" s="1"/>
  <c r="AS26" i="11"/>
  <c r="AY26" i="11"/>
  <c r="AZ26" i="11"/>
  <c r="BA26" i="11" s="1"/>
  <c r="AP26" i="11"/>
  <c r="BI26" i="11"/>
  <c r="AT45" i="11"/>
  <c r="AU45" i="11" s="1"/>
  <c r="AS45" i="11"/>
  <c r="AZ45" i="11"/>
  <c r="BA45" i="11" s="1"/>
  <c r="AP45" i="11"/>
  <c r="AY45" i="11"/>
  <c r="BI45" i="11"/>
  <c r="AT56" i="11"/>
  <c r="AU56" i="11" s="1"/>
  <c r="AY56" i="11"/>
  <c r="AZ56" i="11"/>
  <c r="BA56" i="11" s="1"/>
  <c r="AS56" i="11"/>
  <c r="AP56" i="11"/>
  <c r="BI56" i="11"/>
  <c r="AS66" i="11"/>
  <c r="AZ66" i="11"/>
  <c r="BA66" i="11" s="1"/>
  <c r="AP66" i="11"/>
  <c r="AT66" i="11"/>
  <c r="AU66" i="11" s="1"/>
  <c r="AY66" i="11"/>
  <c r="BI66" i="11"/>
  <c r="AS69" i="11"/>
  <c r="AO68" i="11"/>
  <c r="AY69" i="11"/>
  <c r="AT69" i="11"/>
  <c r="AU69" i="11" s="1"/>
  <c r="AZ69" i="11"/>
  <c r="BA69" i="11" s="1"/>
  <c r="AP69" i="11"/>
  <c r="BI69" i="11"/>
  <c r="AT86" i="11"/>
  <c r="AU86" i="11" s="1"/>
  <c r="AS86" i="11"/>
  <c r="AZ86" i="11"/>
  <c r="BA86" i="11" s="1"/>
  <c r="AY86" i="11"/>
  <c r="AP86" i="11"/>
  <c r="BI86" i="11"/>
  <c r="M67" i="10"/>
  <c r="N67" i="10" s="1"/>
  <c r="Q67" i="10"/>
  <c r="R67" i="10"/>
  <c r="S67" i="10" s="1"/>
  <c r="L67" i="10"/>
  <c r="H67" i="10"/>
  <c r="I67" i="10" s="1"/>
  <c r="G67" i="10"/>
  <c r="CD67" i="10"/>
  <c r="V67" i="10"/>
  <c r="AP67" i="10"/>
  <c r="BD17" i="10"/>
  <c r="AD17" i="10"/>
  <c r="AX17" i="10"/>
  <c r="L23" i="10"/>
  <c r="R23" i="10"/>
  <c r="S23" i="10" s="1"/>
  <c r="G23" i="10"/>
  <c r="CD23" i="10"/>
  <c r="Q23" i="10"/>
  <c r="M23" i="10"/>
  <c r="N23" i="10" s="1"/>
  <c r="H23" i="10"/>
  <c r="I23" i="10" s="1"/>
  <c r="AP23" i="10"/>
  <c r="V23" i="10"/>
  <c r="P88" i="10"/>
  <c r="AD85" i="10"/>
  <c r="AX85" i="10"/>
  <c r="BD85" i="10"/>
  <c r="L71" i="11"/>
  <c r="M71" i="11"/>
  <c r="N71" i="11" s="1"/>
  <c r="H71" i="11"/>
  <c r="I71" i="11" s="1"/>
  <c r="G71" i="11"/>
  <c r="V71" i="11"/>
  <c r="L26" i="10"/>
  <c r="H26" i="10"/>
  <c r="I26" i="10" s="1"/>
  <c r="M26" i="10"/>
  <c r="N26" i="10" s="1"/>
  <c r="G26" i="10"/>
  <c r="R26" i="10"/>
  <c r="S26" i="10" s="1"/>
  <c r="CD26" i="10"/>
  <c r="Q26" i="10"/>
  <c r="AP26" i="10"/>
  <c r="AI80" i="10"/>
  <c r="AJ81" i="10"/>
  <c r="BW81" i="10"/>
  <c r="BY81" i="10" s="1"/>
  <c r="BZ81" i="10" s="1"/>
  <c r="CA81" i="10" s="1"/>
  <c r="AL81" i="10"/>
  <c r="AM81" i="10" s="1"/>
  <c r="AK81" i="10"/>
  <c r="Q22" i="10"/>
  <c r="G22" i="10"/>
  <c r="M22" i="10"/>
  <c r="N22" i="10" s="1"/>
  <c r="E21" i="10"/>
  <c r="H22" i="10"/>
  <c r="I22" i="10" s="1"/>
  <c r="R22" i="10"/>
  <c r="S22" i="10" s="1"/>
  <c r="CD22" i="10"/>
  <c r="L22" i="10"/>
  <c r="AP22" i="10"/>
  <c r="AZ24" i="10"/>
  <c r="BA24" i="10" s="1"/>
  <c r="BF24" i="10"/>
  <c r="BG24" i="10" s="1"/>
  <c r="BE24" i="10"/>
  <c r="AT24" i="10"/>
  <c r="AU24" i="10" s="1"/>
  <c r="AY24" i="10"/>
  <c r="AS24" i="10"/>
  <c r="AP24" i="10"/>
  <c r="AO21" i="10"/>
  <c r="L39" i="10"/>
  <c r="CD39" i="10"/>
  <c r="Q39" i="10"/>
  <c r="H39" i="10"/>
  <c r="I39" i="10" s="1"/>
  <c r="G39" i="10"/>
  <c r="R39" i="10"/>
  <c r="S39" i="10" s="1"/>
  <c r="M39" i="10"/>
  <c r="N39" i="10" s="1"/>
  <c r="AP39" i="10"/>
  <c r="V39" i="10"/>
  <c r="L23" i="11"/>
  <c r="M23" i="11"/>
  <c r="N23" i="11" s="1"/>
  <c r="H23" i="11"/>
  <c r="I23" i="11" s="1"/>
  <c r="G23" i="11"/>
  <c r="V23" i="11"/>
  <c r="G39" i="11"/>
  <c r="M39" i="11"/>
  <c r="N39" i="11" s="1"/>
  <c r="L39" i="11"/>
  <c r="H39" i="11"/>
  <c r="I39" i="11" s="1"/>
  <c r="V39" i="11"/>
  <c r="L61" i="11"/>
  <c r="H61" i="11"/>
  <c r="I61" i="11" s="1"/>
  <c r="M61" i="11"/>
  <c r="N61" i="11" s="1"/>
  <c r="G61" i="11"/>
  <c r="E60" i="11"/>
  <c r="V61" i="11"/>
  <c r="H86" i="11"/>
  <c r="I86" i="11" s="1"/>
  <c r="G86" i="11"/>
  <c r="M86" i="11"/>
  <c r="N86" i="11" s="1"/>
  <c r="L86" i="11"/>
  <c r="V86" i="11"/>
  <c r="BW74" i="10"/>
  <c r="BX74" i="10" s="1"/>
  <c r="AJ74" i="10"/>
  <c r="AK74" i="10"/>
  <c r="AL74" i="10"/>
  <c r="AM74" i="10" s="1"/>
  <c r="AS74" i="11"/>
  <c r="AT74" i="11"/>
  <c r="AU74" i="11" s="1"/>
  <c r="AP74" i="11"/>
  <c r="AZ74" i="11"/>
  <c r="BA74" i="11" s="1"/>
  <c r="AY74" i="11"/>
  <c r="BI74" i="11"/>
  <c r="AT82" i="11"/>
  <c r="AU82" i="11" s="1"/>
  <c r="AS82" i="11"/>
  <c r="AY82" i="11"/>
  <c r="AP82" i="11"/>
  <c r="AZ82" i="11"/>
  <c r="BA82" i="11" s="1"/>
  <c r="BI82" i="11"/>
  <c r="M19" i="10"/>
  <c r="N19" i="10" s="1"/>
  <c r="CD19" i="10"/>
  <c r="L19" i="10"/>
  <c r="H19" i="10"/>
  <c r="I19" i="10" s="1"/>
  <c r="R19" i="10"/>
  <c r="S19" i="10" s="1"/>
  <c r="G19" i="10"/>
  <c r="Q19" i="10"/>
  <c r="AP19" i="10"/>
  <c r="P42" i="10"/>
  <c r="AJ43" i="10"/>
  <c r="AX43" i="10"/>
  <c r="BD43" i="10"/>
  <c r="AD43" i="10"/>
  <c r="R41" i="10"/>
  <c r="S41" i="10" s="1"/>
  <c r="H41" i="10"/>
  <c r="I41" i="10" s="1"/>
  <c r="Q41" i="10"/>
  <c r="L41" i="10"/>
  <c r="CD41" i="10"/>
  <c r="E40" i="10"/>
  <c r="M41" i="10"/>
  <c r="N41" i="10" s="1"/>
  <c r="G41" i="10"/>
  <c r="AP41" i="10"/>
  <c r="V41" i="10"/>
  <c r="AZ18" i="10"/>
  <c r="BA18" i="10" s="1"/>
  <c r="BF18" i="10"/>
  <c r="BG18" i="10" s="1"/>
  <c r="BE18" i="10"/>
  <c r="AT18" i="10"/>
  <c r="AU18" i="10" s="1"/>
  <c r="AS18" i="10"/>
  <c r="AP18" i="10"/>
  <c r="AY18" i="10"/>
  <c r="AJ82" i="10"/>
  <c r="BW82" i="10"/>
  <c r="BX82" i="10" s="1"/>
  <c r="M44" i="10"/>
  <c r="N44" i="10" s="1"/>
  <c r="L44" i="10"/>
  <c r="Q44" i="10"/>
  <c r="G44" i="10"/>
  <c r="H44" i="10"/>
  <c r="I44" i="10" s="1"/>
  <c r="CD44" i="10"/>
  <c r="R44" i="10"/>
  <c r="S44" i="10" s="1"/>
  <c r="V44" i="10"/>
  <c r="AP44" i="10"/>
  <c r="AJ16" i="10"/>
  <c r="AI15" i="10"/>
  <c r="BW16" i="10"/>
  <c r="Q48" i="10"/>
  <c r="G48" i="10"/>
  <c r="R48" i="10"/>
  <c r="S48" i="10" s="1"/>
  <c r="H48" i="10"/>
  <c r="I48" i="10" s="1"/>
  <c r="L48" i="10"/>
  <c r="CD48" i="10"/>
  <c r="M48" i="10"/>
  <c r="N48" i="10" s="1"/>
  <c r="V48" i="10"/>
  <c r="AP48" i="10"/>
  <c r="AJ39" i="10"/>
  <c r="AD39" i="10"/>
  <c r="AX39" i="10"/>
  <c r="BD39" i="10"/>
  <c r="AK82" i="10"/>
  <c r="Z82" i="10"/>
  <c r="AA82" i="10" s="1"/>
  <c r="Y82" i="10"/>
  <c r="BI82" i="10"/>
  <c r="AE82" i="10"/>
  <c r="V82" i="10"/>
  <c r="AF82" i="10"/>
  <c r="AG82" i="10" s="1"/>
  <c r="AL82" i="10"/>
  <c r="AM82" i="10" s="1"/>
  <c r="U80" i="10"/>
  <c r="CD18" i="10"/>
  <c r="M18" i="10"/>
  <c r="N18" i="10" s="1"/>
  <c r="L18" i="10"/>
  <c r="H18" i="10"/>
  <c r="I18" i="10" s="1"/>
  <c r="R18" i="10"/>
  <c r="S18" i="10" s="1"/>
  <c r="G18" i="10"/>
  <c r="Q18" i="10"/>
  <c r="L22" i="11"/>
  <c r="M22" i="11"/>
  <c r="N22" i="11" s="1"/>
  <c r="H22" i="11"/>
  <c r="I22" i="11" s="1"/>
  <c r="G22" i="11"/>
  <c r="E21" i="11"/>
  <c r="V21" i="11" s="1"/>
  <c r="V22" i="11"/>
  <c r="L26" i="11"/>
  <c r="M26" i="11"/>
  <c r="N26" i="11" s="1"/>
  <c r="H26" i="11"/>
  <c r="I26" i="11" s="1"/>
  <c r="G26" i="11"/>
  <c r="V26" i="11"/>
  <c r="H37" i="11"/>
  <c r="I37" i="11" s="1"/>
  <c r="G37" i="11"/>
  <c r="M37" i="11"/>
  <c r="N37" i="11" s="1"/>
  <c r="E36" i="11"/>
  <c r="L37" i="11"/>
  <c r="V37" i="11"/>
  <c r="H54" i="11"/>
  <c r="I54" i="11" s="1"/>
  <c r="L54" i="11"/>
  <c r="G54" i="11"/>
  <c r="M54" i="11"/>
  <c r="N54" i="11" s="1"/>
  <c r="V54" i="11"/>
  <c r="L64" i="11"/>
  <c r="M64" i="11"/>
  <c r="N64" i="11" s="1"/>
  <c r="H64" i="11"/>
  <c r="I64" i="11" s="1"/>
  <c r="G64" i="11"/>
  <c r="V64" i="11"/>
  <c r="L69" i="11"/>
  <c r="M69" i="11"/>
  <c r="N69" i="11" s="1"/>
  <c r="H69" i="11"/>
  <c r="I69" i="11" s="1"/>
  <c r="E68" i="11"/>
  <c r="G69" i="11"/>
  <c r="V69" i="11"/>
  <c r="H79" i="11"/>
  <c r="I79" i="11" s="1"/>
  <c r="G79" i="11"/>
  <c r="M79" i="11"/>
  <c r="N79" i="11" s="1"/>
  <c r="L79" i="11"/>
  <c r="V79" i="11"/>
  <c r="L75" i="10"/>
  <c r="Q75" i="10"/>
  <c r="CD75" i="10"/>
  <c r="R75" i="10"/>
  <c r="S75" i="10" s="1"/>
  <c r="M75" i="10"/>
  <c r="N75" i="10" s="1"/>
  <c r="H75" i="10"/>
  <c r="I75" i="10" s="1"/>
  <c r="G75" i="10"/>
  <c r="V75" i="10"/>
  <c r="AP75" i="10"/>
  <c r="P60" i="10"/>
  <c r="BD61" i="10"/>
  <c r="AD61" i="10"/>
  <c r="AX61" i="10"/>
  <c r="AD24" i="10"/>
  <c r="BD24" i="10"/>
  <c r="AX24" i="10"/>
  <c r="AS16" i="11"/>
  <c r="AY16" i="11"/>
  <c r="AP16" i="11"/>
  <c r="AZ16" i="11"/>
  <c r="BA16" i="11" s="1"/>
  <c r="AO15" i="11"/>
  <c r="AT16" i="11"/>
  <c r="AU16" i="11" s="1"/>
  <c r="BI16" i="11"/>
  <c r="AT41" i="11"/>
  <c r="AU41" i="11" s="1"/>
  <c r="AS41" i="11"/>
  <c r="AO40" i="11"/>
  <c r="AP41" i="11"/>
  <c r="AZ41" i="11"/>
  <c r="BA41" i="11" s="1"/>
  <c r="AY41" i="11"/>
  <c r="BI41" i="11"/>
  <c r="AT27" i="11"/>
  <c r="AU27" i="11" s="1"/>
  <c r="AS27" i="11"/>
  <c r="AP27" i="11"/>
  <c r="AY27" i="11"/>
  <c r="AZ27" i="11"/>
  <c r="BA27" i="11" s="1"/>
  <c r="BI27" i="11"/>
  <c r="AT53" i="11"/>
  <c r="AU53" i="11" s="1"/>
  <c r="AS53" i="11"/>
  <c r="AO52" i="11"/>
  <c r="AP53" i="11"/>
  <c r="AZ53" i="11"/>
  <c r="BA53" i="11" s="1"/>
  <c r="AY53" i="11"/>
  <c r="BI53" i="11"/>
  <c r="AT57" i="11"/>
  <c r="AU57" i="11" s="1"/>
  <c r="AY57" i="11"/>
  <c r="AZ57" i="11"/>
  <c r="BA57" i="11" s="1"/>
  <c r="AS57" i="11"/>
  <c r="AP57" i="11"/>
  <c r="BI57" i="11"/>
  <c r="AS67" i="11"/>
  <c r="AZ67" i="11"/>
  <c r="BA67" i="11" s="1"/>
  <c r="AP67" i="11"/>
  <c r="AY67" i="11"/>
  <c r="AT67" i="11"/>
  <c r="AU67" i="11" s="1"/>
  <c r="BI67" i="11"/>
  <c r="AS70" i="11"/>
  <c r="AP70" i="11"/>
  <c r="AZ70" i="11"/>
  <c r="BA70" i="11" s="1"/>
  <c r="AY70" i="11"/>
  <c r="AT70" i="11"/>
  <c r="AU70" i="11" s="1"/>
  <c r="BI70" i="11"/>
  <c r="AJ83" i="10"/>
  <c r="BW83" i="10"/>
  <c r="BX83" i="10" s="1"/>
  <c r="AK83" i="10"/>
  <c r="AL83" i="10"/>
  <c r="AM83" i="10" s="1"/>
  <c r="AD44" i="10"/>
  <c r="AJ44" i="10"/>
  <c r="AX44" i="10"/>
  <c r="BD44" i="10"/>
  <c r="W11" i="11"/>
  <c r="AW13" i="11"/>
  <c r="AW11" i="11" s="1"/>
  <c r="AI24" i="9"/>
  <c r="BI28" i="9"/>
  <c r="AP28" i="9"/>
  <c r="BH28" i="9"/>
  <c r="AU28" i="9"/>
  <c r="AT28" i="9"/>
  <c r="AO27" i="9"/>
  <c r="BR39" i="10"/>
  <c r="J42" i="9"/>
  <c r="J24" i="9"/>
  <c r="BD21" i="10"/>
  <c r="BC20" i="10"/>
  <c r="BD20" i="10" s="1"/>
  <c r="BX57" i="10"/>
  <c r="BQ46" i="10"/>
  <c r="BR46" i="10" s="1"/>
  <c r="BR47" i="10"/>
  <c r="BR82" i="10"/>
  <c r="BL69" i="10"/>
  <c r="BK68" i="10"/>
  <c r="BL68" i="10" s="1"/>
  <c r="BH14" i="9"/>
  <c r="AO13" i="9"/>
  <c r="AT14" i="9"/>
  <c r="AP14" i="9"/>
  <c r="BI14" i="9"/>
  <c r="AU14" i="9"/>
  <c r="AR60" i="10"/>
  <c r="AQ59" i="10"/>
  <c r="AR59" i="10" s="1"/>
  <c r="AK36" i="9"/>
  <c r="AK26" i="9"/>
  <c r="AK38" i="9" s="1"/>
  <c r="V42" i="9"/>
  <c r="V24" i="9"/>
  <c r="AP10" i="9"/>
  <c r="AP20" i="9"/>
  <c r="AD88" i="10"/>
  <c r="AQ51" i="10"/>
  <c r="AR80" i="10"/>
  <c r="BG32" i="9"/>
  <c r="BG31" i="9"/>
  <c r="BG9" i="9"/>
  <c r="BF11" i="9"/>
  <c r="BL85" i="10"/>
  <c r="BK88" i="10"/>
  <c r="BL88" i="10" s="1"/>
  <c r="X52" i="10"/>
  <c r="BR75" i="10"/>
  <c r="BD40" i="10"/>
  <c r="BM70" i="10"/>
  <c r="BN70" i="10" s="1"/>
  <c r="BO70" i="10" s="1"/>
  <c r="BY70" i="10"/>
  <c r="BZ70" i="10" s="1"/>
  <c r="CA70" i="10" s="1"/>
  <c r="BJ70" i="10"/>
  <c r="BS70" i="10"/>
  <c r="BT70" i="10" s="1"/>
  <c r="BU70" i="10" s="1"/>
  <c r="AE31" i="11"/>
  <c r="V31" i="11"/>
  <c r="Y31" i="11"/>
  <c r="AF31" i="11"/>
  <c r="AG31" i="11" s="1"/>
  <c r="U30" i="11"/>
  <c r="Z31" i="11"/>
  <c r="AA31" i="11" s="1"/>
  <c r="AL31" i="11"/>
  <c r="AM31" i="11" s="1"/>
  <c r="AK31" i="11"/>
  <c r="BD77" i="10"/>
  <c r="BJ55" i="10"/>
  <c r="BY55" i="10"/>
  <c r="BZ55" i="10" s="1"/>
  <c r="CA55" i="10" s="1"/>
  <c r="BM55" i="10"/>
  <c r="BN55" i="10" s="1"/>
  <c r="BO55" i="10" s="1"/>
  <c r="BS55" i="10"/>
  <c r="BT55" i="10" s="1"/>
  <c r="BU55" i="10" s="1"/>
  <c r="BX87" i="10"/>
  <c r="BS34" i="10"/>
  <c r="BT34" i="10" s="1"/>
  <c r="BU34" i="10" s="1"/>
  <c r="BY34" i="10"/>
  <c r="BZ34" i="10" s="1"/>
  <c r="CA34" i="10" s="1"/>
  <c r="BM34" i="10"/>
  <c r="BN34" i="10" s="1"/>
  <c r="BO34" i="10" s="1"/>
  <c r="BJ34" i="10"/>
  <c r="AL77" i="10"/>
  <c r="AM77" i="10" s="1"/>
  <c r="Y77" i="10"/>
  <c r="AE77" i="10"/>
  <c r="AF77" i="10"/>
  <c r="AG77" i="10" s="1"/>
  <c r="Z77" i="10"/>
  <c r="AA77" i="10" s="1"/>
  <c r="V77" i="10"/>
  <c r="AK77" i="10"/>
  <c r="AF77" i="11"/>
  <c r="AG77" i="11" s="1"/>
  <c r="AL77" i="11"/>
  <c r="AM77" i="11" s="1"/>
  <c r="Z77" i="11"/>
  <c r="AA77" i="11" s="1"/>
  <c r="Y77" i="11"/>
  <c r="AK77" i="11"/>
  <c r="V77" i="11"/>
  <c r="AE77" i="11"/>
  <c r="AD42" i="10"/>
  <c r="AR31" i="10"/>
  <c r="AQ30" i="10"/>
  <c r="AR30" i="10" s="1"/>
  <c r="BR64" i="10"/>
  <c r="BS81" i="10"/>
  <c r="BT81" i="10" s="1"/>
  <c r="BU81" i="10" s="1"/>
  <c r="BI80" i="10"/>
  <c r="BM81" i="10"/>
  <c r="BN81" i="10" s="1"/>
  <c r="BO81" i="10" s="1"/>
  <c r="BJ81" i="10"/>
  <c r="BX33" i="10"/>
  <c r="AW59" i="10"/>
  <c r="AX60" i="10"/>
  <c r="BR49" i="10"/>
  <c r="AD46" i="10"/>
  <c r="AN36" i="9"/>
  <c r="AN26" i="9"/>
  <c r="AN38" i="9" s="1"/>
  <c r="AX21" i="10"/>
  <c r="AW20" i="10"/>
  <c r="AX20" i="10" s="1"/>
  <c r="AD80" i="10"/>
  <c r="AD14" i="9"/>
  <c r="K13" i="9"/>
  <c r="P14" i="9"/>
  <c r="AE14" i="9"/>
  <c r="Q14" i="9"/>
  <c r="L14" i="9"/>
  <c r="BR48" i="10"/>
  <c r="AD52" i="10"/>
  <c r="BR70" i="10"/>
  <c r="AX31" i="10"/>
  <c r="AW30" i="10"/>
  <c r="AX30" i="10" s="1"/>
  <c r="BL15" i="11"/>
  <c r="BK14" i="11"/>
  <c r="BC19" i="9"/>
  <c r="BC24" i="9" s="1"/>
  <c r="W26" i="9"/>
  <c r="W38" i="9" s="1"/>
  <c r="W36" i="9"/>
  <c r="AC34" i="9"/>
  <c r="AB33" i="9"/>
  <c r="AC33" i="9" s="1"/>
  <c r="AB13" i="9"/>
  <c r="AC13" i="9" s="1"/>
  <c r="AC14" i="9"/>
  <c r="X88" i="10"/>
  <c r="BQ20" i="11"/>
  <c r="BS66" i="10"/>
  <c r="BT66" i="10" s="1"/>
  <c r="BU66" i="10" s="1"/>
  <c r="BJ66" i="10"/>
  <c r="BM66" i="10"/>
  <c r="BN66" i="10" s="1"/>
  <c r="BO66" i="10" s="1"/>
  <c r="BY66" i="10"/>
  <c r="BZ66" i="10" s="1"/>
  <c r="CA66" i="10" s="1"/>
  <c r="AK88" i="11"/>
  <c r="Z88" i="11"/>
  <c r="AA88" i="11" s="1"/>
  <c r="Y88" i="11"/>
  <c r="AF88" i="11"/>
  <c r="AG88" i="11" s="1"/>
  <c r="AL88" i="11"/>
  <c r="AM88" i="11" s="1"/>
  <c r="AE88" i="11"/>
  <c r="V88" i="11"/>
  <c r="AE21" i="11"/>
  <c r="Y21" i="11"/>
  <c r="AF21" i="11"/>
  <c r="AG21" i="11" s="1"/>
  <c r="U20" i="11"/>
  <c r="AK21" i="11"/>
  <c r="AL21" i="11"/>
  <c r="AM21" i="11" s="1"/>
  <c r="Z21" i="11"/>
  <c r="AA21" i="11" s="1"/>
  <c r="BX71" i="10"/>
  <c r="BY33" i="10"/>
  <c r="BZ33" i="10" s="1"/>
  <c r="CA33" i="10" s="1"/>
  <c r="BJ33" i="10"/>
  <c r="BS33" i="10"/>
  <c r="BT33" i="10" s="1"/>
  <c r="BU33" i="10" s="1"/>
  <c r="BM33" i="10"/>
  <c r="BN33" i="10" s="1"/>
  <c r="BO33" i="10" s="1"/>
  <c r="BX64" i="10"/>
  <c r="BW31" i="10"/>
  <c r="BX32" i="10"/>
  <c r="AY60" i="10"/>
  <c r="AY88" i="10"/>
  <c r="AZ88" i="10"/>
  <c r="BA88" i="10" s="1"/>
  <c r="BF88" i="10"/>
  <c r="BG88" i="10" s="1"/>
  <c r="BE88" i="10"/>
  <c r="AS88" i="10"/>
  <c r="AT88" i="10"/>
  <c r="AU88" i="10" s="1"/>
  <c r="BX58" i="10"/>
  <c r="BX37" i="10"/>
  <c r="BW36" i="10"/>
  <c r="BX36" i="10" s="1"/>
  <c r="AE68" i="11"/>
  <c r="V68" i="11"/>
  <c r="AK68" i="11"/>
  <c r="Z68" i="11"/>
  <c r="AA68" i="11" s="1"/>
  <c r="AL68" i="11"/>
  <c r="AM68" i="11" s="1"/>
  <c r="AF68" i="11"/>
  <c r="AG68" i="11" s="1"/>
  <c r="Y68" i="11"/>
  <c r="BD42" i="10"/>
  <c r="BX34" i="10"/>
  <c r="Z15" i="11"/>
  <c r="AA15" i="11" s="1"/>
  <c r="AK15" i="11"/>
  <c r="Y15" i="11"/>
  <c r="V15" i="11"/>
  <c r="U14" i="11"/>
  <c r="AE15" i="11"/>
  <c r="AL15" i="11"/>
  <c r="AM15" i="11" s="1"/>
  <c r="AF15" i="11"/>
  <c r="AG15" i="11" s="1"/>
  <c r="BQ31" i="10"/>
  <c r="BR32" i="10"/>
  <c r="BR17" i="10"/>
  <c r="BR85" i="10"/>
  <c r="BQ88" i="10"/>
  <c r="BR88" i="10" s="1"/>
  <c r="BR76" i="10"/>
  <c r="BX39" i="10"/>
  <c r="Z36" i="10"/>
  <c r="AA36" i="10" s="1"/>
  <c r="AK36" i="10"/>
  <c r="Y36" i="10"/>
  <c r="V36" i="10"/>
  <c r="AL36" i="10"/>
  <c r="AM36" i="10" s="1"/>
  <c r="AF36" i="10"/>
  <c r="AG36" i="10" s="1"/>
  <c r="AE36" i="10"/>
  <c r="Y36" i="11"/>
  <c r="AL36" i="11"/>
  <c r="AM36" i="11" s="1"/>
  <c r="Z36" i="11"/>
  <c r="AA36" i="11" s="1"/>
  <c r="AK36" i="11"/>
  <c r="V36" i="11"/>
  <c r="AF36" i="11"/>
  <c r="AG36" i="11" s="1"/>
  <c r="AE36" i="11"/>
  <c r="BD46" i="10"/>
  <c r="BX27" i="10"/>
  <c r="BX70" i="10"/>
  <c r="Y40" i="11"/>
  <c r="AL40" i="11"/>
  <c r="AM40" i="11" s="1"/>
  <c r="Z40" i="11"/>
  <c r="AA40" i="11" s="1"/>
  <c r="AK40" i="11"/>
  <c r="AF40" i="11"/>
  <c r="AG40" i="11" s="1"/>
  <c r="AE40" i="11"/>
  <c r="BX62" i="10"/>
  <c r="BR38" i="10"/>
  <c r="AL19" i="9"/>
  <c r="AL24" i="9" s="1"/>
  <c r="AE28" i="9"/>
  <c r="L28" i="9"/>
  <c r="AD28" i="9"/>
  <c r="Q28" i="9"/>
  <c r="K27" i="9"/>
  <c r="P28" i="9"/>
  <c r="AD36" i="10"/>
  <c r="AX46" i="10"/>
  <c r="AP31" i="9"/>
  <c r="AP32" i="9"/>
  <c r="BI9" i="9"/>
  <c r="BJ9" i="9" s="1"/>
  <c r="BH9" i="9"/>
  <c r="AP9" i="9"/>
  <c r="AT9" i="9"/>
  <c r="AO11" i="9"/>
  <c r="AU9" i="9"/>
  <c r="AV9" i="9" s="1"/>
  <c r="I36" i="9"/>
  <c r="I26" i="9"/>
  <c r="I38" i="9" s="1"/>
  <c r="BG34" i="9"/>
  <c r="BF33" i="9"/>
  <c r="BG33" i="9" s="1"/>
  <c r="X31" i="10"/>
  <c r="W30" i="10"/>
  <c r="X30" i="10" s="1"/>
  <c r="AQ11" i="11"/>
  <c r="BR81" i="10"/>
  <c r="BQ80" i="10"/>
  <c r="AX42" i="10"/>
  <c r="BR83" i="10"/>
  <c r="AJ36" i="9"/>
  <c r="AJ26" i="9"/>
  <c r="AJ38" i="9" s="1"/>
  <c r="BR33" i="10"/>
  <c r="BR16" i="10"/>
  <c r="BQ15" i="10"/>
  <c r="AX24" i="9"/>
  <c r="BQ30" i="11"/>
  <c r="AM42" i="9"/>
  <c r="AM24" i="9"/>
  <c r="BL78" i="10"/>
  <c r="BK77" i="10"/>
  <c r="BL77" i="10" s="1"/>
  <c r="BL53" i="10"/>
  <c r="BK52" i="10"/>
  <c r="BL52" i="10" s="1"/>
  <c r="BQ14" i="11"/>
  <c r="BX75" i="10"/>
  <c r="BS56" i="10"/>
  <c r="BT56" i="10" s="1"/>
  <c r="BU56" i="10" s="1"/>
  <c r="BM56" i="10"/>
  <c r="BN56" i="10" s="1"/>
  <c r="BO56" i="10" s="1"/>
  <c r="BJ56" i="10"/>
  <c r="BY56" i="10"/>
  <c r="BZ56" i="10" s="1"/>
  <c r="CA56" i="10" s="1"/>
  <c r="BX67" i="10"/>
  <c r="BX54" i="10"/>
  <c r="BM41" i="10"/>
  <c r="BN41" i="10" s="1"/>
  <c r="BO41" i="10" s="1"/>
  <c r="BS41" i="10"/>
  <c r="BT41" i="10" s="1"/>
  <c r="BU41" i="10" s="1"/>
  <c r="BI40" i="10"/>
  <c r="BJ41" i="10"/>
  <c r="BY41" i="10"/>
  <c r="BZ41" i="10" s="1"/>
  <c r="CA41" i="10" s="1"/>
  <c r="BM86" i="10"/>
  <c r="BS86" i="10"/>
  <c r="BT86" i="10" s="1"/>
  <c r="BU86" i="10" s="1"/>
  <c r="BJ86" i="10"/>
  <c r="BY86" i="10"/>
  <c r="BZ86" i="10" s="1"/>
  <c r="CA86" i="10" s="1"/>
  <c r="BN86" i="10"/>
  <c r="BO86" i="10" s="1"/>
  <c r="AI30" i="10"/>
  <c r="AJ30" i="10" s="1"/>
  <c r="AJ31" i="10"/>
  <c r="BF68" i="10"/>
  <c r="BG68" i="10" s="1"/>
  <c r="BE68" i="10"/>
  <c r="AS68" i="10"/>
  <c r="AZ68" i="10"/>
  <c r="BA68" i="10" s="1"/>
  <c r="AY68" i="10"/>
  <c r="AT68" i="10"/>
  <c r="AU68" i="10" s="1"/>
  <c r="AP68" i="10"/>
  <c r="BW46" i="10"/>
  <c r="BX46" i="10" s="1"/>
  <c r="BX47" i="10"/>
  <c r="BJ38" i="10"/>
  <c r="BY38" i="10"/>
  <c r="BZ38" i="10" s="1"/>
  <c r="CA38" i="10" s="1"/>
  <c r="BS38" i="10"/>
  <c r="BT38" i="10" s="1"/>
  <c r="BU38" i="10" s="1"/>
  <c r="BM38" i="10"/>
  <c r="BN38" i="10" s="1"/>
  <c r="BO38" i="10" s="1"/>
  <c r="BS67" i="10"/>
  <c r="BT67" i="10" s="1"/>
  <c r="BU67" i="10" s="1"/>
  <c r="BJ67" i="10"/>
  <c r="BY67" i="10"/>
  <c r="BZ67" i="10" s="1"/>
  <c r="CA67" i="10" s="1"/>
  <c r="BM67" i="10"/>
  <c r="BN67" i="10" s="1"/>
  <c r="BO67" i="10" s="1"/>
  <c r="BX38" i="10"/>
  <c r="AE60" i="11"/>
  <c r="V60" i="11"/>
  <c r="AK60" i="11"/>
  <c r="AL60" i="11"/>
  <c r="AM60" i="11" s="1"/>
  <c r="Y60" i="11"/>
  <c r="Z60" i="11"/>
  <c r="AA60" i="11" s="1"/>
  <c r="U59" i="11"/>
  <c r="AF60" i="11"/>
  <c r="AG60" i="11" s="1"/>
  <c r="AI30" i="11"/>
  <c r="BR35" i="10"/>
  <c r="X26" i="9"/>
  <c r="X38" i="9" s="1"/>
  <c r="X36" i="9"/>
  <c r="H36" i="9"/>
  <c r="H26" i="9"/>
  <c r="H38" i="9" s="1"/>
  <c r="E24" i="9"/>
  <c r="Z42" i="9"/>
  <c r="Z24" i="9"/>
  <c r="AR15" i="10"/>
  <c r="BS58" i="10"/>
  <c r="BT58" i="10" s="1"/>
  <c r="BU58" i="10" s="1"/>
  <c r="BM58" i="10"/>
  <c r="BN58" i="10" s="1"/>
  <c r="BO58" i="10" s="1"/>
  <c r="BY58" i="10"/>
  <c r="BZ58" i="10" s="1"/>
  <c r="CA58" i="10" s="1"/>
  <c r="BJ58" i="10"/>
  <c r="AF31" i="10"/>
  <c r="AG31" i="10" s="1"/>
  <c r="V31" i="10"/>
  <c r="AL31" i="10"/>
  <c r="AM31" i="10" s="1"/>
  <c r="AE31" i="10"/>
  <c r="U30" i="10"/>
  <c r="Z31" i="10"/>
  <c r="AA31" i="10" s="1"/>
  <c r="Y31" i="10"/>
  <c r="AK31" i="10"/>
  <c r="AS42" i="10"/>
  <c r="AZ42" i="10"/>
  <c r="BA42" i="10" s="1"/>
  <c r="BF42" i="10"/>
  <c r="BG42" i="10" s="1"/>
  <c r="BE42" i="10"/>
  <c r="AY42" i="10"/>
  <c r="AT42" i="10"/>
  <c r="AU42" i="10" s="1"/>
  <c r="BY69" i="10"/>
  <c r="BZ69" i="10" s="1"/>
  <c r="CA69" i="10" s="1"/>
  <c r="BI68" i="10"/>
  <c r="BS69" i="10"/>
  <c r="BT69" i="10" s="1"/>
  <c r="BU69" i="10" s="1"/>
  <c r="BM69" i="10"/>
  <c r="BN69" i="10" s="1"/>
  <c r="BO69" i="10" s="1"/>
  <c r="BJ69" i="10"/>
  <c r="BF40" i="10"/>
  <c r="BG40" i="10" s="1"/>
  <c r="AZ40" i="10"/>
  <c r="BA40" i="10" s="1"/>
  <c r="AS40" i="10"/>
  <c r="AT40" i="10"/>
  <c r="AU40" i="10" s="1"/>
  <c r="AY40" i="10"/>
  <c r="BE40" i="10"/>
  <c r="AE40" i="10"/>
  <c r="AF40" i="10"/>
  <c r="AG40" i="10" s="1"/>
  <c r="AK40" i="10"/>
  <c r="Z40" i="10"/>
  <c r="AA40" i="10" s="1"/>
  <c r="Y40" i="10"/>
  <c r="V40" i="10"/>
  <c r="AL40" i="10"/>
  <c r="AM40" i="10" s="1"/>
  <c r="BX66" i="10"/>
  <c r="BW21" i="10"/>
  <c r="BX22" i="10"/>
  <c r="BX35" i="10"/>
  <c r="BD52" i="10"/>
  <c r="BY62" i="10"/>
  <c r="BZ62" i="10" s="1"/>
  <c r="CA62" i="10" s="1"/>
  <c r="BM62" i="10"/>
  <c r="BN62" i="10" s="1"/>
  <c r="BO62" i="10" s="1"/>
  <c r="BJ62" i="10"/>
  <c r="BS62" i="10"/>
  <c r="BT62" i="10" s="1"/>
  <c r="BU62" i="10" s="1"/>
  <c r="AJ36" i="10"/>
  <c r="AS36" i="10"/>
  <c r="BF36" i="10"/>
  <c r="BG36" i="10" s="1"/>
  <c r="BE36" i="10"/>
  <c r="AT36" i="10"/>
  <c r="AU36" i="10" s="1"/>
  <c r="AY36" i="10"/>
  <c r="AP36" i="10"/>
  <c r="AZ36" i="10"/>
  <c r="BA36" i="10" s="1"/>
  <c r="BX29" i="10"/>
  <c r="BX73" i="10"/>
  <c r="BJ74" i="10"/>
  <c r="BS74" i="10"/>
  <c r="BT74" i="10" s="1"/>
  <c r="BU74" i="10" s="1"/>
  <c r="BY74" i="10"/>
  <c r="BZ74" i="10" s="1"/>
  <c r="CA74" i="10" s="1"/>
  <c r="BM74" i="10"/>
  <c r="BN74" i="10" s="1"/>
  <c r="BO74" i="10" s="1"/>
  <c r="BM35" i="10"/>
  <c r="BN35" i="10" s="1"/>
  <c r="BO35" i="10" s="1"/>
  <c r="BJ35" i="10"/>
  <c r="BY35" i="10"/>
  <c r="BZ35" i="10" s="1"/>
  <c r="CA35" i="10" s="1"/>
  <c r="BS35" i="10"/>
  <c r="BT35" i="10" s="1"/>
  <c r="BU35" i="10" s="1"/>
  <c r="BM29" i="10"/>
  <c r="BN29" i="10" s="1"/>
  <c r="BO29" i="10" s="1"/>
  <c r="BJ29" i="10"/>
  <c r="BY29" i="10"/>
  <c r="BZ29" i="10" s="1"/>
  <c r="CA29" i="10" s="1"/>
  <c r="BS29" i="10"/>
  <c r="BT29" i="10" s="1"/>
  <c r="BU29" i="10" s="1"/>
  <c r="BY23" i="10"/>
  <c r="BZ23" i="10" s="1"/>
  <c r="CA23" i="10" s="1"/>
  <c r="BS23" i="10"/>
  <c r="BT23" i="10" s="1"/>
  <c r="BU23" i="10" s="1"/>
  <c r="BM23" i="10"/>
  <c r="BN23" i="10" s="1"/>
  <c r="BO23" i="10" s="1"/>
  <c r="BJ23" i="10"/>
  <c r="AY42" i="9"/>
  <c r="AY24" i="9"/>
  <c r="AX40" i="10"/>
  <c r="Y36" i="9"/>
  <c r="Y26" i="9"/>
  <c r="BK31" i="10"/>
  <c r="BL32" i="10"/>
  <c r="AC13" i="11"/>
  <c r="BA36" i="9"/>
  <c r="BA26" i="9"/>
  <c r="BA38" i="9" s="1"/>
  <c r="BR25" i="10"/>
  <c r="G24" i="9"/>
  <c r="G42" i="9"/>
  <c r="AS47" i="9"/>
  <c r="BK40" i="10"/>
  <c r="BL40" i="10" s="1"/>
  <c r="BL41" i="10"/>
  <c r="BQ36" i="10"/>
  <c r="BR36" i="10" s="1"/>
  <c r="BR37" i="10"/>
  <c r="T24" i="9"/>
  <c r="BR65" i="10"/>
  <c r="F42" i="9"/>
  <c r="F24" i="9"/>
  <c r="AQ20" i="10"/>
  <c r="AR20" i="10" s="1"/>
  <c r="AR21" i="10"/>
  <c r="AW51" i="10"/>
  <c r="AX80" i="10"/>
  <c r="BK80" i="10"/>
  <c r="BL81" i="10"/>
  <c r="BR23" i="10"/>
  <c r="BF13" i="9"/>
  <c r="BG13" i="9" s="1"/>
  <c r="BG14" i="9"/>
  <c r="BL22" i="10"/>
  <c r="BK21" i="10"/>
  <c r="X60" i="10"/>
  <c r="W59" i="10"/>
  <c r="X59" i="10" s="1"/>
  <c r="AP15" i="9"/>
  <c r="AP35" i="9"/>
  <c r="AA36" i="9"/>
  <c r="AA26" i="9"/>
  <c r="AA38" i="9" s="1"/>
  <c r="BR74" i="10"/>
  <c r="BQ77" i="10"/>
  <c r="BR77" i="10" s="1"/>
  <c r="BR78" i="10"/>
  <c r="AX77" i="10"/>
  <c r="BD42" i="9"/>
  <c r="BD24" i="9"/>
  <c r="BE42" i="9"/>
  <c r="BE24" i="9"/>
  <c r="AS41" i="9"/>
  <c r="BR56" i="10"/>
  <c r="L31" i="9"/>
  <c r="L32" i="9"/>
  <c r="K11" i="9"/>
  <c r="AE9" i="9"/>
  <c r="AF9" i="9" s="1"/>
  <c r="Q9" i="9"/>
  <c r="R9" i="9" s="1"/>
  <c r="P9" i="9"/>
  <c r="L9" i="9"/>
  <c r="AD9" i="9"/>
  <c r="AC59" i="10"/>
  <c r="AC51" i="10" s="1"/>
  <c r="AD60" i="10"/>
  <c r="L20" i="9"/>
  <c r="BQ68" i="10"/>
  <c r="BR69" i="10"/>
  <c r="BL37" i="10"/>
  <c r="BK36" i="10"/>
  <c r="BL36" i="10" s="1"/>
  <c r="AR14" i="11"/>
  <c r="BM45" i="10"/>
  <c r="BN45" i="10" s="1"/>
  <c r="BO45" i="10" s="1"/>
  <c r="BY45" i="10"/>
  <c r="BZ45" i="10" s="1"/>
  <c r="CA45" i="10" s="1"/>
  <c r="BS45" i="10"/>
  <c r="BT45" i="10" s="1"/>
  <c r="BU45" i="10" s="1"/>
  <c r="BJ45" i="10"/>
  <c r="BS28" i="10"/>
  <c r="BT28" i="10" s="1"/>
  <c r="BU28" i="10" s="1"/>
  <c r="BY28" i="10"/>
  <c r="BZ28" i="10" s="1"/>
  <c r="CA28" i="10" s="1"/>
  <c r="BM28" i="10"/>
  <c r="BN28" i="10" s="1"/>
  <c r="BO28" i="10" s="1"/>
  <c r="BJ28" i="10"/>
  <c r="BM79" i="10"/>
  <c r="BN79" i="10" s="1"/>
  <c r="BO79" i="10" s="1"/>
  <c r="BY79" i="10"/>
  <c r="BZ79" i="10" s="1"/>
  <c r="CA79" i="10" s="1"/>
  <c r="BJ79" i="10"/>
  <c r="BS79" i="10"/>
  <c r="BT79" i="10" s="1"/>
  <c r="BU79" i="10" s="1"/>
  <c r="BX44" i="10"/>
  <c r="BM47" i="10"/>
  <c r="BJ47" i="10"/>
  <c r="BY47" i="10"/>
  <c r="BZ47" i="10" s="1"/>
  <c r="CA47" i="10" s="1"/>
  <c r="BN47" i="10"/>
  <c r="BO47" i="10" s="1"/>
  <c r="BS47" i="10"/>
  <c r="BT47" i="10" s="1"/>
  <c r="BU47" i="10" s="1"/>
  <c r="BI46" i="10"/>
  <c r="BE77" i="10"/>
  <c r="BF77" i="10"/>
  <c r="BG77" i="10" s="1"/>
  <c r="AT77" i="10"/>
  <c r="AU77" i="10" s="1"/>
  <c r="AS77" i="10"/>
  <c r="AY77" i="10"/>
  <c r="AP77" i="10"/>
  <c r="AZ77" i="10"/>
  <c r="BA77" i="10" s="1"/>
  <c r="BX63" i="10"/>
  <c r="Z42" i="10"/>
  <c r="AA42" i="10" s="1"/>
  <c r="AL42" i="10"/>
  <c r="AM42" i="10" s="1"/>
  <c r="AE42" i="10"/>
  <c r="Y42" i="10"/>
  <c r="AK42" i="10"/>
  <c r="AF42" i="10"/>
  <c r="AG42" i="10" s="1"/>
  <c r="AS52" i="10"/>
  <c r="BE52" i="10"/>
  <c r="AT52" i="10"/>
  <c r="AU52" i="10" s="1"/>
  <c r="AZ52" i="10"/>
  <c r="BA52" i="10" s="1"/>
  <c r="AY52" i="10"/>
  <c r="BF52" i="10"/>
  <c r="BG52" i="10" s="1"/>
  <c r="AP52" i="10"/>
  <c r="BI52" i="10"/>
  <c r="BY53" i="10"/>
  <c r="BZ53" i="10" s="1"/>
  <c r="CA53" i="10" s="1"/>
  <c r="BM53" i="10"/>
  <c r="BN53" i="10" s="1"/>
  <c r="BO53" i="10" s="1"/>
  <c r="BJ53" i="10"/>
  <c r="BS53" i="10"/>
  <c r="BT53" i="10" s="1"/>
  <c r="BU53" i="10" s="1"/>
  <c r="BX26" i="10"/>
  <c r="BX48" i="10"/>
  <c r="BW42" i="10"/>
  <c r="BX42" i="10" s="1"/>
  <c r="BX43" i="10"/>
  <c r="AI59" i="11"/>
  <c r="AK80" i="11"/>
  <c r="Z80" i="11"/>
  <c r="AA80" i="11" s="1"/>
  <c r="Y80" i="11"/>
  <c r="V80" i="11"/>
  <c r="AE80" i="11"/>
  <c r="AL80" i="11"/>
  <c r="AM80" i="11" s="1"/>
  <c r="AF80" i="11"/>
  <c r="AG80" i="11" s="1"/>
  <c r="U51" i="11"/>
  <c r="AK52" i="11"/>
  <c r="AL52" i="11"/>
  <c r="AM52" i="11" s="1"/>
  <c r="Y52" i="11"/>
  <c r="Z52" i="11"/>
  <c r="AA52" i="11" s="1"/>
  <c r="V52" i="11"/>
  <c r="AF52" i="11"/>
  <c r="AG52" i="11" s="1"/>
  <c r="AE52" i="11"/>
  <c r="AZ80" i="10"/>
  <c r="BA80" i="10" s="1"/>
  <c r="AP80" i="10"/>
  <c r="AY80" i="10"/>
  <c r="BE80" i="10"/>
  <c r="AO51" i="10"/>
  <c r="BF80" i="10"/>
  <c r="BG80" i="10" s="1"/>
  <c r="AS80" i="10"/>
  <c r="AT80" i="10"/>
  <c r="AU80" i="10" s="1"/>
  <c r="BS83" i="10"/>
  <c r="BT83" i="10" s="1"/>
  <c r="BU83" i="10" s="1"/>
  <c r="BM83" i="10"/>
  <c r="BN83" i="10" s="1"/>
  <c r="BO83" i="10" s="1"/>
  <c r="BJ83" i="10"/>
  <c r="BY83" i="10"/>
  <c r="BZ83" i="10" s="1"/>
  <c r="CA83" i="10" s="1"/>
  <c r="BX25" i="10"/>
  <c r="BR44" i="10"/>
  <c r="BR24" i="10"/>
  <c r="BR63" i="10"/>
  <c r="AB27" i="9"/>
  <c r="AC27" i="9" s="1"/>
  <c r="AC28" i="9"/>
  <c r="BR22" i="10"/>
  <c r="BQ21" i="10"/>
  <c r="AC11" i="9"/>
  <c r="AB19" i="9"/>
  <c r="AX52" i="10"/>
  <c r="AD15" i="10"/>
  <c r="AC14" i="10"/>
  <c r="BQ60" i="10"/>
  <c r="BR61" i="10"/>
  <c r="BR28" i="10"/>
  <c r="BR54" i="10"/>
  <c r="AC20" i="10"/>
  <c r="AD20" i="10" s="1"/>
  <c r="AD21" i="10"/>
  <c r="BK59" i="11"/>
  <c r="BL60" i="11"/>
  <c r="BR26" i="10"/>
  <c r="Q34" i="9"/>
  <c r="P34" i="9"/>
  <c r="AE34" i="9"/>
  <c r="L34" i="9"/>
  <c r="AD34" i="9"/>
  <c r="K33" i="9"/>
  <c r="X80" i="10"/>
  <c r="W51" i="10"/>
  <c r="BR67" i="10"/>
  <c r="X21" i="10"/>
  <c r="W20" i="10"/>
  <c r="X20" i="10" s="1"/>
  <c r="AD40" i="10"/>
  <c r="BL61" i="10"/>
  <c r="BK60" i="10"/>
  <c r="U42" i="9"/>
  <c r="U24" i="9"/>
  <c r="AD77" i="10"/>
  <c r="BR72" i="10"/>
  <c r="AD31" i="10"/>
  <c r="AC30" i="10"/>
  <c r="AD30" i="10" s="1"/>
  <c r="W14" i="10"/>
  <c r="X15" i="10"/>
  <c r="BR27" i="10"/>
  <c r="X46" i="10"/>
  <c r="X36" i="10"/>
  <c r="Y42" i="11"/>
  <c r="AL42" i="11"/>
  <c r="AM42" i="11" s="1"/>
  <c r="AF42" i="11"/>
  <c r="AG42" i="11" s="1"/>
  <c r="V42" i="11"/>
  <c r="AK42" i="11"/>
  <c r="AE42" i="11"/>
  <c r="Z42" i="11"/>
  <c r="AA42" i="11" s="1"/>
  <c r="BD60" i="10"/>
  <c r="BC59" i="10"/>
  <c r="BC51" i="10" s="1"/>
  <c r="BM39" i="10"/>
  <c r="BN39" i="10" s="1"/>
  <c r="BO39" i="10" s="1"/>
  <c r="BY39" i="10"/>
  <c r="BZ39" i="10" s="1"/>
  <c r="CA39" i="10" s="1"/>
  <c r="BS39" i="10"/>
  <c r="BT39" i="10" s="1"/>
  <c r="BU39" i="10" s="1"/>
  <c r="BJ39" i="10"/>
  <c r="BJ32" i="10"/>
  <c r="BY32" i="10"/>
  <c r="BZ32" i="10" s="1"/>
  <c r="CA32" i="10" s="1"/>
  <c r="BS32" i="10"/>
  <c r="BT32" i="10" s="1"/>
  <c r="BU32" i="10" s="1"/>
  <c r="BM32" i="10"/>
  <c r="BN32" i="10" s="1"/>
  <c r="BO32" i="10" s="1"/>
  <c r="BI31" i="10"/>
  <c r="AJ40" i="10"/>
  <c r="BY44" i="10"/>
  <c r="BZ44" i="10" s="1"/>
  <c r="CA44" i="10" s="1"/>
  <c r="BS44" i="10"/>
  <c r="BT44" i="10" s="1"/>
  <c r="BU44" i="10" s="1"/>
  <c r="BM44" i="10"/>
  <c r="BN44" i="10" s="1"/>
  <c r="BO44" i="10" s="1"/>
  <c r="BJ44" i="10"/>
  <c r="BX45" i="10"/>
  <c r="BS43" i="10"/>
  <c r="BT43" i="10" s="1"/>
  <c r="BU43" i="10" s="1"/>
  <c r="BJ43" i="10"/>
  <c r="BY43" i="10"/>
  <c r="BZ43" i="10" s="1"/>
  <c r="CA43" i="10" s="1"/>
  <c r="BM43" i="10"/>
  <c r="BN43" i="10" s="1"/>
  <c r="BO43" i="10" s="1"/>
  <c r="BI42" i="10"/>
  <c r="BX78" i="10"/>
  <c r="BW77" i="10"/>
  <c r="BX77" i="10" s="1"/>
  <c r="BD36" i="10"/>
  <c r="Y46" i="11"/>
  <c r="AF46" i="11"/>
  <c r="AG46" i="11" s="1"/>
  <c r="V46" i="11"/>
  <c r="AE46" i="11"/>
  <c r="AL46" i="11"/>
  <c r="AM46" i="11" s="1"/>
  <c r="AK46" i="11"/>
  <c r="Z46" i="11"/>
  <c r="AA46" i="11" s="1"/>
  <c r="AJ42" i="10"/>
  <c r="BI88" i="10"/>
  <c r="BY85" i="10"/>
  <c r="BZ85" i="10" s="1"/>
  <c r="CA85" i="10" s="1"/>
  <c r="BN85" i="10"/>
  <c r="BO85" i="10" s="1"/>
  <c r="BM85" i="10"/>
  <c r="BJ85" i="10"/>
  <c r="BS85" i="10"/>
  <c r="BT85" i="10" s="1"/>
  <c r="BU85" i="10" s="1"/>
  <c r="BS75" i="10"/>
  <c r="BT75" i="10" s="1"/>
  <c r="BU75" i="10" s="1"/>
  <c r="BJ75" i="10"/>
  <c r="BY75" i="10"/>
  <c r="BZ75" i="10" s="1"/>
  <c r="CA75" i="10" s="1"/>
  <c r="BM75" i="10"/>
  <c r="BN75" i="10" s="1"/>
  <c r="BO75" i="10" s="1"/>
  <c r="AI20" i="11"/>
  <c r="BX79" i="10"/>
  <c r="F51" i="11"/>
  <c r="F11" i="11" s="1"/>
  <c r="F90" i="11" s="1"/>
  <c r="BR29" i="10"/>
  <c r="BG28" i="9"/>
  <c r="BF27" i="9"/>
  <c r="BG27" i="9" s="1"/>
  <c r="BR79" i="10"/>
  <c r="BR45" i="10"/>
  <c r="BB36" i="9"/>
  <c r="BB26" i="9"/>
  <c r="BB38" i="9" s="1"/>
  <c r="BR34" i="10"/>
  <c r="AZ42" i="9"/>
  <c r="AZ24" i="9"/>
  <c r="BQ52" i="10"/>
  <c r="BR52" i="10" s="1"/>
  <c r="BR53" i="10"/>
  <c r="AX36" i="10"/>
  <c r="BR18" i="10"/>
  <c r="AX15" i="10"/>
  <c r="AW14" i="10"/>
  <c r="BR19" i="10"/>
  <c r="X59" i="11"/>
  <c r="BR57" i="10"/>
  <c r="O47" i="9"/>
  <c r="BR73" i="10"/>
  <c r="AU34" i="9"/>
  <c r="AT34" i="9"/>
  <c r="BI34" i="9"/>
  <c r="AP34" i="9"/>
  <c r="BH34" i="9"/>
  <c r="AO33" i="9"/>
  <c r="F51" i="10"/>
  <c r="F11" i="10" s="1"/>
  <c r="F90" i="10" s="1"/>
  <c r="BR41" i="10"/>
  <c r="BQ40" i="10"/>
  <c r="BR40" i="10" s="1"/>
  <c r="AX88" i="10"/>
  <c r="BR43" i="10"/>
  <c r="BQ42" i="10"/>
  <c r="BR42" i="10" s="1"/>
  <c r="BR87" i="10"/>
  <c r="BR58" i="10"/>
  <c r="BL16" i="10"/>
  <c r="BK15" i="10"/>
  <c r="BR66" i="10"/>
  <c r="BR71" i="10"/>
  <c r="X14" i="11"/>
  <c r="BQ59" i="11"/>
  <c r="AP17" i="9"/>
  <c r="BR62" i="10"/>
  <c r="BL47" i="10"/>
  <c r="BK46" i="10"/>
  <c r="BL46" i="10" s="1"/>
  <c r="BK42" i="10"/>
  <c r="BL42" i="10" s="1"/>
  <c r="BL43" i="10"/>
  <c r="BC30" i="10"/>
  <c r="BD30" i="10" s="1"/>
  <c r="BD31" i="10"/>
  <c r="BY25" i="10"/>
  <c r="BZ25" i="10" s="1"/>
  <c r="CA25" i="10" s="1"/>
  <c r="BJ25" i="10"/>
  <c r="BS25" i="10"/>
  <c r="BT25" i="10" s="1"/>
  <c r="BU25" i="10" s="1"/>
  <c r="BM25" i="10"/>
  <c r="BN25" i="10" s="1"/>
  <c r="BO25" i="10" s="1"/>
  <c r="BX28" i="10"/>
  <c r="BX41" i="10"/>
  <c r="BW40" i="10"/>
  <c r="BX40" i="10" s="1"/>
  <c r="BD88" i="10"/>
  <c r="BS48" i="10"/>
  <c r="BT48" i="10" s="1"/>
  <c r="BU48" i="10" s="1"/>
  <c r="BM48" i="10"/>
  <c r="BJ48" i="10"/>
  <c r="BY48" i="10"/>
  <c r="BZ48" i="10" s="1"/>
  <c r="CA48" i="10" s="1"/>
  <c r="BN48" i="10"/>
  <c r="BO48" i="10" s="1"/>
  <c r="BF60" i="10"/>
  <c r="BG60" i="10" s="1"/>
  <c r="AO59" i="10"/>
  <c r="AS60" i="10"/>
  <c r="AT60" i="10"/>
  <c r="AU60" i="10" s="1"/>
  <c r="AP60" i="10"/>
  <c r="AZ60" i="10"/>
  <c r="BA60" i="10" s="1"/>
  <c r="BS37" i="10"/>
  <c r="BT37" i="10" s="1"/>
  <c r="BU37" i="10" s="1"/>
  <c r="BJ37" i="10"/>
  <c r="BY37" i="10"/>
  <c r="BZ37" i="10" s="1"/>
  <c r="CA37" i="10" s="1"/>
  <c r="BM37" i="10"/>
  <c r="BN37" i="10" s="1"/>
  <c r="BO37" i="10" s="1"/>
  <c r="BI36" i="10"/>
  <c r="AZ31" i="10"/>
  <c r="BA31" i="10" s="1"/>
  <c r="AS31" i="10"/>
  <c r="AO30" i="10"/>
  <c r="AY31" i="10"/>
  <c r="AT31" i="10"/>
  <c r="AU31" i="10" s="1"/>
  <c r="AP31" i="10"/>
  <c r="BF31" i="10"/>
  <c r="BG31" i="10" s="1"/>
  <c r="BE31" i="10"/>
  <c r="BF46" i="10"/>
  <c r="BG46" i="10" s="1"/>
  <c r="BE46" i="10"/>
  <c r="AT46" i="10"/>
  <c r="AU46" i="10" s="1"/>
  <c r="AS46" i="10"/>
  <c r="AP46" i="10"/>
  <c r="AZ46" i="10"/>
  <c r="BA46" i="10" s="1"/>
  <c r="AY46" i="10"/>
  <c r="BY78" i="10"/>
  <c r="BZ78" i="10" s="1"/>
  <c r="CA78" i="10" s="1"/>
  <c r="BM78" i="10"/>
  <c r="BN78" i="10" s="1"/>
  <c r="BO78" i="10" s="1"/>
  <c r="BS78" i="10"/>
  <c r="BT78" i="10" s="1"/>
  <c r="BU78" i="10" s="1"/>
  <c r="BI77" i="10"/>
  <c r="BJ78" i="10"/>
  <c r="AJ77" i="10"/>
  <c r="BM54" i="10"/>
  <c r="BN54" i="10" s="1"/>
  <c r="BO54" i="10" s="1"/>
  <c r="BS54" i="10"/>
  <c r="BT54" i="10" s="1"/>
  <c r="BU54" i="10" s="1"/>
  <c r="BY54" i="10"/>
  <c r="BZ54" i="10" s="1"/>
  <c r="CA54" i="10" s="1"/>
  <c r="BJ54" i="10"/>
  <c r="N137" i="12" l="1"/>
  <c r="N139" i="12"/>
  <c r="N138" i="12"/>
  <c r="Y108" i="12"/>
  <c r="S135" i="12"/>
  <c r="S137" i="12" s="1"/>
  <c r="X103" i="12"/>
  <c r="X102" i="12"/>
  <c r="X101" i="12"/>
  <c r="X110" i="12"/>
  <c r="V101" i="12"/>
  <c r="V110" i="12"/>
  <c r="V103" i="12"/>
  <c r="V102" i="12"/>
  <c r="Y99" i="12"/>
  <c r="Q137" i="12"/>
  <c r="Q139" i="12"/>
  <c r="Q138" i="12"/>
  <c r="Q146" i="12"/>
  <c r="W101" i="12"/>
  <c r="W103" i="12"/>
  <c r="W110" i="12"/>
  <c r="W102" i="12"/>
  <c r="S102" i="12"/>
  <c r="S103" i="12"/>
  <c r="S101" i="12"/>
  <c r="S110" i="12"/>
  <c r="L146" i="12"/>
  <c r="L138" i="12"/>
  <c r="L139" i="12"/>
  <c r="L137" i="12"/>
  <c r="V135" i="12"/>
  <c r="Y128" i="12"/>
  <c r="Y120" i="12"/>
  <c r="Y119" i="12"/>
  <c r="Y121" i="12"/>
  <c r="Y134" i="12"/>
  <c r="Y145" i="12" s="1"/>
  <c r="S41" i="12"/>
  <c r="S40" i="12"/>
  <c r="S39" i="12"/>
  <c r="K145" i="12"/>
  <c r="S134" i="12"/>
  <c r="S145" i="12" s="1"/>
  <c r="S133" i="12"/>
  <c r="S144" i="12" s="1"/>
  <c r="K144" i="12"/>
  <c r="M139" i="12"/>
  <c r="M138" i="12"/>
  <c r="W135" i="12"/>
  <c r="M137" i="12"/>
  <c r="M146" i="12"/>
  <c r="Y59" i="12"/>
  <c r="Y51" i="12"/>
  <c r="Y52" i="12"/>
  <c r="Y50" i="12"/>
  <c r="U144" i="12"/>
  <c r="Y133" i="12"/>
  <c r="Y144" i="12" s="1"/>
  <c r="P138" i="12"/>
  <c r="X135" i="12"/>
  <c r="P137" i="12"/>
  <c r="P146" i="12"/>
  <c r="P139" i="12"/>
  <c r="BC15" i="11"/>
  <c r="BF15" i="11" s="1"/>
  <c r="BG15" i="11" s="1"/>
  <c r="BD16" i="11"/>
  <c r="BW16" i="11"/>
  <c r="BY16" i="11" s="1"/>
  <c r="BZ16" i="11" s="1"/>
  <c r="CA16" i="11" s="1"/>
  <c r="BF16" i="11"/>
  <c r="BG16" i="11" s="1"/>
  <c r="BE16" i="11"/>
  <c r="AD26" i="11"/>
  <c r="AX26" i="11"/>
  <c r="BR26" i="11"/>
  <c r="AJ26" i="11"/>
  <c r="Q26" i="11"/>
  <c r="R26" i="11"/>
  <c r="S26" i="11" s="1"/>
  <c r="AX29" i="11"/>
  <c r="AD29" i="11"/>
  <c r="AJ29" i="11"/>
  <c r="BR29" i="11"/>
  <c r="R29" i="11"/>
  <c r="S29" i="11" s="1"/>
  <c r="Q29" i="11"/>
  <c r="AD63" i="11"/>
  <c r="AX63" i="11"/>
  <c r="AJ63" i="11"/>
  <c r="BR63" i="11"/>
  <c r="Q63" i="11"/>
  <c r="R63" i="11"/>
  <c r="S63" i="11" s="1"/>
  <c r="AX44" i="11"/>
  <c r="AD44" i="11"/>
  <c r="BR44" i="11"/>
  <c r="AJ44" i="11"/>
  <c r="R44" i="11"/>
  <c r="S44" i="11" s="1"/>
  <c r="Q44" i="11"/>
  <c r="AD69" i="11"/>
  <c r="P68" i="11"/>
  <c r="BR69" i="11"/>
  <c r="AX69" i="11"/>
  <c r="AJ69" i="11"/>
  <c r="Q69" i="11"/>
  <c r="R69" i="11"/>
  <c r="S69" i="11" s="1"/>
  <c r="AD72" i="11"/>
  <c r="AX72" i="11"/>
  <c r="BR72" i="11"/>
  <c r="AJ72" i="11"/>
  <c r="Q72" i="11"/>
  <c r="R72" i="11"/>
  <c r="S72" i="11" s="1"/>
  <c r="P77" i="11"/>
  <c r="AD78" i="11"/>
  <c r="AX78" i="11"/>
  <c r="AJ78" i="11"/>
  <c r="BR78" i="11"/>
  <c r="Q78" i="11"/>
  <c r="R78" i="11"/>
  <c r="S78" i="11" s="1"/>
  <c r="BD23" i="11"/>
  <c r="BW23" i="11"/>
  <c r="BX23" i="11" s="1"/>
  <c r="BF23" i="11"/>
  <c r="BG23" i="11" s="1"/>
  <c r="BE23" i="11"/>
  <c r="BD32" i="11"/>
  <c r="BC31" i="11"/>
  <c r="BW32" i="11"/>
  <c r="BE32" i="11"/>
  <c r="BF32" i="11"/>
  <c r="BG32" i="11" s="1"/>
  <c r="BD41" i="11"/>
  <c r="BC40" i="11"/>
  <c r="BD40" i="11" s="1"/>
  <c r="BW41" i="11"/>
  <c r="BE41" i="11"/>
  <c r="BF41" i="11"/>
  <c r="BG41" i="11" s="1"/>
  <c r="BD47" i="11"/>
  <c r="BC46" i="11"/>
  <c r="BW47" i="11"/>
  <c r="BF47" i="11"/>
  <c r="BG47" i="11" s="1"/>
  <c r="BE47" i="11"/>
  <c r="BD53" i="11"/>
  <c r="BC52" i="11"/>
  <c r="BW53" i="11"/>
  <c r="BF53" i="11"/>
  <c r="BG53" i="11" s="1"/>
  <c r="BE53" i="11"/>
  <c r="BD71" i="11"/>
  <c r="BW71" i="11"/>
  <c r="BX71" i="11" s="1"/>
  <c r="BF71" i="11"/>
  <c r="BG71" i="11" s="1"/>
  <c r="BE71" i="11"/>
  <c r="BD81" i="11"/>
  <c r="BC80" i="11"/>
  <c r="BW81" i="11"/>
  <c r="BF81" i="11"/>
  <c r="BG81" i="11" s="1"/>
  <c r="BE81" i="11"/>
  <c r="AX76" i="11"/>
  <c r="AD76" i="11"/>
  <c r="BR76" i="11"/>
  <c r="AJ76" i="11"/>
  <c r="Q76" i="11"/>
  <c r="R76" i="11"/>
  <c r="S76" i="11" s="1"/>
  <c r="AD28" i="11"/>
  <c r="BR28" i="11"/>
  <c r="AX28" i="11"/>
  <c r="AJ28" i="11"/>
  <c r="R28" i="11"/>
  <c r="S28" i="11" s="1"/>
  <c r="Q28" i="11"/>
  <c r="AX34" i="11"/>
  <c r="AD34" i="11"/>
  <c r="BR34" i="11"/>
  <c r="AJ34" i="11"/>
  <c r="Q34" i="11"/>
  <c r="R34" i="11"/>
  <c r="S34" i="11" s="1"/>
  <c r="AD35" i="11"/>
  <c r="AX35" i="11"/>
  <c r="BR35" i="11"/>
  <c r="AJ35" i="11"/>
  <c r="R35" i="11"/>
  <c r="S35" i="11" s="1"/>
  <c r="Q35" i="11"/>
  <c r="P46" i="11"/>
  <c r="AD47" i="11"/>
  <c r="AX47" i="11"/>
  <c r="BR47" i="11"/>
  <c r="AJ47" i="11"/>
  <c r="R47" i="11"/>
  <c r="S47" i="11" s="1"/>
  <c r="Q47" i="11"/>
  <c r="AD58" i="11"/>
  <c r="AX58" i="11"/>
  <c r="AJ58" i="11"/>
  <c r="BR58" i="11"/>
  <c r="R58" i="11"/>
  <c r="S58" i="11" s="1"/>
  <c r="Q58" i="11"/>
  <c r="AD74" i="11"/>
  <c r="BR74" i="11"/>
  <c r="AX74" i="11"/>
  <c r="AJ74" i="11"/>
  <c r="R74" i="11"/>
  <c r="S74" i="11" s="1"/>
  <c r="Q74" i="11"/>
  <c r="P88" i="11"/>
  <c r="AX85" i="11"/>
  <c r="AD85" i="11"/>
  <c r="BR85" i="11"/>
  <c r="AJ85" i="11"/>
  <c r="R85" i="11"/>
  <c r="S85" i="11" s="1"/>
  <c r="Q85" i="11"/>
  <c r="BD22" i="11"/>
  <c r="BC21" i="11"/>
  <c r="BW22" i="11"/>
  <c r="BF22" i="11"/>
  <c r="BG22" i="11" s="1"/>
  <c r="BE22" i="11"/>
  <c r="BD35" i="11"/>
  <c r="BW35" i="11"/>
  <c r="BX35" i="11" s="1"/>
  <c r="BF35" i="11"/>
  <c r="BG35" i="11" s="1"/>
  <c r="BE35" i="11"/>
  <c r="BD39" i="11"/>
  <c r="BW39" i="11"/>
  <c r="BX39" i="11" s="1"/>
  <c r="BE39" i="11"/>
  <c r="BF39" i="11"/>
  <c r="BG39" i="11" s="1"/>
  <c r="BD57" i="11"/>
  <c r="BW57" i="11"/>
  <c r="BX57" i="11" s="1"/>
  <c r="BF57" i="11"/>
  <c r="BG57" i="11" s="1"/>
  <c r="BE57" i="11"/>
  <c r="BD55" i="11"/>
  <c r="BW55" i="11"/>
  <c r="BX55" i="11" s="1"/>
  <c r="BF55" i="11"/>
  <c r="BG55" i="11" s="1"/>
  <c r="BE55" i="11"/>
  <c r="BD73" i="11"/>
  <c r="BW73" i="11"/>
  <c r="BX73" i="11" s="1"/>
  <c r="BE73" i="11"/>
  <c r="BF73" i="11"/>
  <c r="BG73" i="11" s="1"/>
  <c r="BD83" i="11"/>
  <c r="BW83" i="11"/>
  <c r="BX83" i="11" s="1"/>
  <c r="BF83" i="11"/>
  <c r="BG83" i="11" s="1"/>
  <c r="BE83" i="11"/>
  <c r="BR73" i="11"/>
  <c r="AD73" i="11"/>
  <c r="AX73" i="11"/>
  <c r="AJ73" i="11"/>
  <c r="Q73" i="11"/>
  <c r="R73" i="11"/>
  <c r="S73" i="11" s="1"/>
  <c r="BD34" i="11"/>
  <c r="BW34" i="11"/>
  <c r="BX34" i="11" s="1"/>
  <c r="BF34" i="11"/>
  <c r="BG34" i="11" s="1"/>
  <c r="BE34" i="11"/>
  <c r="BD54" i="11"/>
  <c r="BW54" i="11"/>
  <c r="BX54" i="11" s="1"/>
  <c r="BE54" i="11"/>
  <c r="BF54" i="11"/>
  <c r="BG54" i="11" s="1"/>
  <c r="P21" i="11"/>
  <c r="AX22" i="11"/>
  <c r="AD22" i="11"/>
  <c r="AJ22" i="11"/>
  <c r="BR22" i="11"/>
  <c r="Q22" i="11"/>
  <c r="R22" i="11"/>
  <c r="S22" i="11" s="1"/>
  <c r="AD33" i="11"/>
  <c r="AX33" i="11"/>
  <c r="BR33" i="11"/>
  <c r="AJ33" i="11"/>
  <c r="Q33" i="11"/>
  <c r="R33" i="11"/>
  <c r="S33" i="11" s="1"/>
  <c r="P36" i="11"/>
  <c r="AX37" i="11"/>
  <c r="AD37" i="11"/>
  <c r="BR37" i="11"/>
  <c r="AJ37" i="11"/>
  <c r="Q37" i="11"/>
  <c r="R37" i="11"/>
  <c r="S37" i="11" s="1"/>
  <c r="AD48" i="11"/>
  <c r="AX48" i="11"/>
  <c r="BR48" i="11"/>
  <c r="AJ48" i="11"/>
  <c r="Q48" i="11"/>
  <c r="R48" i="11"/>
  <c r="S48" i="11" s="1"/>
  <c r="AD62" i="11"/>
  <c r="AX62" i="11"/>
  <c r="AJ62" i="11"/>
  <c r="BR62" i="11"/>
  <c r="Q62" i="11"/>
  <c r="R62" i="11"/>
  <c r="S62" i="11" s="1"/>
  <c r="AD83" i="11"/>
  <c r="AX83" i="11"/>
  <c r="AJ83" i="11"/>
  <c r="R83" i="11"/>
  <c r="S83" i="11" s="1"/>
  <c r="BR83" i="11"/>
  <c r="Q83" i="11"/>
  <c r="AX87" i="11"/>
  <c r="AD87" i="11"/>
  <c r="BR87" i="11"/>
  <c r="AJ87" i="11"/>
  <c r="R87" i="11"/>
  <c r="S87" i="11" s="1"/>
  <c r="Q87" i="11"/>
  <c r="BD24" i="11"/>
  <c r="BW24" i="11"/>
  <c r="BX24" i="11" s="1"/>
  <c r="BE24" i="11"/>
  <c r="BF24" i="11"/>
  <c r="BG24" i="11" s="1"/>
  <c r="BC36" i="11"/>
  <c r="BD37" i="11"/>
  <c r="BW37" i="11"/>
  <c r="BF37" i="11"/>
  <c r="BG37" i="11" s="1"/>
  <c r="BE37" i="11"/>
  <c r="BD56" i="11"/>
  <c r="BW56" i="11"/>
  <c r="BX56" i="11" s="1"/>
  <c r="BE56" i="11"/>
  <c r="BF56" i="11"/>
  <c r="BG56" i="11" s="1"/>
  <c r="BD61" i="11"/>
  <c r="BC60" i="11"/>
  <c r="BW61" i="11"/>
  <c r="BY61" i="11" s="1"/>
  <c r="BZ61" i="11" s="1"/>
  <c r="CA61" i="11" s="1"/>
  <c r="BF61" i="11"/>
  <c r="BG61" i="11" s="1"/>
  <c r="BE61" i="11"/>
  <c r="BD63" i="11"/>
  <c r="BW63" i="11"/>
  <c r="BX63" i="11" s="1"/>
  <c r="BF63" i="11"/>
  <c r="BG63" i="11" s="1"/>
  <c r="BE63" i="11"/>
  <c r="BD74" i="11"/>
  <c r="BW74" i="11"/>
  <c r="BX74" i="11" s="1"/>
  <c r="BE74" i="11"/>
  <c r="BF74" i="11"/>
  <c r="BG74" i="11" s="1"/>
  <c r="BD85" i="11"/>
  <c r="BC88" i="11"/>
  <c r="BW85" i="11"/>
  <c r="BY85" i="11" s="1"/>
  <c r="BE85" i="11"/>
  <c r="BF85" i="11"/>
  <c r="BG85" i="11" s="1"/>
  <c r="P60" i="11"/>
  <c r="R60" i="11" s="1"/>
  <c r="S60" i="11" s="1"/>
  <c r="AX61" i="11"/>
  <c r="BR61" i="11"/>
  <c r="AD61" i="11"/>
  <c r="AJ61" i="11"/>
  <c r="R61" i="11"/>
  <c r="S61" i="11" s="1"/>
  <c r="Q61" i="11"/>
  <c r="AD65" i="11"/>
  <c r="AX65" i="11"/>
  <c r="AJ65" i="11"/>
  <c r="BR65" i="11"/>
  <c r="Q65" i="11"/>
  <c r="R65" i="11"/>
  <c r="S65" i="11" s="1"/>
  <c r="BD25" i="11"/>
  <c r="BW25" i="11"/>
  <c r="BX25" i="11" s="1"/>
  <c r="BE25" i="11"/>
  <c r="BF25" i="11"/>
  <c r="BG25" i="11" s="1"/>
  <c r="BD48" i="11"/>
  <c r="BW48" i="11"/>
  <c r="BX48" i="11" s="1"/>
  <c r="BF48" i="11"/>
  <c r="BG48" i="11" s="1"/>
  <c r="BE48" i="11"/>
  <c r="BD82" i="11"/>
  <c r="BW82" i="11"/>
  <c r="BX82" i="11" s="1"/>
  <c r="BF82" i="11"/>
  <c r="BG82" i="11" s="1"/>
  <c r="BE82" i="11"/>
  <c r="AX38" i="11"/>
  <c r="AD38" i="11"/>
  <c r="BR38" i="11"/>
  <c r="AJ38" i="11"/>
  <c r="R38" i="11"/>
  <c r="S38" i="11" s="1"/>
  <c r="Q38" i="11"/>
  <c r="BD86" i="11"/>
  <c r="BW86" i="11"/>
  <c r="BX86" i="11" s="1"/>
  <c r="BF86" i="11"/>
  <c r="BG86" i="11" s="1"/>
  <c r="BE86" i="11"/>
  <c r="AX19" i="11"/>
  <c r="AD19" i="11"/>
  <c r="BR19" i="11"/>
  <c r="AJ19" i="11"/>
  <c r="R19" i="11"/>
  <c r="S19" i="11" s="1"/>
  <c r="Q19" i="11"/>
  <c r="BD72" i="11"/>
  <c r="BW72" i="11"/>
  <c r="BX72" i="11" s="1"/>
  <c r="BF72" i="11"/>
  <c r="BG72" i="11" s="1"/>
  <c r="BE72" i="11"/>
  <c r="AD57" i="11"/>
  <c r="AX57" i="11"/>
  <c r="AJ57" i="11"/>
  <c r="BR57" i="11"/>
  <c r="R57" i="11"/>
  <c r="S57" i="11" s="1"/>
  <c r="Q57" i="11"/>
  <c r="BD64" i="11"/>
  <c r="BW64" i="11"/>
  <c r="BX64" i="11" s="1"/>
  <c r="BE64" i="11"/>
  <c r="BF64" i="11"/>
  <c r="BG64" i="11" s="1"/>
  <c r="P15" i="11"/>
  <c r="Q15" i="11" s="1"/>
  <c r="AX16" i="11"/>
  <c r="AD16" i="11"/>
  <c r="BR16" i="11"/>
  <c r="AJ16" i="11"/>
  <c r="Q16" i="11"/>
  <c r="R16" i="11"/>
  <c r="S16" i="11" s="1"/>
  <c r="AX23" i="11"/>
  <c r="AD23" i="11"/>
  <c r="AJ23" i="11"/>
  <c r="BR23" i="11"/>
  <c r="R23" i="11"/>
  <c r="S23" i="11" s="1"/>
  <c r="Q23" i="11"/>
  <c r="AD49" i="11"/>
  <c r="AX49" i="11"/>
  <c r="BR49" i="11"/>
  <c r="AJ49" i="11"/>
  <c r="R49" i="11"/>
  <c r="S49" i="11" s="1"/>
  <c r="Q49" i="11"/>
  <c r="AX39" i="11"/>
  <c r="BR39" i="11"/>
  <c r="AD39" i="11"/>
  <c r="AJ39" i="11"/>
  <c r="R39" i="11"/>
  <c r="S39" i="11" s="1"/>
  <c r="Q39" i="11"/>
  <c r="AD56" i="11"/>
  <c r="AX56" i="11"/>
  <c r="BR56" i="11"/>
  <c r="AJ56" i="11"/>
  <c r="Q56" i="11"/>
  <c r="R56" i="11"/>
  <c r="S56" i="11" s="1"/>
  <c r="AD71" i="11"/>
  <c r="BR71" i="11"/>
  <c r="AX71" i="11"/>
  <c r="AJ71" i="11"/>
  <c r="R71" i="11"/>
  <c r="S71" i="11" s="1"/>
  <c r="Q71" i="11"/>
  <c r="AD86" i="11"/>
  <c r="AX86" i="11"/>
  <c r="AJ86" i="11"/>
  <c r="BR86" i="11"/>
  <c r="R86" i="11"/>
  <c r="S86" i="11" s="1"/>
  <c r="Q86" i="11"/>
  <c r="BD28" i="11"/>
  <c r="BW28" i="11"/>
  <c r="BX28" i="11" s="1"/>
  <c r="BE28" i="11"/>
  <c r="BF28" i="11"/>
  <c r="BG28" i="11" s="1"/>
  <c r="BD17" i="11"/>
  <c r="BW17" i="11"/>
  <c r="BX17" i="11" s="1"/>
  <c r="BF17" i="11"/>
  <c r="BG17" i="11" s="1"/>
  <c r="BE17" i="11"/>
  <c r="BD43" i="11"/>
  <c r="BC42" i="11"/>
  <c r="BD42" i="11" s="1"/>
  <c r="BW43" i="11"/>
  <c r="BE43" i="11"/>
  <c r="BF43" i="11"/>
  <c r="BG43" i="11" s="1"/>
  <c r="BD65" i="11"/>
  <c r="BW65" i="11"/>
  <c r="BX65" i="11" s="1"/>
  <c r="BF65" i="11"/>
  <c r="BG65" i="11" s="1"/>
  <c r="BE65" i="11"/>
  <c r="BD66" i="11"/>
  <c r="BW66" i="11"/>
  <c r="BX66" i="11" s="1"/>
  <c r="BF66" i="11"/>
  <c r="BG66" i="11" s="1"/>
  <c r="BE66" i="11"/>
  <c r="BD76" i="11"/>
  <c r="BW76" i="11"/>
  <c r="BX76" i="11" s="1"/>
  <c r="BE76" i="11"/>
  <c r="BF76" i="11"/>
  <c r="BG76" i="11" s="1"/>
  <c r="BD87" i="11"/>
  <c r="BW87" i="11"/>
  <c r="BX87" i="11" s="1"/>
  <c r="BF87" i="11"/>
  <c r="BG87" i="11" s="1"/>
  <c r="BE87" i="11"/>
  <c r="P31" i="11"/>
  <c r="BR32" i="11"/>
  <c r="AD32" i="11"/>
  <c r="AX32" i="11"/>
  <c r="AJ32" i="11"/>
  <c r="R32" i="11"/>
  <c r="S32" i="11" s="1"/>
  <c r="Q32" i="11"/>
  <c r="AD45" i="11"/>
  <c r="AX45" i="11"/>
  <c r="BR45" i="11"/>
  <c r="AJ45" i="11"/>
  <c r="R45" i="11"/>
  <c r="S45" i="11" s="1"/>
  <c r="Q45" i="11"/>
  <c r="BD38" i="11"/>
  <c r="BW38" i="11"/>
  <c r="BX38" i="11" s="1"/>
  <c r="BE38" i="11"/>
  <c r="BF38" i="11"/>
  <c r="BG38" i="11" s="1"/>
  <c r="AD24" i="11"/>
  <c r="AX24" i="11"/>
  <c r="BR24" i="11"/>
  <c r="AJ24" i="11"/>
  <c r="R24" i="11"/>
  <c r="S24" i="11" s="1"/>
  <c r="Q24" i="11"/>
  <c r="AX67" i="11"/>
  <c r="AD67" i="11"/>
  <c r="AJ67" i="11"/>
  <c r="BR67" i="11"/>
  <c r="Q67" i="11"/>
  <c r="R67" i="11"/>
  <c r="S67" i="11" s="1"/>
  <c r="BD26" i="11"/>
  <c r="BW26" i="11"/>
  <c r="BX26" i="11" s="1"/>
  <c r="BE26" i="11"/>
  <c r="BF26" i="11"/>
  <c r="BG26" i="11" s="1"/>
  <c r="BD49" i="11"/>
  <c r="BW49" i="11"/>
  <c r="BX49" i="11" s="1"/>
  <c r="BF49" i="11"/>
  <c r="BG49" i="11" s="1"/>
  <c r="BE49" i="11"/>
  <c r="BD75" i="11"/>
  <c r="BW75" i="11"/>
  <c r="BX75" i="11" s="1"/>
  <c r="BE75" i="11"/>
  <c r="BF75" i="11"/>
  <c r="BG75" i="11" s="1"/>
  <c r="P52" i="11"/>
  <c r="AD53" i="11"/>
  <c r="AX53" i="11"/>
  <c r="BR53" i="11"/>
  <c r="AJ53" i="11"/>
  <c r="Q53" i="11"/>
  <c r="R53" i="11"/>
  <c r="S53" i="11" s="1"/>
  <c r="AX64" i="11"/>
  <c r="AD64" i="11"/>
  <c r="AJ64" i="11"/>
  <c r="BR64" i="11"/>
  <c r="Q64" i="11"/>
  <c r="R64" i="11"/>
  <c r="S64" i="11" s="1"/>
  <c r="P80" i="11"/>
  <c r="AX81" i="11"/>
  <c r="AD81" i="11"/>
  <c r="BR81" i="11"/>
  <c r="AJ81" i="11"/>
  <c r="R81" i="11"/>
  <c r="S81" i="11" s="1"/>
  <c r="Q81" i="11"/>
  <c r="BD29" i="11"/>
  <c r="BW29" i="11"/>
  <c r="BX29" i="11" s="1"/>
  <c r="BF29" i="11"/>
  <c r="BG29" i="11" s="1"/>
  <c r="BE29" i="11"/>
  <c r="BD18" i="11"/>
  <c r="BW18" i="11"/>
  <c r="BX18" i="11" s="1"/>
  <c r="BE18" i="11"/>
  <c r="BF18" i="11"/>
  <c r="BG18" i="11" s="1"/>
  <c r="BD44" i="11"/>
  <c r="BW44" i="11"/>
  <c r="BX44" i="11" s="1"/>
  <c r="BF44" i="11"/>
  <c r="BG44" i="11" s="1"/>
  <c r="BE44" i="11"/>
  <c r="BD62" i="11"/>
  <c r="BW62" i="11"/>
  <c r="BX62" i="11" s="1"/>
  <c r="BF62" i="11"/>
  <c r="BG62" i="11" s="1"/>
  <c r="BE62" i="11"/>
  <c r="BD67" i="11"/>
  <c r="BW67" i="11"/>
  <c r="BX67" i="11" s="1"/>
  <c r="BF67" i="11"/>
  <c r="BG67" i="11" s="1"/>
  <c r="BE67" i="11"/>
  <c r="BD78" i="11"/>
  <c r="BC77" i="11"/>
  <c r="BD77" i="11" s="1"/>
  <c r="BW78" i="11"/>
  <c r="BE78" i="11"/>
  <c r="BF78" i="11"/>
  <c r="BG78" i="11" s="1"/>
  <c r="AD54" i="11"/>
  <c r="AX54" i="11"/>
  <c r="BR54" i="11"/>
  <c r="AJ54" i="11"/>
  <c r="Q54" i="11"/>
  <c r="R54" i="11"/>
  <c r="S54" i="11" s="1"/>
  <c r="AD82" i="11"/>
  <c r="AX82" i="11"/>
  <c r="BR82" i="11"/>
  <c r="AJ82" i="11"/>
  <c r="R82" i="11"/>
  <c r="S82" i="11" s="1"/>
  <c r="Q82" i="11"/>
  <c r="BD58" i="11"/>
  <c r="BW58" i="11"/>
  <c r="BX58" i="11" s="1"/>
  <c r="BF58" i="11"/>
  <c r="BG58" i="11" s="1"/>
  <c r="BE58" i="11"/>
  <c r="AD18" i="11"/>
  <c r="BR18" i="11"/>
  <c r="AX18" i="11"/>
  <c r="AJ18" i="11"/>
  <c r="R18" i="11"/>
  <c r="S18" i="11" s="1"/>
  <c r="Q18" i="11"/>
  <c r="AD25" i="11"/>
  <c r="AX25" i="11"/>
  <c r="AJ25" i="11"/>
  <c r="BR25" i="11"/>
  <c r="Q25" i="11"/>
  <c r="R25" i="11"/>
  <c r="S25" i="11" s="1"/>
  <c r="P40" i="11"/>
  <c r="R40" i="11" s="1"/>
  <c r="S40" i="11" s="1"/>
  <c r="AD41" i="11"/>
  <c r="AX41" i="11"/>
  <c r="BR41" i="11"/>
  <c r="AJ41" i="11"/>
  <c r="R41" i="11"/>
  <c r="S41" i="11" s="1"/>
  <c r="Q41" i="11"/>
  <c r="AX70" i="11"/>
  <c r="AD70" i="11"/>
  <c r="AJ70" i="11"/>
  <c r="BR70" i="11"/>
  <c r="Q70" i="11"/>
  <c r="R70" i="11"/>
  <c r="S70" i="11" s="1"/>
  <c r="AX17" i="11"/>
  <c r="AD17" i="11"/>
  <c r="BR17" i="11"/>
  <c r="AJ17" i="11"/>
  <c r="Q17" i="11"/>
  <c r="R17" i="11"/>
  <c r="S17" i="11" s="1"/>
  <c r="AD27" i="11"/>
  <c r="AX27" i="11"/>
  <c r="AJ27" i="11"/>
  <c r="BR27" i="11"/>
  <c r="R27" i="11"/>
  <c r="S27" i="11" s="1"/>
  <c r="Q27" i="11"/>
  <c r="AD55" i="11"/>
  <c r="AX55" i="11"/>
  <c r="AJ55" i="11"/>
  <c r="BR55" i="11"/>
  <c r="Q55" i="11"/>
  <c r="R55" i="11"/>
  <c r="S55" i="11" s="1"/>
  <c r="P42" i="11"/>
  <c r="AD43" i="11"/>
  <c r="AX43" i="11"/>
  <c r="BR43" i="11"/>
  <c r="AJ43" i="11"/>
  <c r="Q43" i="11"/>
  <c r="R43" i="11"/>
  <c r="S43" i="11" s="1"/>
  <c r="AD66" i="11"/>
  <c r="AX66" i="11"/>
  <c r="AJ66" i="11"/>
  <c r="BR66" i="11"/>
  <c r="Q66" i="11"/>
  <c r="R66" i="11"/>
  <c r="S66" i="11" s="1"/>
  <c r="AX75" i="11"/>
  <c r="AD75" i="11"/>
  <c r="BR75" i="11"/>
  <c r="AJ75" i="11"/>
  <c r="Q75" i="11"/>
  <c r="R75" i="11"/>
  <c r="S75" i="11" s="1"/>
  <c r="AX79" i="11"/>
  <c r="AD79" i="11"/>
  <c r="BR79" i="11"/>
  <c r="AJ79" i="11"/>
  <c r="R79" i="11"/>
  <c r="S79" i="11" s="1"/>
  <c r="Q79" i="11"/>
  <c r="BD27" i="11"/>
  <c r="BW27" i="11"/>
  <c r="BX27" i="11" s="1"/>
  <c r="BE27" i="11"/>
  <c r="BF27" i="11"/>
  <c r="BG27" i="11" s="1"/>
  <c r="BD33" i="11"/>
  <c r="BW33" i="11"/>
  <c r="BX33" i="11" s="1"/>
  <c r="BE33" i="11"/>
  <c r="BF33" i="11"/>
  <c r="BG33" i="11" s="1"/>
  <c r="BD19" i="11"/>
  <c r="BW19" i="11"/>
  <c r="BX19" i="11" s="1"/>
  <c r="BF19" i="11"/>
  <c r="BG19" i="11" s="1"/>
  <c r="BE19" i="11"/>
  <c r="BD45" i="11"/>
  <c r="BW45" i="11"/>
  <c r="BX45" i="11" s="1"/>
  <c r="BF45" i="11"/>
  <c r="BG45" i="11" s="1"/>
  <c r="BE45" i="11"/>
  <c r="BD69" i="11"/>
  <c r="BC68" i="11"/>
  <c r="BD68" i="11" s="1"/>
  <c r="BW69" i="11"/>
  <c r="BE69" i="11"/>
  <c r="BF69" i="11"/>
  <c r="BG69" i="11" s="1"/>
  <c r="BD70" i="11"/>
  <c r="BW70" i="11"/>
  <c r="BX70" i="11" s="1"/>
  <c r="BF70" i="11"/>
  <c r="BG70" i="11" s="1"/>
  <c r="BE70" i="11"/>
  <c r="BD79" i="11"/>
  <c r="BW79" i="11"/>
  <c r="BX79" i="11" s="1"/>
  <c r="BE79" i="11"/>
  <c r="BF79" i="11"/>
  <c r="BG79" i="11" s="1"/>
  <c r="AS16" i="9"/>
  <c r="AR13" i="9"/>
  <c r="AT16" i="9"/>
  <c r="AU16" i="9"/>
  <c r="Z14" i="11"/>
  <c r="AA14" i="11" s="1"/>
  <c r="AK14" i="11"/>
  <c r="Y14" i="11"/>
  <c r="AF14" i="11"/>
  <c r="AG14" i="11" s="1"/>
  <c r="AE14" i="11"/>
  <c r="BM57" i="11"/>
  <c r="BN57" i="11" s="1"/>
  <c r="BO57" i="11" s="1"/>
  <c r="BJ57" i="11"/>
  <c r="BS57" i="11"/>
  <c r="BT57" i="11" s="1"/>
  <c r="BU57" i="11" s="1"/>
  <c r="AS30" i="10"/>
  <c r="BF30" i="10"/>
  <c r="BG30" i="10" s="1"/>
  <c r="BE30" i="10"/>
  <c r="AT30" i="10"/>
  <c r="AU30" i="10" s="1"/>
  <c r="AY30" i="10"/>
  <c r="AP30" i="10"/>
  <c r="AZ30" i="10"/>
  <c r="BA30" i="10" s="1"/>
  <c r="BS52" i="10"/>
  <c r="BT52" i="10" s="1"/>
  <c r="BU52" i="10" s="1"/>
  <c r="BJ52" i="10"/>
  <c r="BM52" i="10"/>
  <c r="BN52" i="10" s="1"/>
  <c r="BO52" i="10" s="1"/>
  <c r="BY46" i="10"/>
  <c r="BZ46" i="10" s="1"/>
  <c r="CA46" i="10" s="1"/>
  <c r="BM46" i="10"/>
  <c r="BN46" i="10" s="1"/>
  <c r="BO46" i="10" s="1"/>
  <c r="BS46" i="10"/>
  <c r="BT46" i="10" s="1"/>
  <c r="BU46" i="10" s="1"/>
  <c r="BJ46" i="10"/>
  <c r="BR68" i="10"/>
  <c r="AR40" i="9"/>
  <c r="AS40" i="9" s="1"/>
  <c r="BL21" i="10"/>
  <c r="BK20" i="10"/>
  <c r="BL20" i="10" s="1"/>
  <c r="Z36" i="9"/>
  <c r="Z26" i="9"/>
  <c r="Z38" i="9" s="1"/>
  <c r="BQ30" i="10"/>
  <c r="BR30" i="10" s="1"/>
  <c r="BR31" i="10"/>
  <c r="BX31" i="10"/>
  <c r="BW30" i="10"/>
  <c r="BX30" i="10" s="1"/>
  <c r="AS15" i="11"/>
  <c r="AT15" i="11"/>
  <c r="AU15" i="11" s="1"/>
  <c r="BE15" i="11"/>
  <c r="AP15" i="11"/>
  <c r="AY15" i="11"/>
  <c r="AZ15" i="11"/>
  <c r="BA15" i="11" s="1"/>
  <c r="L68" i="11"/>
  <c r="M68" i="11"/>
  <c r="N68" i="11" s="1"/>
  <c r="H68" i="11"/>
  <c r="I68" i="11" s="1"/>
  <c r="G68" i="11"/>
  <c r="R68" i="11"/>
  <c r="S68" i="11" s="1"/>
  <c r="Q68" i="11"/>
  <c r="BX16" i="10"/>
  <c r="BW15" i="10"/>
  <c r="H60" i="11"/>
  <c r="I60" i="11" s="1"/>
  <c r="M60" i="11"/>
  <c r="N60" i="11" s="1"/>
  <c r="G60" i="11"/>
  <c r="E59" i="11"/>
  <c r="BS87" i="10"/>
  <c r="BT87" i="10" s="1"/>
  <c r="BU87" i="10" s="1"/>
  <c r="BJ87" i="10"/>
  <c r="BN87" i="10"/>
  <c r="BO87" i="10" s="1"/>
  <c r="BM87" i="10"/>
  <c r="BY87" i="10"/>
  <c r="BZ87" i="10" s="1"/>
  <c r="CA87" i="10" s="1"/>
  <c r="G15" i="11"/>
  <c r="L15" i="11"/>
  <c r="R15" i="11"/>
  <c r="S15" i="11" s="1"/>
  <c r="M15" i="11"/>
  <c r="N15" i="11" s="1"/>
  <c r="H15" i="11"/>
  <c r="I15" i="11" s="1"/>
  <c r="AT80" i="11"/>
  <c r="AU80" i="11" s="1"/>
  <c r="AS80" i="11"/>
  <c r="AY80" i="11"/>
  <c r="BE80" i="11"/>
  <c r="AP80" i="11"/>
  <c r="AZ80" i="11"/>
  <c r="BA80" i="11" s="1"/>
  <c r="L31" i="11"/>
  <c r="M31" i="11"/>
  <c r="N31" i="11" s="1"/>
  <c r="H31" i="11"/>
  <c r="I31" i="11" s="1"/>
  <c r="G31" i="11"/>
  <c r="E30" i="11"/>
  <c r="V30" i="11" s="1"/>
  <c r="AJ68" i="10"/>
  <c r="BY24" i="11"/>
  <c r="BZ24" i="11" s="1"/>
  <c r="CA24" i="11" s="1"/>
  <c r="BJ24" i="11"/>
  <c r="BS24" i="11"/>
  <c r="BT24" i="11" s="1"/>
  <c r="BU24" i="11" s="1"/>
  <c r="BM24" i="11"/>
  <c r="BN24" i="11" s="1"/>
  <c r="BO24" i="11" s="1"/>
  <c r="BM79" i="11"/>
  <c r="BN79" i="11" s="1"/>
  <c r="BO79" i="11" s="1"/>
  <c r="BS79" i="11"/>
  <c r="BT79" i="11" s="1"/>
  <c r="BU79" i="11" s="1"/>
  <c r="BJ79" i="11"/>
  <c r="BY73" i="11"/>
  <c r="BZ73" i="11" s="1"/>
  <c r="CA73" i="11" s="1"/>
  <c r="BJ73" i="11"/>
  <c r="BS73" i="11"/>
  <c r="BT73" i="11" s="1"/>
  <c r="BU73" i="11" s="1"/>
  <c r="BM73" i="11"/>
  <c r="BN73" i="11" s="1"/>
  <c r="BO73" i="11" s="1"/>
  <c r="BM62" i="11"/>
  <c r="BN62" i="11" s="1"/>
  <c r="BO62" i="11" s="1"/>
  <c r="BS62" i="11"/>
  <c r="BT62" i="11" s="1"/>
  <c r="BU62" i="11" s="1"/>
  <c r="BJ62" i="11"/>
  <c r="BY62" i="11"/>
  <c r="BZ62" i="11" s="1"/>
  <c r="CA62" i="11" s="1"/>
  <c r="BM54" i="11"/>
  <c r="BN54" i="11" s="1"/>
  <c r="BO54" i="11" s="1"/>
  <c r="BS54" i="11"/>
  <c r="BT54" i="11" s="1"/>
  <c r="BU54" i="11" s="1"/>
  <c r="BJ54" i="11"/>
  <c r="BS32" i="11"/>
  <c r="BT32" i="11" s="1"/>
  <c r="BU32" i="11" s="1"/>
  <c r="BI31" i="11"/>
  <c r="BM32" i="11"/>
  <c r="BN32" i="11" s="1"/>
  <c r="BO32" i="11" s="1"/>
  <c r="BJ32" i="11"/>
  <c r="AO30" i="11"/>
  <c r="BE31" i="11"/>
  <c r="AT31" i="11"/>
  <c r="AU31" i="11" s="1"/>
  <c r="AS31" i="11"/>
  <c r="AP31" i="11"/>
  <c r="BF31" i="11"/>
  <c r="BG31" i="11" s="1"/>
  <c r="AY31" i="11"/>
  <c r="AZ31" i="11"/>
  <c r="BA31" i="11" s="1"/>
  <c r="L31" i="10"/>
  <c r="Q31" i="10"/>
  <c r="R31" i="10"/>
  <c r="S31" i="10" s="1"/>
  <c r="CD31" i="10"/>
  <c r="M31" i="10"/>
  <c r="N31" i="10" s="1"/>
  <c r="E30" i="10"/>
  <c r="H31" i="10"/>
  <c r="I31" i="10" s="1"/>
  <c r="G31" i="10"/>
  <c r="AI59" i="10"/>
  <c r="AJ60" i="10"/>
  <c r="CD60" i="10"/>
  <c r="M60" i="10"/>
  <c r="N60" i="10" s="1"/>
  <c r="E59" i="10"/>
  <c r="E51" i="10" s="1"/>
  <c r="G60" i="10"/>
  <c r="R60" i="10"/>
  <c r="S60" i="10" s="1"/>
  <c r="H60" i="10"/>
  <c r="I60" i="10" s="1"/>
  <c r="BM58" i="11"/>
  <c r="BN58" i="11" s="1"/>
  <c r="BO58" i="11" s="1"/>
  <c r="BS58" i="11"/>
  <c r="BT58" i="11" s="1"/>
  <c r="BU58" i="11" s="1"/>
  <c r="BJ58" i="11"/>
  <c r="BY58" i="11"/>
  <c r="BZ58" i="11" s="1"/>
  <c r="CA58" i="11" s="1"/>
  <c r="BM28" i="11"/>
  <c r="BN28" i="11" s="1"/>
  <c r="BO28" i="11" s="1"/>
  <c r="BJ28" i="11"/>
  <c r="BS28" i="11"/>
  <c r="BT28" i="11" s="1"/>
  <c r="BU28" i="11" s="1"/>
  <c r="BR80" i="10"/>
  <c r="AI20" i="10"/>
  <c r="AJ20" i="10" s="1"/>
  <c r="AJ21" i="10"/>
  <c r="AE52" i="10"/>
  <c r="V52" i="10"/>
  <c r="AL52" i="10"/>
  <c r="AM52" i="10" s="1"/>
  <c r="Y52" i="10"/>
  <c r="Z52" i="10"/>
  <c r="AA52" i="10" s="1"/>
  <c r="AK52" i="10"/>
  <c r="AF52" i="10"/>
  <c r="AG52" i="10" s="1"/>
  <c r="G42" i="10"/>
  <c r="CD42" i="10"/>
  <c r="L42" i="10"/>
  <c r="M42" i="10"/>
  <c r="N42" i="10" s="1"/>
  <c r="H42" i="10"/>
  <c r="I42" i="10" s="1"/>
  <c r="R42" i="10"/>
  <c r="S42" i="10" s="1"/>
  <c r="AT88" i="11"/>
  <c r="AU88" i="11" s="1"/>
  <c r="AS88" i="11"/>
  <c r="AZ88" i="11"/>
  <c r="BA88" i="11" s="1"/>
  <c r="AY88" i="11"/>
  <c r="AP88" i="11"/>
  <c r="BF88" i="11"/>
  <c r="BG88" i="11" s="1"/>
  <c r="BE88" i="11"/>
  <c r="BM71" i="11"/>
  <c r="BN71" i="11" s="1"/>
  <c r="BO71" i="11" s="1"/>
  <c r="BJ71" i="11"/>
  <c r="BS71" i="11"/>
  <c r="BT71" i="11" s="1"/>
  <c r="BU71" i="11" s="1"/>
  <c r="BY43" i="11"/>
  <c r="BZ43" i="11" s="1"/>
  <c r="CA43" i="11" s="1"/>
  <c r="BM43" i="11"/>
  <c r="BN43" i="11" s="1"/>
  <c r="BO43" i="11" s="1"/>
  <c r="BS43" i="11"/>
  <c r="BT43" i="11" s="1"/>
  <c r="BU43" i="11" s="1"/>
  <c r="BJ43" i="11"/>
  <c r="BI42" i="11"/>
  <c r="BY22" i="11"/>
  <c r="BZ22" i="11" s="1"/>
  <c r="CA22" i="11" s="1"/>
  <c r="BI21" i="11"/>
  <c r="BJ22" i="11"/>
  <c r="BS22" i="11"/>
  <c r="BT22" i="11" s="1"/>
  <c r="BU22" i="11" s="1"/>
  <c r="BM22" i="11"/>
  <c r="BN22" i="11" s="1"/>
  <c r="BO22" i="11" s="1"/>
  <c r="AO20" i="11"/>
  <c r="AT21" i="11"/>
  <c r="AU21" i="11" s="1"/>
  <c r="AS21" i="11"/>
  <c r="AY21" i="11"/>
  <c r="AP21" i="11"/>
  <c r="AZ21" i="11"/>
  <c r="BA21" i="11" s="1"/>
  <c r="BM63" i="10"/>
  <c r="BN63" i="10" s="1"/>
  <c r="BO63" i="10" s="1"/>
  <c r="BJ63" i="10"/>
  <c r="BS63" i="10"/>
  <c r="BT63" i="10" s="1"/>
  <c r="BU63" i="10" s="1"/>
  <c r="BY63" i="10"/>
  <c r="BZ63" i="10" s="1"/>
  <c r="CA63" i="10" s="1"/>
  <c r="BM78" i="11"/>
  <c r="BN78" i="11" s="1"/>
  <c r="BO78" i="11" s="1"/>
  <c r="BY78" i="11"/>
  <c r="BZ78" i="11" s="1"/>
  <c r="CA78" i="11" s="1"/>
  <c r="BS78" i="11"/>
  <c r="BT78" i="11" s="1"/>
  <c r="BU78" i="11" s="1"/>
  <c r="BJ78" i="11"/>
  <c r="BI77" i="11"/>
  <c r="BY72" i="11"/>
  <c r="BZ72" i="11" s="1"/>
  <c r="CA72" i="11" s="1"/>
  <c r="BM72" i="11"/>
  <c r="BN72" i="11" s="1"/>
  <c r="BO72" i="11" s="1"/>
  <c r="BJ72" i="11"/>
  <c r="BS72" i="11"/>
  <c r="BT72" i="11" s="1"/>
  <c r="BU72" i="11" s="1"/>
  <c r="BY75" i="11"/>
  <c r="BZ75" i="11" s="1"/>
  <c r="CA75" i="11" s="1"/>
  <c r="BJ75" i="11"/>
  <c r="BS75" i="11"/>
  <c r="BT75" i="11" s="1"/>
  <c r="BU75" i="11" s="1"/>
  <c r="BM75" i="11"/>
  <c r="BN75" i="11" s="1"/>
  <c r="BO75" i="11" s="1"/>
  <c r="BM61" i="11"/>
  <c r="BN61" i="11" s="1"/>
  <c r="BO61" i="11" s="1"/>
  <c r="BJ61" i="11"/>
  <c r="BS61" i="11"/>
  <c r="BT61" i="11" s="1"/>
  <c r="BU61" i="11" s="1"/>
  <c r="BI60" i="11"/>
  <c r="AO59" i="11"/>
  <c r="AO51" i="11" s="1"/>
  <c r="AT60" i="11"/>
  <c r="AU60" i="11" s="1"/>
  <c r="AY60" i="11"/>
  <c r="AZ60" i="11"/>
  <c r="BA60" i="11" s="1"/>
  <c r="AS60" i="11"/>
  <c r="BF60" i="11"/>
  <c r="BG60" i="11" s="1"/>
  <c r="AP60" i="11"/>
  <c r="BE60" i="11"/>
  <c r="BX61" i="10"/>
  <c r="BW60" i="10"/>
  <c r="BJ65" i="10"/>
  <c r="BY65" i="10"/>
  <c r="BZ65" i="10" s="1"/>
  <c r="CA65" i="10" s="1"/>
  <c r="BM65" i="10"/>
  <c r="BN65" i="10" s="1"/>
  <c r="BO65" i="10" s="1"/>
  <c r="BS65" i="10"/>
  <c r="BT65" i="10" s="1"/>
  <c r="BU65" i="10" s="1"/>
  <c r="N40" i="9"/>
  <c r="O40" i="9" s="1"/>
  <c r="O16" i="9"/>
  <c r="N13" i="9"/>
  <c r="Q16" i="9"/>
  <c r="P16" i="9"/>
  <c r="K19" i="9"/>
  <c r="P11" i="9"/>
  <c r="AE11" i="9"/>
  <c r="AF11" i="9" s="1"/>
  <c r="Q11" i="9"/>
  <c r="R11" i="9" s="1"/>
  <c r="AD11" i="9"/>
  <c r="L11" i="9"/>
  <c r="BE36" i="9"/>
  <c r="BE26" i="9"/>
  <c r="BE38" i="9" s="1"/>
  <c r="E26" i="9"/>
  <c r="E38" i="9" s="1"/>
  <c r="E36" i="9"/>
  <c r="BY40" i="10"/>
  <c r="BZ40" i="10" s="1"/>
  <c r="CA40" i="10" s="1"/>
  <c r="BM40" i="10"/>
  <c r="BN40" i="10" s="1"/>
  <c r="BO40" i="10" s="1"/>
  <c r="BS40" i="10"/>
  <c r="BT40" i="10" s="1"/>
  <c r="BU40" i="10" s="1"/>
  <c r="BJ40" i="10"/>
  <c r="AE20" i="11"/>
  <c r="Y20" i="11"/>
  <c r="AF20" i="11"/>
  <c r="AG20" i="11" s="1"/>
  <c r="AK20" i="11"/>
  <c r="Z20" i="11"/>
  <c r="AA20" i="11" s="1"/>
  <c r="AL20" i="11"/>
  <c r="AM20" i="11" s="1"/>
  <c r="AD13" i="9"/>
  <c r="P13" i="9"/>
  <c r="AE13" i="9"/>
  <c r="Q13" i="9"/>
  <c r="L13" i="9"/>
  <c r="J36" i="9"/>
  <c r="J26" i="9"/>
  <c r="J38" i="9" s="1"/>
  <c r="X11" i="11"/>
  <c r="AT40" i="11"/>
  <c r="AU40" i="11" s="1"/>
  <c r="AZ40" i="11"/>
  <c r="BA40" i="11" s="1"/>
  <c r="AY40" i="11"/>
  <c r="AS40" i="11"/>
  <c r="AP40" i="11"/>
  <c r="AE80" i="10"/>
  <c r="AF80" i="10"/>
  <c r="AG80" i="10" s="1"/>
  <c r="Y80" i="10"/>
  <c r="V80" i="10"/>
  <c r="AL80" i="10"/>
  <c r="AM80" i="10" s="1"/>
  <c r="Z80" i="10"/>
  <c r="AA80" i="10" s="1"/>
  <c r="AK80" i="10"/>
  <c r="BS64" i="10"/>
  <c r="BT64" i="10" s="1"/>
  <c r="BU64" i="10" s="1"/>
  <c r="BM64" i="10"/>
  <c r="BN64" i="10" s="1"/>
  <c r="BO64" i="10" s="1"/>
  <c r="BJ64" i="10"/>
  <c r="BY64" i="10"/>
  <c r="BZ64" i="10" s="1"/>
  <c r="CA64" i="10" s="1"/>
  <c r="BY61" i="10"/>
  <c r="BZ61" i="10" s="1"/>
  <c r="CA61" i="10" s="1"/>
  <c r="BI60" i="10"/>
  <c r="BJ61" i="10"/>
  <c r="BS61" i="10"/>
  <c r="BT61" i="10" s="1"/>
  <c r="BU61" i="10" s="1"/>
  <c r="BM61" i="10"/>
  <c r="BN61" i="10" s="1"/>
  <c r="BO61" i="10" s="1"/>
  <c r="BX69" i="10"/>
  <c r="BW68" i="10"/>
  <c r="BX68" i="10" s="1"/>
  <c r="R80" i="11"/>
  <c r="S80" i="11" s="1"/>
  <c r="H80" i="11"/>
  <c r="I80" i="11" s="1"/>
  <c r="Q80" i="11"/>
  <c r="G80" i="11"/>
  <c r="M80" i="11"/>
  <c r="N80" i="11" s="1"/>
  <c r="L80" i="11"/>
  <c r="H88" i="11"/>
  <c r="I88" i="11" s="1"/>
  <c r="G88" i="11"/>
  <c r="M88" i="11"/>
  <c r="N88" i="11" s="1"/>
  <c r="L88" i="11"/>
  <c r="BS49" i="10"/>
  <c r="BT49" i="10" s="1"/>
  <c r="BU49" i="10" s="1"/>
  <c r="BY49" i="10"/>
  <c r="BZ49" i="10" s="1"/>
  <c r="CA49" i="10" s="1"/>
  <c r="BN49" i="10"/>
  <c r="BO49" i="10" s="1"/>
  <c r="BM49" i="10"/>
  <c r="BJ49" i="10"/>
  <c r="BS18" i="11"/>
  <c r="BT18" i="11" s="1"/>
  <c r="BU18" i="11" s="1"/>
  <c r="BM18" i="11"/>
  <c r="BN18" i="11" s="1"/>
  <c r="BO18" i="11" s="1"/>
  <c r="BJ18" i="11"/>
  <c r="BT47" i="11"/>
  <c r="BU47" i="11" s="1"/>
  <c r="BY47" i="11"/>
  <c r="BM47" i="11"/>
  <c r="BN47" i="11" s="1"/>
  <c r="BO47" i="11" s="1"/>
  <c r="BJ47" i="11"/>
  <c r="BS47" i="11"/>
  <c r="BI46" i="11"/>
  <c r="BZ47" i="11"/>
  <c r="CA47" i="11" s="1"/>
  <c r="BE15" i="10"/>
  <c r="AZ15" i="10"/>
  <c r="BA15" i="10" s="1"/>
  <c r="AP15" i="10"/>
  <c r="AY15" i="10"/>
  <c r="BF15" i="10"/>
  <c r="BG15" i="10" s="1"/>
  <c r="AT15" i="10"/>
  <c r="AU15" i="10" s="1"/>
  <c r="AS15" i="10"/>
  <c r="BM71" i="10"/>
  <c r="BN71" i="10" s="1"/>
  <c r="BO71" i="10" s="1"/>
  <c r="BJ71" i="10"/>
  <c r="BS71" i="10"/>
  <c r="BT71" i="10" s="1"/>
  <c r="BU71" i="10" s="1"/>
  <c r="BY71" i="10"/>
  <c r="BZ71" i="10" s="1"/>
  <c r="CA71" i="10" s="1"/>
  <c r="BT48" i="11"/>
  <c r="BU48" i="11" s="1"/>
  <c r="BY48" i="11"/>
  <c r="BM48" i="11"/>
  <c r="BN48" i="11" s="1"/>
  <c r="BO48" i="11" s="1"/>
  <c r="BJ48" i="11"/>
  <c r="BS48" i="11"/>
  <c r="BZ48" i="11"/>
  <c r="CA48" i="11" s="1"/>
  <c r="BY29" i="11"/>
  <c r="BZ29" i="11" s="1"/>
  <c r="CA29" i="11" s="1"/>
  <c r="BS29" i="11"/>
  <c r="BT29" i="11" s="1"/>
  <c r="BU29" i="11" s="1"/>
  <c r="BJ29" i="11"/>
  <c r="BM29" i="11"/>
  <c r="BN29" i="11" s="1"/>
  <c r="BO29" i="11" s="1"/>
  <c r="BY39" i="11"/>
  <c r="BZ39" i="11" s="1"/>
  <c r="CA39" i="11" s="1"/>
  <c r="BM39" i="11"/>
  <c r="BN39" i="11" s="1"/>
  <c r="BO39" i="11" s="1"/>
  <c r="BS39" i="11"/>
  <c r="BT39" i="11" s="1"/>
  <c r="BU39" i="11" s="1"/>
  <c r="BJ39" i="11"/>
  <c r="AL15" i="10"/>
  <c r="AM15" i="10" s="1"/>
  <c r="AE15" i="10"/>
  <c r="AK15" i="10"/>
  <c r="Z15" i="10"/>
  <c r="AA15" i="10" s="1"/>
  <c r="Y15" i="10"/>
  <c r="AF15" i="10"/>
  <c r="AG15" i="10" s="1"/>
  <c r="V15" i="10"/>
  <c r="Q36" i="10"/>
  <c r="G36" i="10"/>
  <c r="M36" i="10"/>
  <c r="N36" i="10" s="1"/>
  <c r="H36" i="10"/>
  <c r="I36" i="10" s="1"/>
  <c r="R36" i="10"/>
  <c r="S36" i="10" s="1"/>
  <c r="CD36" i="10"/>
  <c r="L36" i="10"/>
  <c r="BL15" i="10"/>
  <c r="BQ20" i="10"/>
  <c r="BR20" i="10" s="1"/>
  <c r="BR21" i="10"/>
  <c r="BR15" i="10"/>
  <c r="AJ15" i="10"/>
  <c r="H40" i="10"/>
  <c r="I40" i="10" s="1"/>
  <c r="M40" i="10"/>
  <c r="N40" i="10" s="1"/>
  <c r="Q40" i="10"/>
  <c r="G40" i="10"/>
  <c r="L40" i="10"/>
  <c r="R40" i="10"/>
  <c r="S40" i="10" s="1"/>
  <c r="CD40" i="10"/>
  <c r="M88" i="10"/>
  <c r="N88" i="10" s="1"/>
  <c r="H88" i="10"/>
  <c r="I88" i="10" s="1"/>
  <c r="R88" i="10"/>
  <c r="S88" i="10" s="1"/>
  <c r="G88" i="10"/>
  <c r="CD88" i="10"/>
  <c r="Q88" i="10"/>
  <c r="L88" i="10"/>
  <c r="BJ36" i="10"/>
  <c r="BY36" i="10"/>
  <c r="BZ36" i="10" s="1"/>
  <c r="CA36" i="10" s="1"/>
  <c r="BS36" i="10"/>
  <c r="BT36" i="10" s="1"/>
  <c r="BU36" i="10" s="1"/>
  <c r="BM36" i="10"/>
  <c r="BN36" i="10" s="1"/>
  <c r="BO36" i="10" s="1"/>
  <c r="AU33" i="9"/>
  <c r="AT33" i="9"/>
  <c r="BI33" i="9"/>
  <c r="AP33" i="9"/>
  <c r="BH33" i="9"/>
  <c r="BM42" i="10"/>
  <c r="BN42" i="10" s="1"/>
  <c r="BO42" i="10" s="1"/>
  <c r="BY42" i="10"/>
  <c r="BZ42" i="10" s="1"/>
  <c r="CA42" i="10" s="1"/>
  <c r="BJ42" i="10"/>
  <c r="BS42" i="10"/>
  <c r="BT42" i="10" s="1"/>
  <c r="BU42" i="10" s="1"/>
  <c r="BK59" i="10"/>
  <c r="BL59" i="10" s="1"/>
  <c r="BL60" i="10"/>
  <c r="Q33" i="9"/>
  <c r="P33" i="9"/>
  <c r="AE33" i="9"/>
  <c r="L33" i="9"/>
  <c r="AD33" i="9"/>
  <c r="BL59" i="11"/>
  <c r="BK51" i="11"/>
  <c r="BR60" i="10"/>
  <c r="BQ59" i="10"/>
  <c r="BQ51" i="10" s="1"/>
  <c r="V42" i="10"/>
  <c r="F36" i="9"/>
  <c r="F26" i="9"/>
  <c r="F38" i="9" s="1"/>
  <c r="AY36" i="9"/>
  <c r="AY26" i="9"/>
  <c r="AY38" i="9" s="1"/>
  <c r="AP40" i="10"/>
  <c r="AD68" i="10"/>
  <c r="AQ90" i="11"/>
  <c r="AR11" i="11"/>
  <c r="AL36" i="9"/>
  <c r="AL26" i="9"/>
  <c r="AL38" i="9" s="1"/>
  <c r="BG11" i="9"/>
  <c r="BF19" i="9"/>
  <c r="V36" i="9"/>
  <c r="V26" i="9"/>
  <c r="V38" i="9" s="1"/>
  <c r="X51" i="11"/>
  <c r="M21" i="10"/>
  <c r="N21" i="10" s="1"/>
  <c r="E20" i="10"/>
  <c r="L21" i="10"/>
  <c r="H21" i="10"/>
  <c r="I21" i="10" s="1"/>
  <c r="CD21" i="10"/>
  <c r="G21" i="10"/>
  <c r="R21" i="10"/>
  <c r="S21" i="10" s="1"/>
  <c r="Q21" i="10"/>
  <c r="AI51" i="10"/>
  <c r="AJ80" i="10"/>
  <c r="AS68" i="11"/>
  <c r="AZ68" i="11"/>
  <c r="BA68" i="11" s="1"/>
  <c r="AP68" i="11"/>
  <c r="AY68" i="11"/>
  <c r="BE68" i="11"/>
  <c r="AT68" i="11"/>
  <c r="AU68" i="11" s="1"/>
  <c r="BF68" i="11"/>
  <c r="BG68" i="11" s="1"/>
  <c r="BS72" i="10"/>
  <c r="BT72" i="10" s="1"/>
  <c r="BU72" i="10" s="1"/>
  <c r="BJ72" i="10"/>
  <c r="BY72" i="10"/>
  <c r="BZ72" i="10" s="1"/>
  <c r="CA72" i="10" s="1"/>
  <c r="BM72" i="10"/>
  <c r="BN72" i="10" s="1"/>
  <c r="BO72" i="10" s="1"/>
  <c r="BS18" i="10"/>
  <c r="BT18" i="10" s="1"/>
  <c r="BU18" i="10" s="1"/>
  <c r="BJ18" i="10"/>
  <c r="BY18" i="10"/>
  <c r="BZ18" i="10" s="1"/>
  <c r="CA18" i="10" s="1"/>
  <c r="BM18" i="10"/>
  <c r="BN18" i="10" s="1"/>
  <c r="BO18" i="10" s="1"/>
  <c r="M40" i="11"/>
  <c r="N40" i="11" s="1"/>
  <c r="Q40" i="11"/>
  <c r="L40" i="11"/>
  <c r="H40" i="11"/>
  <c r="I40" i="11" s="1"/>
  <c r="G40" i="11"/>
  <c r="L52" i="10"/>
  <c r="M52" i="10"/>
  <c r="N52" i="10" s="1"/>
  <c r="CD52" i="10"/>
  <c r="Q52" i="10"/>
  <c r="H52" i="10"/>
  <c r="I52" i="10" s="1"/>
  <c r="R52" i="10"/>
  <c r="S52" i="10" s="1"/>
  <c r="G52" i="10"/>
  <c r="AS42" i="11"/>
  <c r="AZ42" i="11"/>
  <c r="BA42" i="11" s="1"/>
  <c r="AY42" i="11"/>
  <c r="AT42" i="11"/>
  <c r="AU42" i="11" s="1"/>
  <c r="AP42" i="11"/>
  <c r="BF42" i="11"/>
  <c r="BG42" i="11" s="1"/>
  <c r="AJ52" i="10"/>
  <c r="Q42" i="11"/>
  <c r="L42" i="11"/>
  <c r="R42" i="11"/>
  <c r="S42" i="11" s="1"/>
  <c r="M42" i="11"/>
  <c r="N42" i="11" s="1"/>
  <c r="H42" i="11"/>
  <c r="I42" i="11" s="1"/>
  <c r="G42" i="11"/>
  <c r="BS16" i="10"/>
  <c r="BT16" i="10" s="1"/>
  <c r="BU16" i="10" s="1"/>
  <c r="BI15" i="10"/>
  <c r="BY16" i="10"/>
  <c r="BZ16" i="10" s="1"/>
  <c r="CA16" i="10" s="1"/>
  <c r="BM16" i="10"/>
  <c r="BN16" i="10" s="1"/>
  <c r="BO16" i="10" s="1"/>
  <c r="BJ16" i="10"/>
  <c r="X51" i="10"/>
  <c r="AZ51" i="10"/>
  <c r="BA51" i="10" s="1"/>
  <c r="BF51" i="10"/>
  <c r="BG51" i="10" s="1"/>
  <c r="AY51" i="10"/>
  <c r="AT51" i="10"/>
  <c r="AU51" i="10" s="1"/>
  <c r="AS51" i="10"/>
  <c r="BE51" i="10"/>
  <c r="BJ68" i="10"/>
  <c r="BS68" i="10"/>
  <c r="BT68" i="10" s="1"/>
  <c r="BU68" i="10" s="1"/>
  <c r="BY68" i="10"/>
  <c r="BZ68" i="10" s="1"/>
  <c r="CA68" i="10" s="1"/>
  <c r="BM68" i="10"/>
  <c r="BN68" i="10" s="1"/>
  <c r="BO68" i="10" s="1"/>
  <c r="BW80" i="10"/>
  <c r="BX81" i="10"/>
  <c r="AR51" i="11"/>
  <c r="BS70" i="11"/>
  <c r="BT70" i="11" s="1"/>
  <c r="BU70" i="11" s="1"/>
  <c r="BM70" i="11"/>
  <c r="BN70" i="11" s="1"/>
  <c r="BO70" i="11" s="1"/>
  <c r="BJ70" i="11"/>
  <c r="BY74" i="11"/>
  <c r="BZ74" i="11" s="1"/>
  <c r="CA74" i="11" s="1"/>
  <c r="BS74" i="11"/>
  <c r="BT74" i="11" s="1"/>
  <c r="BU74" i="11" s="1"/>
  <c r="BM74" i="11"/>
  <c r="BN74" i="11" s="1"/>
  <c r="BO74" i="11" s="1"/>
  <c r="BJ74" i="11"/>
  <c r="BM86" i="11"/>
  <c r="BZ86" i="11"/>
  <c r="CA86" i="11" s="1"/>
  <c r="BN86" i="11"/>
  <c r="BO86" i="11" s="1"/>
  <c r="BY86" i="11"/>
  <c r="BS86" i="11"/>
  <c r="BJ86" i="11"/>
  <c r="BT86" i="11"/>
  <c r="BU86" i="11" s="1"/>
  <c r="BS69" i="11"/>
  <c r="BT69" i="11" s="1"/>
  <c r="BU69" i="11" s="1"/>
  <c r="BY69" i="11"/>
  <c r="BZ69" i="11" s="1"/>
  <c r="CA69" i="11" s="1"/>
  <c r="BJ69" i="11"/>
  <c r="BI68" i="11"/>
  <c r="BM69" i="11"/>
  <c r="BN69" i="11" s="1"/>
  <c r="BO69" i="11" s="1"/>
  <c r="M77" i="11"/>
  <c r="N77" i="11" s="1"/>
  <c r="Q77" i="11"/>
  <c r="G77" i="11"/>
  <c r="R77" i="11"/>
  <c r="S77" i="11" s="1"/>
  <c r="L77" i="11"/>
  <c r="H77" i="11"/>
  <c r="I77" i="11" s="1"/>
  <c r="BE36" i="11"/>
  <c r="AP36" i="11"/>
  <c r="AZ36" i="11"/>
  <c r="BA36" i="11" s="1"/>
  <c r="AY36" i="11"/>
  <c r="AT36" i="11"/>
  <c r="AU36" i="11" s="1"/>
  <c r="AS36" i="11"/>
  <c r="Q42" i="10"/>
  <c r="BM85" i="11"/>
  <c r="BI88" i="11"/>
  <c r="BS85" i="11"/>
  <c r="BN85" i="11"/>
  <c r="BO85" i="11" s="1"/>
  <c r="BJ85" i="11"/>
  <c r="BZ85" i="11"/>
  <c r="CA85" i="11" s="1"/>
  <c r="BT85" i="11"/>
  <c r="BU85" i="11" s="1"/>
  <c r="BJ22" i="10"/>
  <c r="BS22" i="10"/>
  <c r="BT22" i="10" s="1"/>
  <c r="BU22" i="10" s="1"/>
  <c r="BY22" i="10"/>
  <c r="BZ22" i="10" s="1"/>
  <c r="CA22" i="10" s="1"/>
  <c r="BM22" i="10"/>
  <c r="BN22" i="10" s="1"/>
  <c r="BO22" i="10" s="1"/>
  <c r="BI21" i="10"/>
  <c r="BX53" i="10"/>
  <c r="BW52" i="10"/>
  <c r="BX52" i="10" s="1"/>
  <c r="BC14" i="10"/>
  <c r="BD15" i="10"/>
  <c r="AY77" i="11"/>
  <c r="AP77" i="11"/>
  <c r="BE77" i="11"/>
  <c r="AS77" i="11"/>
  <c r="BF77" i="11"/>
  <c r="BG77" i="11" s="1"/>
  <c r="AZ77" i="11"/>
  <c r="BA77" i="11" s="1"/>
  <c r="AT77" i="11"/>
  <c r="AU77" i="11" s="1"/>
  <c r="BS17" i="11"/>
  <c r="BT17" i="11" s="1"/>
  <c r="BU17" i="11" s="1"/>
  <c r="BJ17" i="11"/>
  <c r="BM17" i="11"/>
  <c r="BN17" i="11" s="1"/>
  <c r="BO17" i="11" s="1"/>
  <c r="BY76" i="10"/>
  <c r="BZ76" i="10" s="1"/>
  <c r="CA76" i="10" s="1"/>
  <c r="BN76" i="10"/>
  <c r="BO76" i="10" s="1"/>
  <c r="BJ76" i="10"/>
  <c r="BS76" i="10"/>
  <c r="BT76" i="10" s="1"/>
  <c r="BU76" i="10" s="1"/>
  <c r="BM76" i="10"/>
  <c r="AT52" i="11"/>
  <c r="AU52" i="11" s="1"/>
  <c r="BF52" i="11"/>
  <c r="BG52" i="11" s="1"/>
  <c r="BE52" i="11"/>
  <c r="AP52" i="11"/>
  <c r="AZ52" i="11"/>
  <c r="BA52" i="11" s="1"/>
  <c r="AY52" i="11"/>
  <c r="AS52" i="11"/>
  <c r="BE59" i="10"/>
  <c r="AT59" i="10"/>
  <c r="AU59" i="10" s="1"/>
  <c r="AY59" i="10"/>
  <c r="BF59" i="10"/>
  <c r="BG59" i="10" s="1"/>
  <c r="AP59" i="10"/>
  <c r="AZ59" i="10"/>
  <c r="BA59" i="10" s="1"/>
  <c r="AS59" i="10"/>
  <c r="X14" i="10"/>
  <c r="W13" i="10"/>
  <c r="X13" i="10" s="1"/>
  <c r="AI26" i="9"/>
  <c r="AI38" i="9" s="1"/>
  <c r="AI36" i="9"/>
  <c r="BM53" i="11"/>
  <c r="BN53" i="11" s="1"/>
  <c r="BO53" i="11" s="1"/>
  <c r="BS53" i="11"/>
  <c r="BT53" i="11" s="1"/>
  <c r="BU53" i="11" s="1"/>
  <c r="BJ53" i="11"/>
  <c r="BI52" i="11"/>
  <c r="BD68" i="10"/>
  <c r="AF51" i="11"/>
  <c r="AG51" i="11" s="1"/>
  <c r="AE51" i="11"/>
  <c r="Z51" i="11"/>
  <c r="AA51" i="11" s="1"/>
  <c r="Y51" i="11"/>
  <c r="U11" i="11"/>
  <c r="AC11" i="11"/>
  <c r="Z30" i="10"/>
  <c r="AA30" i="10" s="1"/>
  <c r="AK30" i="10"/>
  <c r="Y30" i="10"/>
  <c r="V30" i="10"/>
  <c r="AL30" i="10"/>
  <c r="AM30" i="10" s="1"/>
  <c r="AF30" i="10"/>
  <c r="AG30" i="10" s="1"/>
  <c r="AE30" i="10"/>
  <c r="AI14" i="11"/>
  <c r="AE30" i="11"/>
  <c r="Y30" i="11"/>
  <c r="AF30" i="11"/>
  <c r="AG30" i="11" s="1"/>
  <c r="AK30" i="11"/>
  <c r="AL30" i="11"/>
  <c r="AM30" i="11" s="1"/>
  <c r="Z30" i="11"/>
  <c r="AA30" i="11" s="1"/>
  <c r="BH13" i="9"/>
  <c r="AT13" i="9"/>
  <c r="BI13" i="9"/>
  <c r="AU13" i="9"/>
  <c r="AP13" i="9"/>
  <c r="AU27" i="9"/>
  <c r="AV27" i="9" s="1"/>
  <c r="BI27" i="9"/>
  <c r="BJ27" i="9" s="1"/>
  <c r="BH27" i="9"/>
  <c r="AP27" i="9"/>
  <c r="AT27" i="9"/>
  <c r="U13" i="11"/>
  <c r="BY27" i="11"/>
  <c r="BZ27" i="11" s="1"/>
  <c r="CA27" i="11" s="1"/>
  <c r="BS27" i="11"/>
  <c r="BT27" i="11" s="1"/>
  <c r="BU27" i="11" s="1"/>
  <c r="BM27" i="11"/>
  <c r="BN27" i="11" s="1"/>
  <c r="BO27" i="11" s="1"/>
  <c r="BJ27" i="11"/>
  <c r="BS41" i="11"/>
  <c r="BT41" i="11" s="1"/>
  <c r="BU41" i="11" s="1"/>
  <c r="BY41" i="11"/>
  <c r="BZ41" i="11" s="1"/>
  <c r="CA41" i="11" s="1"/>
  <c r="BJ41" i="11"/>
  <c r="BM41" i="11"/>
  <c r="BN41" i="11" s="1"/>
  <c r="BO41" i="11" s="1"/>
  <c r="BI40" i="11"/>
  <c r="P59" i="10"/>
  <c r="AX59" i="10" s="1"/>
  <c r="BS66" i="11"/>
  <c r="BT66" i="11" s="1"/>
  <c r="BU66" i="11" s="1"/>
  <c r="BM66" i="11"/>
  <c r="BN66" i="11" s="1"/>
  <c r="BO66" i="11" s="1"/>
  <c r="BJ66" i="11"/>
  <c r="BM56" i="11"/>
  <c r="BN56" i="11" s="1"/>
  <c r="BO56" i="11" s="1"/>
  <c r="BJ56" i="11"/>
  <c r="BY56" i="11"/>
  <c r="BZ56" i="11" s="1"/>
  <c r="CA56" i="11" s="1"/>
  <c r="BS56" i="11"/>
  <c r="BT56" i="11" s="1"/>
  <c r="BU56" i="11" s="1"/>
  <c r="BY45" i="11"/>
  <c r="BZ45" i="11" s="1"/>
  <c r="CA45" i="11" s="1"/>
  <c r="BM45" i="11"/>
  <c r="BN45" i="11" s="1"/>
  <c r="BO45" i="11" s="1"/>
  <c r="BJ45" i="11"/>
  <c r="BS45" i="11"/>
  <c r="BT45" i="11" s="1"/>
  <c r="BU45" i="11" s="1"/>
  <c r="BY26" i="11"/>
  <c r="BZ26" i="11" s="1"/>
  <c r="CA26" i="11" s="1"/>
  <c r="BM26" i="11"/>
  <c r="BN26" i="11" s="1"/>
  <c r="BO26" i="11" s="1"/>
  <c r="BS26" i="11"/>
  <c r="BT26" i="11" s="1"/>
  <c r="BU26" i="11" s="1"/>
  <c r="BJ26" i="11"/>
  <c r="BS38" i="11"/>
  <c r="BT38" i="11" s="1"/>
  <c r="BU38" i="11" s="1"/>
  <c r="BJ38" i="11"/>
  <c r="BM38" i="11"/>
  <c r="BN38" i="11" s="1"/>
  <c r="BO38" i="11" s="1"/>
  <c r="AF88" i="10"/>
  <c r="AG88" i="10" s="1"/>
  <c r="AL88" i="10"/>
  <c r="AM88" i="10" s="1"/>
  <c r="Y88" i="10"/>
  <c r="V88" i="10"/>
  <c r="AK88" i="10"/>
  <c r="AE88" i="10"/>
  <c r="Z88" i="10"/>
  <c r="AA88" i="10" s="1"/>
  <c r="BJ26" i="10"/>
  <c r="BS26" i="10"/>
  <c r="BT26" i="10" s="1"/>
  <c r="BU26" i="10" s="1"/>
  <c r="BY26" i="10"/>
  <c r="BZ26" i="10" s="1"/>
  <c r="CA26" i="10" s="1"/>
  <c r="BM26" i="10"/>
  <c r="BN26" i="10" s="1"/>
  <c r="BO26" i="10" s="1"/>
  <c r="BM87" i="11"/>
  <c r="BT87" i="11"/>
  <c r="BU87" i="11" s="1"/>
  <c r="BS87" i="11"/>
  <c r="BJ87" i="11"/>
  <c r="BY87" i="11"/>
  <c r="BZ87" i="11"/>
  <c r="CA87" i="11" s="1"/>
  <c r="BN87" i="11"/>
  <c r="BO87" i="11" s="1"/>
  <c r="BM81" i="11"/>
  <c r="BN81" i="11" s="1"/>
  <c r="BO81" i="11" s="1"/>
  <c r="BY81" i="11"/>
  <c r="BZ81" i="11" s="1"/>
  <c r="CA81" i="11" s="1"/>
  <c r="BS81" i="11"/>
  <c r="BT81" i="11" s="1"/>
  <c r="BU81" i="11" s="1"/>
  <c r="BJ81" i="11"/>
  <c r="BI80" i="11"/>
  <c r="AL60" i="10"/>
  <c r="AM60" i="10" s="1"/>
  <c r="AK60" i="10"/>
  <c r="Z60" i="10"/>
  <c r="AA60" i="10" s="1"/>
  <c r="Y60" i="10"/>
  <c r="V60" i="10"/>
  <c r="U59" i="10"/>
  <c r="AF60" i="10"/>
  <c r="AG60" i="10" s="1"/>
  <c r="AE60" i="10"/>
  <c r="BM83" i="11"/>
  <c r="BN83" i="11" s="1"/>
  <c r="BO83" i="11" s="1"/>
  <c r="BY83" i="11"/>
  <c r="BZ83" i="11" s="1"/>
  <c r="CA83" i="11" s="1"/>
  <c r="BS83" i="11"/>
  <c r="BT83" i="11" s="1"/>
  <c r="BU83" i="11" s="1"/>
  <c r="BJ83" i="11"/>
  <c r="BM63" i="11"/>
  <c r="BN63" i="11" s="1"/>
  <c r="BO63" i="11" s="1"/>
  <c r="BS63" i="11"/>
  <c r="BT63" i="11" s="1"/>
  <c r="BU63" i="11" s="1"/>
  <c r="BJ63" i="11"/>
  <c r="BY63" i="11"/>
  <c r="BZ63" i="11" s="1"/>
  <c r="CA63" i="11" s="1"/>
  <c r="BM49" i="11"/>
  <c r="BN49" i="11" s="1"/>
  <c r="BO49" i="11" s="1"/>
  <c r="BT49" i="11"/>
  <c r="BU49" i="11" s="1"/>
  <c r="BJ49" i="11"/>
  <c r="BS49" i="11"/>
  <c r="BZ49" i="11"/>
  <c r="CA49" i="11" s="1"/>
  <c r="BY49" i="11"/>
  <c r="BY33" i="11"/>
  <c r="BZ33" i="11" s="1"/>
  <c r="CA33" i="11" s="1"/>
  <c r="BS33" i="11"/>
  <c r="BT33" i="11" s="1"/>
  <c r="BU33" i="11" s="1"/>
  <c r="BM33" i="11"/>
  <c r="BN33" i="11" s="1"/>
  <c r="BO33" i="11" s="1"/>
  <c r="BJ33" i="11"/>
  <c r="BY23" i="11"/>
  <c r="BZ23" i="11" s="1"/>
  <c r="CA23" i="11" s="1"/>
  <c r="BM23" i="11"/>
  <c r="BN23" i="11" s="1"/>
  <c r="BO23" i="11" s="1"/>
  <c r="BJ23" i="11"/>
  <c r="BS23" i="11"/>
  <c r="BT23" i="11" s="1"/>
  <c r="BU23" i="11" s="1"/>
  <c r="BM19" i="11"/>
  <c r="BN19" i="11" s="1"/>
  <c r="BO19" i="11" s="1"/>
  <c r="BJ19" i="11"/>
  <c r="BS19" i="11"/>
  <c r="BT19" i="11" s="1"/>
  <c r="BU19" i="11" s="1"/>
  <c r="BX85" i="10"/>
  <c r="BW88" i="10"/>
  <c r="BX88" i="10" s="1"/>
  <c r="AF46" i="10"/>
  <c r="AG46" i="10" s="1"/>
  <c r="V46" i="10"/>
  <c r="Y46" i="10"/>
  <c r="AL46" i="10"/>
  <c r="AM46" i="10" s="1"/>
  <c r="AK46" i="10"/>
  <c r="AE46" i="10"/>
  <c r="Z46" i="10"/>
  <c r="AA46" i="10" s="1"/>
  <c r="R52" i="11"/>
  <c r="S52" i="11" s="1"/>
  <c r="H52" i="11"/>
  <c r="I52" i="11" s="1"/>
  <c r="L52" i="11"/>
  <c r="M52" i="11"/>
  <c r="N52" i="11" s="1"/>
  <c r="G52" i="11"/>
  <c r="Q52" i="11"/>
  <c r="BS73" i="10"/>
  <c r="BT73" i="10" s="1"/>
  <c r="BU73" i="10" s="1"/>
  <c r="BJ73" i="10"/>
  <c r="BY73" i="10"/>
  <c r="BZ73" i="10" s="1"/>
  <c r="CA73" i="10" s="1"/>
  <c r="BM73" i="10"/>
  <c r="BN73" i="10" s="1"/>
  <c r="BO73" i="10" s="1"/>
  <c r="BY17" i="10"/>
  <c r="BZ17" i="10" s="1"/>
  <c r="CA17" i="10" s="1"/>
  <c r="BM17" i="10"/>
  <c r="BN17" i="10" s="1"/>
  <c r="BO17" i="10" s="1"/>
  <c r="BJ17" i="10"/>
  <c r="BS17" i="10"/>
  <c r="BT17" i="10" s="1"/>
  <c r="BU17" i="10" s="1"/>
  <c r="U36" i="9"/>
  <c r="U26" i="9"/>
  <c r="U38" i="9" s="1"/>
  <c r="BS80" i="10"/>
  <c r="BT80" i="10" s="1"/>
  <c r="BU80" i="10" s="1"/>
  <c r="BJ80" i="10"/>
  <c r="BY80" i="10"/>
  <c r="BZ80" i="10" s="1"/>
  <c r="CA80" i="10" s="1"/>
  <c r="BM80" i="10"/>
  <c r="BN80" i="10" s="1"/>
  <c r="BO80" i="10" s="1"/>
  <c r="AC13" i="10"/>
  <c r="AC11" i="10" s="1"/>
  <c r="AD59" i="10"/>
  <c r="BD36" i="9"/>
  <c r="BD26" i="9"/>
  <c r="BD38" i="9" s="1"/>
  <c r="BC36" i="9"/>
  <c r="BC26" i="9"/>
  <c r="BY67" i="11"/>
  <c r="BZ67" i="11" s="1"/>
  <c r="CA67" i="11" s="1"/>
  <c r="BM67" i="11"/>
  <c r="BN67" i="11" s="1"/>
  <c r="BO67" i="11" s="1"/>
  <c r="BS67" i="11"/>
  <c r="BT67" i="11" s="1"/>
  <c r="BU67" i="11" s="1"/>
  <c r="BJ67" i="11"/>
  <c r="L21" i="11"/>
  <c r="M21" i="11"/>
  <c r="N21" i="11" s="1"/>
  <c r="H21" i="11"/>
  <c r="I21" i="11" s="1"/>
  <c r="R21" i="11"/>
  <c r="S21" i="11" s="1"/>
  <c r="Q21" i="11"/>
  <c r="G21" i="11"/>
  <c r="E20" i="11"/>
  <c r="V20" i="11" s="1"/>
  <c r="BM82" i="11"/>
  <c r="BN82" i="11" s="1"/>
  <c r="BO82" i="11" s="1"/>
  <c r="BY82" i="11"/>
  <c r="BZ82" i="11" s="1"/>
  <c r="CA82" i="11" s="1"/>
  <c r="BS82" i="11"/>
  <c r="BT82" i="11" s="1"/>
  <c r="BU82" i="11" s="1"/>
  <c r="BJ82" i="11"/>
  <c r="BJ88" i="10"/>
  <c r="BM88" i="10"/>
  <c r="BN88" i="10" s="1"/>
  <c r="BO88" i="10" s="1"/>
  <c r="BS88" i="10"/>
  <c r="BT88" i="10" s="1"/>
  <c r="BU88" i="10" s="1"/>
  <c r="BL80" i="10"/>
  <c r="BK51" i="10"/>
  <c r="T36" i="9"/>
  <c r="T26" i="9"/>
  <c r="T38" i="9" s="1"/>
  <c r="BX21" i="10"/>
  <c r="BW20" i="10"/>
  <c r="BX20" i="10" s="1"/>
  <c r="AE59" i="11"/>
  <c r="V59" i="11"/>
  <c r="AK59" i="11"/>
  <c r="AL59" i="11"/>
  <c r="AM59" i="11" s="1"/>
  <c r="Y59" i="11"/>
  <c r="Z59" i="11"/>
  <c r="AA59" i="11" s="1"/>
  <c r="AF59" i="11"/>
  <c r="AG59" i="11" s="1"/>
  <c r="BQ13" i="11"/>
  <c r="P27" i="9"/>
  <c r="AD27" i="9"/>
  <c r="L27" i="9"/>
  <c r="AE27" i="9"/>
  <c r="AF27" i="9" s="1"/>
  <c r="Q27" i="9"/>
  <c r="AW13" i="10"/>
  <c r="AW11" i="10" s="1"/>
  <c r="BI15" i="11"/>
  <c r="BJ16" i="11"/>
  <c r="BS16" i="11"/>
  <c r="BT16" i="11" s="1"/>
  <c r="BU16" i="11" s="1"/>
  <c r="BM16" i="11"/>
  <c r="BN16" i="11" s="1"/>
  <c r="BO16" i="11" s="1"/>
  <c r="R36" i="11"/>
  <c r="S36" i="11" s="1"/>
  <c r="G36" i="11"/>
  <c r="Q36" i="11"/>
  <c r="M36" i="11"/>
  <c r="N36" i="11" s="1"/>
  <c r="L36" i="11"/>
  <c r="H36" i="11"/>
  <c r="I36" i="11" s="1"/>
  <c r="L60" i="11"/>
  <c r="BE21" i="10"/>
  <c r="AO20" i="10"/>
  <c r="AO14" i="10" s="1"/>
  <c r="AP21" i="10"/>
  <c r="AZ21" i="10"/>
  <c r="BA21" i="10" s="1"/>
  <c r="AY21" i="10"/>
  <c r="AT21" i="10"/>
  <c r="AU21" i="10" s="1"/>
  <c r="AS21" i="10"/>
  <c r="BF21" i="10"/>
  <c r="BG21" i="10" s="1"/>
  <c r="H15" i="10"/>
  <c r="I15" i="10" s="1"/>
  <c r="R15" i="10"/>
  <c r="S15" i="10" s="1"/>
  <c r="G15" i="10"/>
  <c r="CD15" i="10"/>
  <c r="Q15" i="10"/>
  <c r="M15" i="10"/>
  <c r="N15" i="10" s="1"/>
  <c r="L15" i="10"/>
  <c r="BS76" i="11"/>
  <c r="BM76" i="11"/>
  <c r="BN76" i="11" s="1"/>
  <c r="BO76" i="11" s="1"/>
  <c r="BZ76" i="11"/>
  <c r="CA76" i="11" s="1"/>
  <c r="BT76" i="11"/>
  <c r="BU76" i="11" s="1"/>
  <c r="BY76" i="11"/>
  <c r="BJ76" i="11"/>
  <c r="BJ35" i="11"/>
  <c r="BS35" i="11"/>
  <c r="BT35" i="11" s="1"/>
  <c r="BU35" i="11" s="1"/>
  <c r="BM35" i="11"/>
  <c r="BN35" i="11" s="1"/>
  <c r="BO35" i="11" s="1"/>
  <c r="BY35" i="11"/>
  <c r="BZ35" i="11" s="1"/>
  <c r="CA35" i="11" s="1"/>
  <c r="BY65" i="11"/>
  <c r="BZ65" i="11" s="1"/>
  <c r="CA65" i="11" s="1"/>
  <c r="BM65" i="11"/>
  <c r="BN65" i="11" s="1"/>
  <c r="BO65" i="11" s="1"/>
  <c r="BJ65" i="11"/>
  <c r="BS65" i="11"/>
  <c r="BT65" i="11" s="1"/>
  <c r="BU65" i="11" s="1"/>
  <c r="BM55" i="11"/>
  <c r="BN55" i="11" s="1"/>
  <c r="BO55" i="11" s="1"/>
  <c r="BS55" i="11"/>
  <c r="BT55" i="11" s="1"/>
  <c r="BU55" i="11" s="1"/>
  <c r="BJ55" i="11"/>
  <c r="BM44" i="11"/>
  <c r="BN44" i="11" s="1"/>
  <c r="BO44" i="11" s="1"/>
  <c r="BJ44" i="11"/>
  <c r="BY44" i="11"/>
  <c r="BZ44" i="11" s="1"/>
  <c r="CA44" i="11" s="1"/>
  <c r="BS44" i="11"/>
  <c r="BT44" i="11" s="1"/>
  <c r="BU44" i="11" s="1"/>
  <c r="BY25" i="11"/>
  <c r="BZ25" i="11" s="1"/>
  <c r="CA25" i="11" s="1"/>
  <c r="BJ25" i="11"/>
  <c r="BS25" i="11"/>
  <c r="BT25" i="11" s="1"/>
  <c r="BU25" i="11" s="1"/>
  <c r="BM25" i="11"/>
  <c r="BN25" i="11" s="1"/>
  <c r="BO25" i="11" s="1"/>
  <c r="BI36" i="11"/>
  <c r="BY37" i="11"/>
  <c r="BZ37" i="11" s="1"/>
  <c r="CA37" i="11" s="1"/>
  <c r="BJ37" i="11"/>
  <c r="BS37" i="11"/>
  <c r="BT37" i="11" s="1"/>
  <c r="BU37" i="11" s="1"/>
  <c r="BM37" i="11"/>
  <c r="BN37" i="11" s="1"/>
  <c r="BO37" i="11" s="1"/>
  <c r="AJ88" i="10"/>
  <c r="L68" i="10"/>
  <c r="G68" i="10"/>
  <c r="CD68" i="10"/>
  <c r="H68" i="10"/>
  <c r="I68" i="10" s="1"/>
  <c r="R68" i="10"/>
  <c r="S68" i="10" s="1"/>
  <c r="M68" i="10"/>
  <c r="N68" i="10" s="1"/>
  <c r="Q68" i="10"/>
  <c r="BM19" i="10"/>
  <c r="BN19" i="10" s="1"/>
  <c r="BO19" i="10" s="1"/>
  <c r="BY19" i="10"/>
  <c r="BZ19" i="10" s="1"/>
  <c r="CA19" i="10" s="1"/>
  <c r="BJ19" i="10"/>
  <c r="BS19" i="10"/>
  <c r="BT19" i="10" s="1"/>
  <c r="BU19" i="10" s="1"/>
  <c r="P14" i="10"/>
  <c r="P13" i="10" s="1"/>
  <c r="L60" i="10"/>
  <c r="AM36" i="9"/>
  <c r="AM26" i="9"/>
  <c r="AM38" i="9" s="1"/>
  <c r="BI11" i="9"/>
  <c r="BJ11" i="9" s="1"/>
  <c r="AU11" i="9"/>
  <c r="AV11" i="9" s="1"/>
  <c r="BH11" i="9"/>
  <c r="AT11" i="9"/>
  <c r="AP11" i="9"/>
  <c r="AO19" i="9"/>
  <c r="BS31" i="10"/>
  <c r="BT31" i="10" s="1"/>
  <c r="BU31" i="10" s="1"/>
  <c r="BJ31" i="10"/>
  <c r="BY31" i="10"/>
  <c r="BZ31" i="10" s="1"/>
  <c r="CA31" i="10" s="1"/>
  <c r="BM31" i="10"/>
  <c r="BN31" i="10" s="1"/>
  <c r="BO31" i="10" s="1"/>
  <c r="BI30" i="10"/>
  <c r="BY77" i="10"/>
  <c r="BZ77" i="10" s="1"/>
  <c r="CA77" i="10" s="1"/>
  <c r="BS77" i="10"/>
  <c r="BT77" i="10" s="1"/>
  <c r="BU77" i="10" s="1"/>
  <c r="BM77" i="10"/>
  <c r="BN77" i="10" s="1"/>
  <c r="BO77" i="10" s="1"/>
  <c r="BJ77" i="10"/>
  <c r="AZ36" i="9"/>
  <c r="AZ26" i="9"/>
  <c r="AZ38" i="9" s="1"/>
  <c r="AC19" i="9"/>
  <c r="AB24" i="9"/>
  <c r="G36" i="9"/>
  <c r="G26" i="9"/>
  <c r="G38" i="9" s="1"/>
  <c r="BL31" i="10"/>
  <c r="BK30" i="10"/>
  <c r="BL30" i="10" s="1"/>
  <c r="AP42" i="10"/>
  <c r="AQ14" i="10"/>
  <c r="AX36" i="9"/>
  <c r="AX26" i="9"/>
  <c r="AX38" i="9" s="1"/>
  <c r="AI51" i="11"/>
  <c r="BL14" i="11"/>
  <c r="BK13" i="11"/>
  <c r="BL13" i="11" s="1"/>
  <c r="AR51" i="10"/>
  <c r="BD80" i="10"/>
  <c r="BQ51" i="11"/>
  <c r="BY82" i="10"/>
  <c r="BZ82" i="10" s="1"/>
  <c r="CA82" i="10" s="1"/>
  <c r="BJ82" i="10"/>
  <c r="BS82" i="10"/>
  <c r="BT82" i="10" s="1"/>
  <c r="BU82" i="10" s="1"/>
  <c r="BM82" i="10"/>
  <c r="BN82" i="10" s="1"/>
  <c r="BO82" i="10" s="1"/>
  <c r="L46" i="10"/>
  <c r="H46" i="10"/>
  <c r="I46" i="10" s="1"/>
  <c r="G46" i="10"/>
  <c r="Q46" i="10"/>
  <c r="M46" i="10"/>
  <c r="N46" i="10" s="1"/>
  <c r="CD46" i="10"/>
  <c r="R46" i="10"/>
  <c r="S46" i="10" s="1"/>
  <c r="BS57" i="10"/>
  <c r="BT57" i="10" s="1"/>
  <c r="BU57" i="10" s="1"/>
  <c r="BJ57" i="10"/>
  <c r="BM57" i="10"/>
  <c r="BN57" i="10" s="1"/>
  <c r="BO57" i="10" s="1"/>
  <c r="BY57" i="10"/>
  <c r="BZ57" i="10" s="1"/>
  <c r="CA57" i="10" s="1"/>
  <c r="BY64" i="11"/>
  <c r="BZ64" i="11" s="1"/>
  <c r="CA64" i="11" s="1"/>
  <c r="BS64" i="11"/>
  <c r="BT64" i="11" s="1"/>
  <c r="BU64" i="11" s="1"/>
  <c r="BJ64" i="11"/>
  <c r="BM64" i="11"/>
  <c r="BN64" i="11" s="1"/>
  <c r="BO64" i="11" s="1"/>
  <c r="BS34" i="11"/>
  <c r="BT34" i="11" s="1"/>
  <c r="BU34" i="11" s="1"/>
  <c r="BY34" i="11"/>
  <c r="BZ34" i="11" s="1"/>
  <c r="CA34" i="11" s="1"/>
  <c r="BM34" i="11"/>
  <c r="BN34" i="11" s="1"/>
  <c r="BO34" i="11" s="1"/>
  <c r="BJ34" i="11"/>
  <c r="M46" i="11"/>
  <c r="N46" i="11" s="1"/>
  <c r="L46" i="11"/>
  <c r="H46" i="11"/>
  <c r="I46" i="11" s="1"/>
  <c r="R46" i="11"/>
  <c r="S46" i="11" s="1"/>
  <c r="G46" i="11"/>
  <c r="Q46" i="11"/>
  <c r="AL21" i="10"/>
  <c r="AM21" i="10" s="1"/>
  <c r="AK21" i="10"/>
  <c r="Z21" i="10"/>
  <c r="AA21" i="10" s="1"/>
  <c r="AF21" i="10"/>
  <c r="AG21" i="10" s="1"/>
  <c r="V21" i="10"/>
  <c r="Y21" i="10"/>
  <c r="AE21" i="10"/>
  <c r="U20" i="10"/>
  <c r="U14" i="10" s="1"/>
  <c r="H80" i="10"/>
  <c r="I80" i="10" s="1"/>
  <c r="M80" i="10"/>
  <c r="N80" i="10" s="1"/>
  <c r="R80" i="10"/>
  <c r="S80" i="10" s="1"/>
  <c r="G80" i="10"/>
  <c r="CD80" i="10"/>
  <c r="Q80" i="10"/>
  <c r="L80" i="10"/>
  <c r="M77" i="10"/>
  <c r="N77" i="10" s="1"/>
  <c r="Q77" i="10"/>
  <c r="H77" i="10"/>
  <c r="I77" i="10" s="1"/>
  <c r="R77" i="10"/>
  <c r="S77" i="10" s="1"/>
  <c r="L77" i="10"/>
  <c r="G77" i="10"/>
  <c r="CD77" i="10"/>
  <c r="BY27" i="10"/>
  <c r="BZ27" i="10" s="1"/>
  <c r="CA27" i="10" s="1"/>
  <c r="BJ27" i="10"/>
  <c r="BS27" i="10"/>
  <c r="BT27" i="10" s="1"/>
  <c r="BU27" i="10" s="1"/>
  <c r="BM27" i="10"/>
  <c r="BN27" i="10" s="1"/>
  <c r="BO27" i="10" s="1"/>
  <c r="BE46" i="11"/>
  <c r="AT46" i="11"/>
  <c r="AU46" i="11" s="1"/>
  <c r="AS46" i="11"/>
  <c r="AZ46" i="11"/>
  <c r="BA46" i="11" s="1"/>
  <c r="AP46" i="11"/>
  <c r="AY46" i="11"/>
  <c r="BF46" i="11"/>
  <c r="BG46" i="11" s="1"/>
  <c r="AE68" i="10"/>
  <c r="V68" i="10"/>
  <c r="AK68" i="10"/>
  <c r="Z68" i="10"/>
  <c r="AA68" i="10" s="1"/>
  <c r="AF68" i="10"/>
  <c r="AG68" i="10" s="1"/>
  <c r="AL68" i="10"/>
  <c r="AM68" i="10" s="1"/>
  <c r="Y68" i="10"/>
  <c r="BS24" i="10"/>
  <c r="BT24" i="10" s="1"/>
  <c r="BU24" i="10" s="1"/>
  <c r="BJ24" i="10"/>
  <c r="BM24" i="10"/>
  <c r="BN24" i="10" s="1"/>
  <c r="BO24" i="10" s="1"/>
  <c r="BY24" i="10"/>
  <c r="BZ24" i="10" s="1"/>
  <c r="CA24" i="10" s="1"/>
  <c r="Q60" i="10"/>
  <c r="BY55" i="11" l="1"/>
  <c r="BZ55" i="11" s="1"/>
  <c r="CA55" i="11" s="1"/>
  <c r="BY57" i="11"/>
  <c r="BZ57" i="11" s="1"/>
  <c r="CA57" i="11" s="1"/>
  <c r="BY54" i="11"/>
  <c r="BZ54" i="11" s="1"/>
  <c r="CA54" i="11" s="1"/>
  <c r="BD36" i="11"/>
  <c r="W11" i="10"/>
  <c r="BY19" i="11"/>
  <c r="BZ19" i="11" s="1"/>
  <c r="CA19" i="11" s="1"/>
  <c r="BY18" i="11"/>
  <c r="BZ18" i="11" s="1"/>
  <c r="CA18" i="11" s="1"/>
  <c r="BY17" i="11"/>
  <c r="BZ17" i="11" s="1"/>
  <c r="CA17" i="11" s="1"/>
  <c r="BY66" i="11"/>
  <c r="BZ66" i="11" s="1"/>
  <c r="CA66" i="11" s="1"/>
  <c r="S146" i="12"/>
  <c r="S138" i="12"/>
  <c r="S139" i="12"/>
  <c r="X137" i="12"/>
  <c r="X139" i="12"/>
  <c r="X146" i="12"/>
  <c r="X138" i="12"/>
  <c r="V139" i="12"/>
  <c r="V138" i="12"/>
  <c r="V137" i="12"/>
  <c r="V146" i="12"/>
  <c r="Y135" i="12"/>
  <c r="W146" i="12"/>
  <c r="W138" i="12"/>
  <c r="W137" i="12"/>
  <c r="W139" i="12"/>
  <c r="Y103" i="12"/>
  <c r="Y110" i="12"/>
  <c r="Y101" i="12"/>
  <c r="Y102" i="12"/>
  <c r="AZ14" i="10"/>
  <c r="BA14" i="10" s="1"/>
  <c r="AY14" i="10"/>
  <c r="BF14" i="10"/>
  <c r="BG14" i="10" s="1"/>
  <c r="BE14" i="10"/>
  <c r="AT14" i="10"/>
  <c r="AU14" i="10" s="1"/>
  <c r="AS14" i="10"/>
  <c r="AO13" i="10"/>
  <c r="H51" i="10"/>
  <c r="I51" i="10" s="1"/>
  <c r="CD51" i="10"/>
  <c r="L51" i="10"/>
  <c r="G51" i="10"/>
  <c r="M51" i="10"/>
  <c r="N51" i="10" s="1"/>
  <c r="AP51" i="10"/>
  <c r="AE14" i="10"/>
  <c r="AF14" i="10"/>
  <c r="AG14" i="10" s="1"/>
  <c r="Z14" i="10"/>
  <c r="AA14" i="10" s="1"/>
  <c r="Y14" i="10"/>
  <c r="U13" i="10"/>
  <c r="L59" i="11"/>
  <c r="H59" i="11"/>
  <c r="I59" i="11" s="1"/>
  <c r="M59" i="11"/>
  <c r="N59" i="11" s="1"/>
  <c r="G59" i="11"/>
  <c r="BX69" i="11"/>
  <c r="BW68" i="11"/>
  <c r="BX68" i="11" s="1"/>
  <c r="BD21" i="11"/>
  <c r="BC20" i="11"/>
  <c r="AX88" i="11"/>
  <c r="AD88" i="11"/>
  <c r="BR88" i="11"/>
  <c r="AJ88" i="11"/>
  <c r="BD80" i="11"/>
  <c r="BW52" i="11"/>
  <c r="BX52" i="11" s="1"/>
  <c r="BX53" i="11"/>
  <c r="BW31" i="11"/>
  <c r="BX32" i="11"/>
  <c r="BL51" i="10"/>
  <c r="AE59" i="10"/>
  <c r="V59" i="10"/>
  <c r="Y59" i="10"/>
  <c r="AK59" i="10"/>
  <c r="Z59" i="10"/>
  <c r="AA59" i="10" s="1"/>
  <c r="AF59" i="10"/>
  <c r="AG59" i="10" s="1"/>
  <c r="AL59" i="10"/>
  <c r="AM59" i="10" s="1"/>
  <c r="AI13" i="11"/>
  <c r="AK13" i="11" s="1"/>
  <c r="BX80" i="10"/>
  <c r="BK14" i="10"/>
  <c r="R88" i="11"/>
  <c r="S88" i="11" s="1"/>
  <c r="BE40" i="11"/>
  <c r="BM42" i="11"/>
  <c r="BN42" i="11" s="1"/>
  <c r="BO42" i="11" s="1"/>
  <c r="BS42" i="11"/>
  <c r="BT42" i="11" s="1"/>
  <c r="BU42" i="11" s="1"/>
  <c r="BJ42" i="11"/>
  <c r="BY71" i="11"/>
  <c r="BZ71" i="11" s="1"/>
  <c r="CA71" i="11" s="1"/>
  <c r="BY52" i="10"/>
  <c r="BZ52" i="10" s="1"/>
  <c r="CA52" i="10" s="1"/>
  <c r="AL14" i="11"/>
  <c r="AM14" i="11" s="1"/>
  <c r="BW77" i="11"/>
  <c r="BX77" i="11" s="1"/>
  <c r="BX78" i="11"/>
  <c r="AX36" i="11"/>
  <c r="AD36" i="11"/>
  <c r="AJ36" i="11"/>
  <c r="BR36" i="11"/>
  <c r="BD52" i="11"/>
  <c r="BD31" i="11"/>
  <c r="BC30" i="11"/>
  <c r="BF30" i="11" s="1"/>
  <c r="BG30" i="11" s="1"/>
  <c r="AX68" i="11"/>
  <c r="AD68" i="11"/>
  <c r="BR68" i="11"/>
  <c r="AJ68" i="11"/>
  <c r="BS21" i="10"/>
  <c r="BT21" i="10" s="1"/>
  <c r="BU21" i="10" s="1"/>
  <c r="BI20" i="10"/>
  <c r="BM21" i="10"/>
  <c r="BN21" i="10" s="1"/>
  <c r="BO21" i="10" s="1"/>
  <c r="BJ21" i="10"/>
  <c r="BY21" i="10"/>
  <c r="BZ21" i="10" s="1"/>
  <c r="CA21" i="10" s="1"/>
  <c r="L20" i="10"/>
  <c r="R20" i="10"/>
  <c r="S20" i="10" s="1"/>
  <c r="G20" i="10"/>
  <c r="M20" i="10"/>
  <c r="N20" i="10" s="1"/>
  <c r="Q20" i="10"/>
  <c r="CD20" i="10"/>
  <c r="H20" i="10"/>
  <c r="I20" i="10" s="1"/>
  <c r="BC38" i="9"/>
  <c r="E14" i="10"/>
  <c r="AK51" i="11"/>
  <c r="AI14" i="10"/>
  <c r="E51" i="11"/>
  <c r="AP51" i="11" s="1"/>
  <c r="BF40" i="11"/>
  <c r="BG40" i="11" s="1"/>
  <c r="K24" i="9"/>
  <c r="AE19" i="9"/>
  <c r="AF19" i="9" s="1"/>
  <c r="AD19" i="9"/>
  <c r="L19" i="9"/>
  <c r="BE21" i="11"/>
  <c r="P51" i="10"/>
  <c r="Q51" i="10" s="1"/>
  <c r="AJ59" i="10"/>
  <c r="BE30" i="11"/>
  <c r="AT30" i="11"/>
  <c r="AU30" i="11" s="1"/>
  <c r="AS30" i="11"/>
  <c r="AZ30" i="11"/>
  <c r="BA30" i="11" s="1"/>
  <c r="AY30" i="11"/>
  <c r="AP30" i="11"/>
  <c r="AX14" i="10"/>
  <c r="AD40" i="11"/>
  <c r="AX40" i="11"/>
  <c r="AJ40" i="11"/>
  <c r="BR40" i="11"/>
  <c r="BM77" i="11"/>
  <c r="BN77" i="11" s="1"/>
  <c r="BO77" i="11" s="1"/>
  <c r="BY77" i="11"/>
  <c r="BZ77" i="11" s="1"/>
  <c r="CA77" i="11" s="1"/>
  <c r="BS77" i="11"/>
  <c r="BT77" i="11" s="1"/>
  <c r="BU77" i="11" s="1"/>
  <c r="BJ77" i="11"/>
  <c r="BE20" i="11"/>
  <c r="AT20" i="11"/>
  <c r="AU20" i="11" s="1"/>
  <c r="AS20" i="11"/>
  <c r="AY20" i="11"/>
  <c r="AP20" i="11"/>
  <c r="BF20" i="11"/>
  <c r="BG20" i="11" s="1"/>
  <c r="AZ20" i="11"/>
  <c r="BA20" i="11" s="1"/>
  <c r="AD42" i="11"/>
  <c r="AX42" i="11"/>
  <c r="AJ42" i="11"/>
  <c r="BR42" i="11"/>
  <c r="AD52" i="11"/>
  <c r="AX52" i="11"/>
  <c r="BR52" i="11"/>
  <c r="AJ52" i="11"/>
  <c r="P59" i="11"/>
  <c r="R59" i="11" s="1"/>
  <c r="S59" i="11" s="1"/>
  <c r="AD60" i="11"/>
  <c r="AX60" i="11"/>
  <c r="AJ60" i="11"/>
  <c r="BR60" i="11"/>
  <c r="BW60" i="11"/>
  <c r="BX61" i="11"/>
  <c r="BX41" i="11"/>
  <c r="BW40" i="11"/>
  <c r="BX40" i="11" s="1"/>
  <c r="BR59" i="10"/>
  <c r="BY68" i="11"/>
  <c r="BZ68" i="11" s="1"/>
  <c r="CA68" i="11" s="1"/>
  <c r="BM68" i="11"/>
  <c r="BN68" i="11" s="1"/>
  <c r="BO68" i="11" s="1"/>
  <c r="BJ68" i="11"/>
  <c r="BS68" i="11"/>
  <c r="BT68" i="11" s="1"/>
  <c r="BU68" i="11" s="1"/>
  <c r="BW59" i="10"/>
  <c r="BX59" i="10" s="1"/>
  <c r="BX60" i="10"/>
  <c r="AT51" i="11"/>
  <c r="AU51" i="11" s="1"/>
  <c r="AY51" i="11"/>
  <c r="AS51" i="11"/>
  <c r="AZ51" i="11"/>
  <c r="BA51" i="11" s="1"/>
  <c r="P30" i="11"/>
  <c r="AX31" i="11"/>
  <c r="AD31" i="11"/>
  <c r="BR31" i="11"/>
  <c r="AJ31" i="11"/>
  <c r="P14" i="11"/>
  <c r="AJ14" i="11" s="1"/>
  <c r="AX15" i="11"/>
  <c r="AD15" i="11"/>
  <c r="AJ15" i="11"/>
  <c r="BR15" i="11"/>
  <c r="BD60" i="11"/>
  <c r="BC59" i="11"/>
  <c r="BC51" i="11" s="1"/>
  <c r="BX37" i="11"/>
  <c r="BW36" i="11"/>
  <c r="BX36" i="11" s="1"/>
  <c r="AD46" i="11"/>
  <c r="AX46" i="11"/>
  <c r="BR46" i="11"/>
  <c r="AJ46" i="11"/>
  <c r="BQ11" i="11"/>
  <c r="U90" i="11"/>
  <c r="AF11" i="11"/>
  <c r="AG11" i="11" s="1"/>
  <c r="AE11" i="11"/>
  <c r="Y11" i="11"/>
  <c r="Z11" i="11"/>
  <c r="AA11" i="11" s="1"/>
  <c r="BM88" i="11"/>
  <c r="BN88" i="11" s="1"/>
  <c r="BO88" i="11" s="1"/>
  <c r="BS88" i="11"/>
  <c r="BT88" i="11" s="1"/>
  <c r="BU88" i="11" s="1"/>
  <c r="BJ88" i="11"/>
  <c r="BJ15" i="10"/>
  <c r="BS15" i="10"/>
  <c r="BT15" i="10" s="1"/>
  <c r="BU15" i="10" s="1"/>
  <c r="BI14" i="10"/>
  <c r="BY15" i="10"/>
  <c r="BZ15" i="10" s="1"/>
  <c r="CA15" i="10" s="1"/>
  <c r="BM15" i="10"/>
  <c r="BN15" i="10" s="1"/>
  <c r="BO15" i="10" s="1"/>
  <c r="AB36" i="9"/>
  <c r="AC36" i="9" s="1"/>
  <c r="AB26" i="9"/>
  <c r="AC24" i="9"/>
  <c r="AO24" i="9"/>
  <c r="BI19" i="9"/>
  <c r="BJ19" i="9" s="1"/>
  <c r="BH19" i="9"/>
  <c r="AP19" i="9"/>
  <c r="L20" i="11"/>
  <c r="M20" i="11"/>
  <c r="N20" i="11" s="1"/>
  <c r="R20" i="11"/>
  <c r="S20" i="11" s="1"/>
  <c r="H20" i="11"/>
  <c r="I20" i="11" s="1"/>
  <c r="Q20" i="11"/>
  <c r="G20" i="11"/>
  <c r="AD13" i="10"/>
  <c r="BM40" i="11"/>
  <c r="BN40" i="11" s="1"/>
  <c r="BO40" i="11" s="1"/>
  <c r="BY40" i="11"/>
  <c r="BZ40" i="11" s="1"/>
  <c r="CA40" i="11" s="1"/>
  <c r="BJ40" i="11"/>
  <c r="BS40" i="11"/>
  <c r="BT40" i="11" s="1"/>
  <c r="BU40" i="11" s="1"/>
  <c r="BM52" i="11"/>
  <c r="BN52" i="11" s="1"/>
  <c r="BO52" i="11" s="1"/>
  <c r="BY52" i="11"/>
  <c r="BZ52" i="11" s="1"/>
  <c r="CA52" i="11" s="1"/>
  <c r="BJ52" i="11"/>
  <c r="BS52" i="11"/>
  <c r="BT52" i="11" s="1"/>
  <c r="BU52" i="11" s="1"/>
  <c r="AR14" i="10"/>
  <c r="AQ13" i="10"/>
  <c r="AX13" i="10"/>
  <c r="BY88" i="10"/>
  <c r="BZ88" i="10" s="1"/>
  <c r="CA88" i="10" s="1"/>
  <c r="AD14" i="10"/>
  <c r="Z13" i="11"/>
  <c r="AA13" i="11" s="1"/>
  <c r="Y13" i="11"/>
  <c r="AE13" i="11"/>
  <c r="AF13" i="11"/>
  <c r="AG13" i="11" s="1"/>
  <c r="AL51" i="11"/>
  <c r="AM51" i="11" s="1"/>
  <c r="BD14" i="10"/>
  <c r="BC13" i="10"/>
  <c r="BY70" i="11"/>
  <c r="BZ70" i="11" s="1"/>
  <c r="CA70" i="11" s="1"/>
  <c r="BE42" i="11"/>
  <c r="BF24" i="9"/>
  <c r="BG19" i="9"/>
  <c r="BL51" i="11"/>
  <c r="BK11" i="11"/>
  <c r="BQ14" i="10"/>
  <c r="BM46" i="11"/>
  <c r="BN46" i="11" s="1"/>
  <c r="BO46" i="11" s="1"/>
  <c r="BJ46" i="11"/>
  <c r="BS46" i="11"/>
  <c r="BT46" i="11" s="1"/>
  <c r="BU46" i="11" s="1"/>
  <c r="U51" i="10"/>
  <c r="O13" i="9"/>
  <c r="N19" i="9"/>
  <c r="W90" i="10" s="1"/>
  <c r="AT59" i="11"/>
  <c r="AU59" i="11" s="1"/>
  <c r="AY59" i="11"/>
  <c r="AP59" i="11"/>
  <c r="AS59" i="11"/>
  <c r="BF59" i="11"/>
  <c r="BG59" i="11" s="1"/>
  <c r="BE59" i="11"/>
  <c r="AZ59" i="11"/>
  <c r="BA59" i="11" s="1"/>
  <c r="BF21" i="11"/>
  <c r="BG21" i="11" s="1"/>
  <c r="Q30" i="10"/>
  <c r="G30" i="10"/>
  <c r="M30" i="10"/>
  <c r="N30" i="10" s="1"/>
  <c r="H30" i="10"/>
  <c r="I30" i="10" s="1"/>
  <c r="R30" i="10"/>
  <c r="S30" i="10" s="1"/>
  <c r="CD30" i="10"/>
  <c r="L30" i="10"/>
  <c r="BY31" i="11"/>
  <c r="BZ31" i="11" s="1"/>
  <c r="CA31" i="11" s="1"/>
  <c r="BJ31" i="11"/>
  <c r="BM31" i="11"/>
  <c r="BN31" i="11" s="1"/>
  <c r="BO31" i="11" s="1"/>
  <c r="BS31" i="11"/>
  <c r="BT31" i="11" s="1"/>
  <c r="BU31" i="11" s="1"/>
  <c r="BI30" i="11"/>
  <c r="R31" i="11"/>
  <c r="S31" i="11" s="1"/>
  <c r="BX15" i="10"/>
  <c r="BW14" i="10"/>
  <c r="Q60" i="11"/>
  <c r="BX47" i="11"/>
  <c r="BW46" i="11"/>
  <c r="BX46" i="11" s="1"/>
  <c r="AD77" i="11"/>
  <c r="AX77" i="11"/>
  <c r="AJ77" i="11"/>
  <c r="BR77" i="11"/>
  <c r="BX16" i="11"/>
  <c r="BW15" i="11"/>
  <c r="BY15" i="11" s="1"/>
  <c r="BZ15" i="11" s="1"/>
  <c r="CA15" i="11" s="1"/>
  <c r="X11" i="10"/>
  <c r="BJ60" i="10"/>
  <c r="BS60" i="10"/>
  <c r="BT60" i="10" s="1"/>
  <c r="BU60" i="10" s="1"/>
  <c r="BM60" i="10"/>
  <c r="BN60" i="10" s="1"/>
  <c r="BO60" i="10" s="1"/>
  <c r="BY60" i="10"/>
  <c r="BZ60" i="10" s="1"/>
  <c r="CA60" i="10" s="1"/>
  <c r="BI59" i="10"/>
  <c r="BM60" i="11"/>
  <c r="BN60" i="11" s="1"/>
  <c r="BO60" i="11" s="1"/>
  <c r="BJ60" i="11"/>
  <c r="BI59" i="11"/>
  <c r="BI51" i="11" s="1"/>
  <c r="BY60" i="11"/>
  <c r="BZ60" i="11" s="1"/>
  <c r="CA60" i="11" s="1"/>
  <c r="BS60" i="11"/>
  <c r="BT60" i="11" s="1"/>
  <c r="BU60" i="11" s="1"/>
  <c r="BY28" i="11"/>
  <c r="BZ28" i="11" s="1"/>
  <c r="CA28" i="11" s="1"/>
  <c r="L59" i="10"/>
  <c r="R59" i="10"/>
  <c r="S59" i="10" s="1"/>
  <c r="G59" i="10"/>
  <c r="Q59" i="10"/>
  <c r="CD59" i="10"/>
  <c r="M59" i="10"/>
  <c r="N59" i="10" s="1"/>
  <c r="H59" i="10"/>
  <c r="I59" i="10" s="1"/>
  <c r="BY79" i="11"/>
  <c r="BZ79" i="11" s="1"/>
  <c r="CA79" i="11" s="1"/>
  <c r="L30" i="11"/>
  <c r="M30" i="11"/>
  <c r="N30" i="11" s="1"/>
  <c r="R30" i="11"/>
  <c r="S30" i="11" s="1"/>
  <c r="Q30" i="11"/>
  <c r="H30" i="11"/>
  <c r="I30" i="11" s="1"/>
  <c r="G30" i="11"/>
  <c r="BF80" i="11"/>
  <c r="BG80" i="11" s="1"/>
  <c r="P51" i="11"/>
  <c r="AD80" i="11"/>
  <c r="BR80" i="11"/>
  <c r="AX80" i="11"/>
  <c r="AJ80" i="11"/>
  <c r="BW88" i="11"/>
  <c r="BX88" i="11" s="1"/>
  <c r="BX85" i="11"/>
  <c r="P20" i="11"/>
  <c r="AD21" i="11"/>
  <c r="AX21" i="11"/>
  <c r="AJ21" i="11"/>
  <c r="BR21" i="11"/>
  <c r="BS15" i="11"/>
  <c r="BT15" i="11" s="1"/>
  <c r="BU15" i="11" s="1"/>
  <c r="BI14" i="11"/>
  <c r="BM15" i="11"/>
  <c r="BN15" i="11" s="1"/>
  <c r="BO15" i="11" s="1"/>
  <c r="BJ15" i="11"/>
  <c r="AE20" i="10"/>
  <c r="V20" i="10"/>
  <c r="AF20" i="10"/>
  <c r="AG20" i="10" s="1"/>
  <c r="Z20" i="10"/>
  <c r="AA20" i="10" s="1"/>
  <c r="AL20" i="10"/>
  <c r="AM20" i="10" s="1"/>
  <c r="Y20" i="10"/>
  <c r="AK20" i="10"/>
  <c r="BS36" i="11"/>
  <c r="BT36" i="11" s="1"/>
  <c r="BU36" i="11" s="1"/>
  <c r="BM36" i="11"/>
  <c r="BN36" i="11" s="1"/>
  <c r="BO36" i="11" s="1"/>
  <c r="BJ36" i="11"/>
  <c r="BY36" i="11"/>
  <c r="BZ36" i="11" s="1"/>
  <c r="CA36" i="11" s="1"/>
  <c r="BD59" i="10"/>
  <c r="BJ30" i="10"/>
  <c r="BY30" i="10"/>
  <c r="BZ30" i="10" s="1"/>
  <c r="CA30" i="10" s="1"/>
  <c r="BS30" i="10"/>
  <c r="BT30" i="10" s="1"/>
  <c r="BU30" i="10" s="1"/>
  <c r="BM30" i="10"/>
  <c r="BN30" i="10" s="1"/>
  <c r="BO30" i="10" s="1"/>
  <c r="AY20" i="10"/>
  <c r="AS20" i="10"/>
  <c r="AT20" i="10"/>
  <c r="AU20" i="10" s="1"/>
  <c r="BF20" i="10"/>
  <c r="BG20" i="10" s="1"/>
  <c r="BE20" i="10"/>
  <c r="AP20" i="10"/>
  <c r="AZ20" i="10"/>
  <c r="BA20" i="10" s="1"/>
  <c r="Y38" i="9"/>
  <c r="BM80" i="11"/>
  <c r="BN80" i="11" s="1"/>
  <c r="BO80" i="11" s="1"/>
  <c r="BS80" i="11"/>
  <c r="BT80" i="11" s="1"/>
  <c r="BU80" i="11" s="1"/>
  <c r="BJ80" i="11"/>
  <c r="BY38" i="11"/>
  <c r="BZ38" i="11" s="1"/>
  <c r="CA38" i="11" s="1"/>
  <c r="BY53" i="11"/>
  <c r="BZ53" i="11" s="1"/>
  <c r="CA53" i="11" s="1"/>
  <c r="BF36" i="11"/>
  <c r="BG36" i="11" s="1"/>
  <c r="Q88" i="11"/>
  <c r="BY21" i="11"/>
  <c r="BZ21" i="11" s="1"/>
  <c r="CA21" i="11" s="1"/>
  <c r="BI20" i="11"/>
  <c r="BS21" i="11"/>
  <c r="BT21" i="11" s="1"/>
  <c r="BU21" i="11" s="1"/>
  <c r="BM21" i="11"/>
  <c r="BN21" i="11" s="1"/>
  <c r="BO21" i="11" s="1"/>
  <c r="BJ21" i="11"/>
  <c r="BY32" i="11"/>
  <c r="BZ32" i="11" s="1"/>
  <c r="CA32" i="11" s="1"/>
  <c r="Q31" i="11"/>
  <c r="E14" i="11"/>
  <c r="AO14" i="11"/>
  <c r="AS13" i="9"/>
  <c r="AR19" i="9"/>
  <c r="BX43" i="11"/>
  <c r="BW42" i="11"/>
  <c r="BX42" i="11" s="1"/>
  <c r="BD88" i="11"/>
  <c r="BW21" i="11"/>
  <c r="BX22" i="11"/>
  <c r="BW80" i="11"/>
  <c r="BX81" i="11"/>
  <c r="BD46" i="11"/>
  <c r="BC14" i="11"/>
  <c r="BD14" i="11" s="1"/>
  <c r="BD15" i="11"/>
  <c r="AL13" i="11" l="1"/>
  <c r="AM13" i="11" s="1"/>
  <c r="Y138" i="12"/>
  <c r="Y137" i="12"/>
  <c r="Y146" i="12"/>
  <c r="Y139" i="12"/>
  <c r="BD51" i="11"/>
  <c r="BF51" i="11"/>
  <c r="BG51" i="11" s="1"/>
  <c r="BE51" i="11"/>
  <c r="AR24" i="9"/>
  <c r="AR42" i="9"/>
  <c r="AS42" i="9" s="1"/>
  <c r="AS19" i="9"/>
  <c r="W90" i="11"/>
  <c r="BX80" i="11"/>
  <c r="AX51" i="11"/>
  <c r="AD51" i="11"/>
  <c r="AK51" i="10"/>
  <c r="Z51" i="10"/>
  <c r="AA51" i="10" s="1"/>
  <c r="AL51" i="10"/>
  <c r="AM51" i="10" s="1"/>
  <c r="AE51" i="10"/>
  <c r="Y51" i="10"/>
  <c r="AF51" i="10"/>
  <c r="AG51" i="10" s="1"/>
  <c r="V51" i="10"/>
  <c r="U11" i="10"/>
  <c r="AD20" i="11"/>
  <c r="AX20" i="11"/>
  <c r="BR20" i="11"/>
  <c r="AJ20" i="11"/>
  <c r="BF36" i="9"/>
  <c r="BG36" i="9" s="1"/>
  <c r="BG24" i="9"/>
  <c r="BF26" i="9"/>
  <c r="AO26" i="9"/>
  <c r="BI24" i="9"/>
  <c r="BJ24" i="9" s="1"/>
  <c r="AO36" i="9"/>
  <c r="AU24" i="9"/>
  <c r="AV24" i="9" s="1"/>
  <c r="BH24" i="9"/>
  <c r="AP24" i="9"/>
  <c r="AT24" i="9"/>
  <c r="L14" i="10"/>
  <c r="H14" i="10"/>
  <c r="I14" i="10" s="1"/>
  <c r="R14" i="10"/>
  <c r="S14" i="10" s="1"/>
  <c r="G14" i="10"/>
  <c r="CD14" i="10"/>
  <c r="Q14" i="10"/>
  <c r="M14" i="10"/>
  <c r="N14" i="10" s="1"/>
  <c r="E13" i="10"/>
  <c r="BW30" i="11"/>
  <c r="BX30" i="11" s="1"/>
  <c r="BX31" i="11"/>
  <c r="R51" i="10"/>
  <c r="S51" i="10" s="1"/>
  <c r="AZ13" i="10"/>
  <c r="BA13" i="10" s="1"/>
  <c r="BE13" i="10"/>
  <c r="AT13" i="10"/>
  <c r="AU13" i="10" s="1"/>
  <c r="AS13" i="10"/>
  <c r="AP13" i="10"/>
  <c r="AY13" i="10"/>
  <c r="BF13" i="10"/>
  <c r="BG13" i="10" s="1"/>
  <c r="AO11" i="10"/>
  <c r="E41" i="13" s="1"/>
  <c r="BM51" i="11"/>
  <c r="BN51" i="11" s="1"/>
  <c r="BO51" i="11" s="1"/>
  <c r="BJ51" i="11"/>
  <c r="BS51" i="11"/>
  <c r="BT51" i="11" s="1"/>
  <c r="BU51" i="11" s="1"/>
  <c r="BJ14" i="11"/>
  <c r="BS14" i="11"/>
  <c r="BT14" i="11" s="1"/>
  <c r="BU14" i="11" s="1"/>
  <c r="BM14" i="11"/>
  <c r="BN14" i="11" s="1"/>
  <c r="BO14" i="11" s="1"/>
  <c r="BI13" i="11"/>
  <c r="BI11" i="11" s="1"/>
  <c r="BS30" i="11"/>
  <c r="BT30" i="11" s="1"/>
  <c r="BU30" i="11" s="1"/>
  <c r="BM30" i="11"/>
  <c r="BN30" i="11" s="1"/>
  <c r="BO30" i="11" s="1"/>
  <c r="BJ30" i="11"/>
  <c r="AR13" i="10"/>
  <c r="AQ11" i="10"/>
  <c r="AX30" i="11"/>
  <c r="AD30" i="11"/>
  <c r="BR30" i="11"/>
  <c r="AJ30" i="11"/>
  <c r="P19" i="9"/>
  <c r="BY42" i="11"/>
  <c r="BZ42" i="11" s="1"/>
  <c r="CA42" i="11" s="1"/>
  <c r="BD20" i="11"/>
  <c r="V14" i="10"/>
  <c r="BM59" i="11"/>
  <c r="BN59" i="11" s="1"/>
  <c r="BO59" i="11" s="1"/>
  <c r="BJ59" i="11"/>
  <c r="BS59" i="11"/>
  <c r="BT59" i="11" s="1"/>
  <c r="BU59" i="11" s="1"/>
  <c r="BY88" i="11"/>
  <c r="BZ88" i="11" s="1"/>
  <c r="CA88" i="11" s="1"/>
  <c r="AD59" i="11"/>
  <c r="AX59" i="11"/>
  <c r="BR59" i="11"/>
  <c r="AJ59" i="11"/>
  <c r="K26" i="9"/>
  <c r="AE24" i="9"/>
  <c r="AF24" i="9" s="1"/>
  <c r="K36" i="9"/>
  <c r="Q24" i="9"/>
  <c r="R24" i="9" s="1"/>
  <c r="AD24" i="9"/>
  <c r="L24" i="9"/>
  <c r="BD30" i="11"/>
  <c r="BM20" i="11"/>
  <c r="BN20" i="11" s="1"/>
  <c r="BO20" i="11" s="1"/>
  <c r="BS20" i="11"/>
  <c r="BT20" i="11" s="1"/>
  <c r="BU20" i="11" s="1"/>
  <c r="BJ20" i="11"/>
  <c r="BC13" i="11"/>
  <c r="BY46" i="11"/>
  <c r="BZ46" i="11" s="1"/>
  <c r="CA46" i="11" s="1"/>
  <c r="AT19" i="9"/>
  <c r="AB38" i="9"/>
  <c r="AC38" i="9" s="1"/>
  <c r="AC26" i="9"/>
  <c r="P11" i="10"/>
  <c r="AX51" i="10"/>
  <c r="AD51" i="10"/>
  <c r="BD51" i="10"/>
  <c r="Y13" i="10"/>
  <c r="AF13" i="10"/>
  <c r="AG13" i="10" s="1"/>
  <c r="V13" i="10"/>
  <c r="AE13" i="10"/>
  <c r="Z13" i="10"/>
  <c r="AA13" i="10" s="1"/>
  <c r="BY80" i="11"/>
  <c r="BZ80" i="11" s="1"/>
  <c r="CA80" i="11" s="1"/>
  <c r="BX15" i="11"/>
  <c r="BR14" i="10"/>
  <c r="BQ13" i="10"/>
  <c r="BD13" i="10"/>
  <c r="BC11" i="10"/>
  <c r="T41" i="13" s="1"/>
  <c r="AU19" i="9"/>
  <c r="AV19" i="9" s="1"/>
  <c r="AD14" i="11"/>
  <c r="AX14" i="11"/>
  <c r="BR14" i="11"/>
  <c r="BJ20" i="10"/>
  <c r="BY20" i="10"/>
  <c r="BZ20" i="10" s="1"/>
  <c r="CA20" i="10" s="1"/>
  <c r="BS20" i="10"/>
  <c r="BT20" i="10" s="1"/>
  <c r="BU20" i="10" s="1"/>
  <c r="BM20" i="10"/>
  <c r="BN20" i="10" s="1"/>
  <c r="BO20" i="10" s="1"/>
  <c r="BL14" i="10"/>
  <c r="BK13" i="10"/>
  <c r="P13" i="11"/>
  <c r="AJ13" i="11" s="1"/>
  <c r="BW59" i="11"/>
  <c r="BX59" i="11" s="1"/>
  <c r="BX60" i="11"/>
  <c r="R51" i="11"/>
  <c r="S51" i="11" s="1"/>
  <c r="H51" i="11"/>
  <c r="I51" i="11" s="1"/>
  <c r="G51" i="11"/>
  <c r="L51" i="11"/>
  <c r="Q51" i="11"/>
  <c r="M51" i="11"/>
  <c r="N51" i="11" s="1"/>
  <c r="E11" i="11"/>
  <c r="V51" i="11"/>
  <c r="AI11" i="11"/>
  <c r="Q14" i="11"/>
  <c r="G14" i="11"/>
  <c r="L14" i="11"/>
  <c r="R14" i="11"/>
  <c r="S14" i="11" s="1"/>
  <c r="M14" i="11"/>
  <c r="N14" i="11" s="1"/>
  <c r="H14" i="11"/>
  <c r="I14" i="11" s="1"/>
  <c r="E13" i="11"/>
  <c r="V14" i="11"/>
  <c r="BJ59" i="10"/>
  <c r="BS59" i="10"/>
  <c r="BT59" i="10" s="1"/>
  <c r="BU59" i="10" s="1"/>
  <c r="BM59" i="10"/>
  <c r="BN59" i="10" s="1"/>
  <c r="BO59" i="10" s="1"/>
  <c r="BY59" i="10"/>
  <c r="BZ59" i="10" s="1"/>
  <c r="CA59" i="10" s="1"/>
  <c r="BI51" i="10"/>
  <c r="N42" i="9"/>
  <c r="O42" i="9" s="1"/>
  <c r="N24" i="9"/>
  <c r="O19" i="9"/>
  <c r="BK90" i="11"/>
  <c r="BL11" i="11"/>
  <c r="BW20" i="11"/>
  <c r="BX20" i="11" s="1"/>
  <c r="BX21" i="11"/>
  <c r="BX14" i="10"/>
  <c r="BW13" i="10"/>
  <c r="BX13" i="10" s="1"/>
  <c r="BD59" i="11"/>
  <c r="Q19" i="9"/>
  <c r="R19" i="9" s="1"/>
  <c r="AJ14" i="10"/>
  <c r="AI13" i="10"/>
  <c r="AJ51" i="10"/>
  <c r="AJ51" i="11"/>
  <c r="Q59" i="11"/>
  <c r="AK14" i="10"/>
  <c r="BR51" i="10"/>
  <c r="AP14" i="10"/>
  <c r="AS14" i="11"/>
  <c r="BF14" i="11"/>
  <c r="BG14" i="11" s="1"/>
  <c r="AZ14" i="11"/>
  <c r="BA14" i="11" s="1"/>
  <c r="AT14" i="11"/>
  <c r="AU14" i="11" s="1"/>
  <c r="AP14" i="11"/>
  <c r="BE14" i="11"/>
  <c r="AY14" i="11"/>
  <c r="AO13" i="11"/>
  <c r="BM14" i="10"/>
  <c r="BN14" i="10" s="1"/>
  <c r="BO14" i="10" s="1"/>
  <c r="BJ14" i="10"/>
  <c r="BS14" i="10"/>
  <c r="BT14" i="10" s="1"/>
  <c r="BU14" i="10" s="1"/>
  <c r="BY14" i="10"/>
  <c r="BZ14" i="10" s="1"/>
  <c r="CA14" i="10" s="1"/>
  <c r="BI13" i="10"/>
  <c r="BR51" i="11"/>
  <c r="BW51" i="10"/>
  <c r="AL14" i="10"/>
  <c r="AM14" i="10" s="1"/>
  <c r="H41" i="13" l="1"/>
  <c r="K41" i="13" s="1"/>
  <c r="E40" i="13"/>
  <c r="H40" i="13" s="1"/>
  <c r="E42" i="13"/>
  <c r="H42" i="13" s="1"/>
  <c r="Y41" i="13"/>
  <c r="AB41" i="13" s="1"/>
  <c r="T40" i="13"/>
  <c r="Y40" i="13" s="1"/>
  <c r="T42" i="13"/>
  <c r="Y42" i="13" s="1"/>
  <c r="AS13" i="11"/>
  <c r="BF13" i="11"/>
  <c r="BG13" i="11" s="1"/>
  <c r="AY13" i="11"/>
  <c r="AT13" i="11"/>
  <c r="AU13" i="11" s="1"/>
  <c r="AZ13" i="11"/>
  <c r="BA13" i="11" s="1"/>
  <c r="AP13" i="11"/>
  <c r="BE13" i="11"/>
  <c r="AO11" i="11"/>
  <c r="AI41" i="13" s="1"/>
  <c r="N26" i="9"/>
  <c r="O26" i="9" s="1"/>
  <c r="O24" i="9"/>
  <c r="N36" i="9"/>
  <c r="Q13" i="11"/>
  <c r="G13" i="11"/>
  <c r="M13" i="11"/>
  <c r="N13" i="11" s="1"/>
  <c r="L13" i="11"/>
  <c r="R13" i="11"/>
  <c r="S13" i="11" s="1"/>
  <c r="H13" i="11"/>
  <c r="I13" i="11" s="1"/>
  <c r="V13" i="11"/>
  <c r="AE26" i="9"/>
  <c r="AF26" i="9" s="1"/>
  <c r="P26" i="9"/>
  <c r="K38" i="9"/>
  <c r="AD26" i="9"/>
  <c r="Q26" i="9"/>
  <c r="R26" i="9" s="1"/>
  <c r="L26" i="9"/>
  <c r="BJ13" i="11"/>
  <c r="BM13" i="11"/>
  <c r="BN13" i="11" s="1"/>
  <c r="BO13" i="11" s="1"/>
  <c r="BS13" i="11"/>
  <c r="BT13" i="11" s="1"/>
  <c r="BU13" i="11" s="1"/>
  <c r="BG26" i="9"/>
  <c r="BF38" i="9"/>
  <c r="BG38" i="9" s="1"/>
  <c r="AT36" i="9"/>
  <c r="BI36" i="9"/>
  <c r="AP36" i="9"/>
  <c r="BH36" i="9"/>
  <c r="E90" i="11"/>
  <c r="M11" i="11"/>
  <c r="N11" i="11" s="1"/>
  <c r="L11" i="11"/>
  <c r="G11" i="11"/>
  <c r="H11" i="11"/>
  <c r="I11" i="11" s="1"/>
  <c r="V11" i="11"/>
  <c r="BS51" i="10"/>
  <c r="BT51" i="10" s="1"/>
  <c r="BU51" i="10" s="1"/>
  <c r="BJ51" i="10"/>
  <c r="BM51" i="10"/>
  <c r="BN51" i="10" s="1"/>
  <c r="BO51" i="10" s="1"/>
  <c r="BY51" i="10"/>
  <c r="BZ51" i="10" s="1"/>
  <c r="CA51" i="10" s="1"/>
  <c r="BI11" i="10"/>
  <c r="AX13" i="11"/>
  <c r="AD13" i="11"/>
  <c r="BR13" i="11"/>
  <c r="BW14" i="11"/>
  <c r="AQ90" i="10"/>
  <c r="AR11" i="10"/>
  <c r="AS11" i="10"/>
  <c r="BF11" i="10"/>
  <c r="BG11" i="10" s="1"/>
  <c r="BE11" i="10"/>
  <c r="AT11" i="10"/>
  <c r="AU11" i="10" s="1"/>
  <c r="AZ11" i="10"/>
  <c r="BA11" i="10" s="1"/>
  <c r="E41" i="9"/>
  <c r="AY11" i="10"/>
  <c r="AJ13" i="10"/>
  <c r="AI11" i="10"/>
  <c r="BS13" i="10"/>
  <c r="BT13" i="10" s="1"/>
  <c r="BU13" i="10" s="1"/>
  <c r="BJ13" i="10"/>
  <c r="BY13" i="10"/>
  <c r="BZ13" i="10" s="1"/>
  <c r="CA13" i="10" s="1"/>
  <c r="BM13" i="10"/>
  <c r="BN13" i="10" s="1"/>
  <c r="BO13" i="10" s="1"/>
  <c r="BL13" i="10"/>
  <c r="BK11" i="10"/>
  <c r="BD13" i="11"/>
  <c r="AU26" i="9"/>
  <c r="AV26" i="9" s="1"/>
  <c r="AT26" i="9"/>
  <c r="AO38" i="9"/>
  <c r="BI26" i="9"/>
  <c r="BJ26" i="9" s="1"/>
  <c r="BH26" i="9"/>
  <c r="AP26" i="9"/>
  <c r="Z11" i="10"/>
  <c r="AA11" i="10" s="1"/>
  <c r="U90" i="10"/>
  <c r="AL11" i="10"/>
  <c r="AM11" i="10" s="1"/>
  <c r="AK11" i="10"/>
  <c r="Y11" i="10"/>
  <c r="AF11" i="10"/>
  <c r="AG11" i="10" s="1"/>
  <c r="AE11" i="10"/>
  <c r="AR26" i="9"/>
  <c r="AS26" i="9" s="1"/>
  <c r="AS24" i="9"/>
  <c r="AR36" i="9"/>
  <c r="AU36" i="9" s="1"/>
  <c r="BD11" i="10"/>
  <c r="T41" i="9"/>
  <c r="AK13" i="10"/>
  <c r="Q36" i="9"/>
  <c r="P36" i="9"/>
  <c r="AE36" i="9"/>
  <c r="L36" i="9"/>
  <c r="AD36" i="9"/>
  <c r="BM11" i="11"/>
  <c r="BN11" i="11" s="1"/>
  <c r="BO11" i="11" s="1"/>
  <c r="BJ11" i="11"/>
  <c r="BS11" i="11"/>
  <c r="BT11" i="11" s="1"/>
  <c r="BU11" i="11" s="1"/>
  <c r="M13" i="10"/>
  <c r="N13" i="10" s="1"/>
  <c r="L13" i="10"/>
  <c r="H13" i="10"/>
  <c r="I13" i="10" s="1"/>
  <c r="R13" i="10"/>
  <c r="S13" i="10" s="1"/>
  <c r="G13" i="10"/>
  <c r="CD13" i="10"/>
  <c r="Q13" i="10"/>
  <c r="E11" i="10"/>
  <c r="V11" i="10" s="1"/>
  <c r="P11" i="11"/>
  <c r="Q11" i="11" s="1"/>
  <c r="AL13" i="10"/>
  <c r="AM13" i="10" s="1"/>
  <c r="P90" i="10"/>
  <c r="AD11" i="10"/>
  <c r="AX11" i="10"/>
  <c r="BW51" i="11"/>
  <c r="BC11" i="11"/>
  <c r="AX41" i="13" s="1"/>
  <c r="BX51" i="10"/>
  <c r="BW11" i="10"/>
  <c r="AI90" i="11"/>
  <c r="AL11" i="11"/>
  <c r="AM11" i="11" s="1"/>
  <c r="AK11" i="11"/>
  <c r="BR13" i="10"/>
  <c r="BQ11" i="10"/>
  <c r="BR11" i="10" s="1"/>
  <c r="BY20" i="11"/>
  <c r="BZ20" i="11" s="1"/>
  <c r="CA20" i="11" s="1"/>
  <c r="P24" i="9"/>
  <c r="BY59" i="11"/>
  <c r="BZ59" i="11" s="1"/>
  <c r="CA59" i="11" s="1"/>
  <c r="BY30" i="11"/>
  <c r="BZ30" i="11" s="1"/>
  <c r="CA30" i="11" s="1"/>
  <c r="AP11" i="10" l="1"/>
  <c r="AB40" i="13"/>
  <c r="AC40" i="13" s="1"/>
  <c r="AC41" i="13"/>
  <c r="AB42" i="13"/>
  <c r="AC42" i="13" s="1"/>
  <c r="L41" i="13"/>
  <c r="AE41" i="13"/>
  <c r="AD41" i="13"/>
  <c r="Q41" i="13"/>
  <c r="P41" i="13"/>
  <c r="K40" i="13"/>
  <c r="K42" i="13"/>
  <c r="AJ11" i="11"/>
  <c r="AL41" i="13"/>
  <c r="AO41" i="13" s="1"/>
  <c r="AI40" i="13"/>
  <c r="AL40" i="13" s="1"/>
  <c r="AI42" i="13"/>
  <c r="AL42" i="13" s="1"/>
  <c r="BC41" i="13"/>
  <c r="BF41" i="13" s="1"/>
  <c r="AX40" i="13"/>
  <c r="BC40" i="13" s="1"/>
  <c r="BF40" i="13" s="1"/>
  <c r="BG40" i="13" s="1"/>
  <c r="AX42" i="13"/>
  <c r="BC42" i="13" s="1"/>
  <c r="BX14" i="11"/>
  <c r="BW13" i="11"/>
  <c r="BW11" i="11" s="1"/>
  <c r="BY14" i="11"/>
  <c r="BZ14" i="11" s="1"/>
  <c r="CA14" i="11" s="1"/>
  <c r="BX11" i="10"/>
  <c r="BY11" i="10"/>
  <c r="BZ11" i="10" s="1"/>
  <c r="CA11" i="10" s="1"/>
  <c r="BM11" i="10"/>
  <c r="BN11" i="10" s="1"/>
  <c r="BO11" i="10" s="1"/>
  <c r="BJ11" i="10"/>
  <c r="BS11" i="10"/>
  <c r="BT11" i="10" s="1"/>
  <c r="BU11" i="10" s="1"/>
  <c r="AY11" i="11"/>
  <c r="AP11" i="11"/>
  <c r="AS11" i="11"/>
  <c r="AT11" i="11"/>
  <c r="AU11" i="11" s="1"/>
  <c r="AZ11" i="11"/>
  <c r="BA11" i="11" s="1"/>
  <c r="BF11" i="11"/>
  <c r="BG11" i="11" s="1"/>
  <c r="BE11" i="11"/>
  <c r="AI41" i="9"/>
  <c r="Q11" i="10"/>
  <c r="G11" i="10"/>
  <c r="E90" i="10"/>
  <c r="M11" i="10"/>
  <c r="N11" i="10" s="1"/>
  <c r="L11" i="10"/>
  <c r="H11" i="10"/>
  <c r="I11" i="10" s="1"/>
  <c r="CD11" i="10"/>
  <c r="R11" i="10"/>
  <c r="S11" i="10" s="1"/>
  <c r="BK90" i="10"/>
  <c r="BL11" i="10"/>
  <c r="P90" i="11"/>
  <c r="AX11" i="11"/>
  <c r="AD11" i="11"/>
  <c r="BR11" i="11"/>
  <c r="BD11" i="11"/>
  <c r="AX41" i="9"/>
  <c r="H41" i="9"/>
  <c r="K41" i="9" s="1"/>
  <c r="E40" i="9"/>
  <c r="H40" i="9" s="1"/>
  <c r="E42" i="9"/>
  <c r="H42" i="9" s="1"/>
  <c r="P38" i="9"/>
  <c r="AE38" i="9"/>
  <c r="AF38" i="9" s="1"/>
  <c r="AD38" i="9"/>
  <c r="L38" i="9"/>
  <c r="AU38" i="9"/>
  <c r="AV38" i="9" s="1"/>
  <c r="BI38" i="9"/>
  <c r="BJ38" i="9" s="1"/>
  <c r="BH38" i="9"/>
  <c r="AP38" i="9"/>
  <c r="O36" i="9"/>
  <c r="N38" i="9"/>
  <c r="O38" i="9" s="1"/>
  <c r="Y41" i="9"/>
  <c r="AB41" i="9" s="1"/>
  <c r="T40" i="9"/>
  <c r="Y40" i="9" s="1"/>
  <c r="T42" i="9"/>
  <c r="Y42" i="9" s="1"/>
  <c r="BX51" i="11"/>
  <c r="BY51" i="11"/>
  <c r="BZ51" i="11" s="1"/>
  <c r="CA51" i="11" s="1"/>
  <c r="AR38" i="9"/>
  <c r="AS38" i="9" s="1"/>
  <c r="AS36" i="9"/>
  <c r="AI90" i="10"/>
  <c r="AJ11" i="10"/>
  <c r="R11" i="11"/>
  <c r="S11" i="11" s="1"/>
  <c r="L42" i="13" l="1"/>
  <c r="Q42" i="13"/>
  <c r="R42" i="13" s="1"/>
  <c r="AD42" i="13"/>
  <c r="P42" i="13"/>
  <c r="AE42" i="13"/>
  <c r="AF42" i="13" s="1"/>
  <c r="P40" i="13"/>
  <c r="AE40" i="13"/>
  <c r="AD40" i="13"/>
  <c r="Q40" i="13"/>
  <c r="L40" i="13"/>
  <c r="AP41" i="13"/>
  <c r="BI41" i="13"/>
  <c r="BH41" i="13"/>
  <c r="AO40" i="13"/>
  <c r="AU41" i="13"/>
  <c r="AT41" i="13"/>
  <c r="AO42" i="13"/>
  <c r="BG41" i="13"/>
  <c r="BF42" i="13"/>
  <c r="BG42" i="13" s="1"/>
  <c r="BX11" i="11"/>
  <c r="BY11" i="11"/>
  <c r="BZ11" i="11" s="1"/>
  <c r="CA11" i="11" s="1"/>
  <c r="Q38" i="9"/>
  <c r="R38" i="9" s="1"/>
  <c r="AT38" i="9"/>
  <c r="AE41" i="9"/>
  <c r="AD41" i="9"/>
  <c r="L41" i="9"/>
  <c r="Q41" i="9"/>
  <c r="P41" i="9"/>
  <c r="K40" i="9"/>
  <c r="K42" i="9"/>
  <c r="AO90" i="10"/>
  <c r="AC41" i="9"/>
  <c r="AB40" i="9"/>
  <c r="AC40" i="9" s="1"/>
  <c r="AB42" i="9"/>
  <c r="BC90" i="10"/>
  <c r="BC41" i="9"/>
  <c r="BF41" i="9" s="1"/>
  <c r="AX40" i="9"/>
  <c r="BC40" i="9" s="1"/>
  <c r="BF40" i="9" s="1"/>
  <c r="BG40" i="9" s="1"/>
  <c r="AX42" i="9"/>
  <c r="BC42" i="9" s="1"/>
  <c r="AL41" i="9"/>
  <c r="AO41" i="9" s="1"/>
  <c r="AI40" i="9"/>
  <c r="AL40" i="9" s="1"/>
  <c r="AI42" i="9"/>
  <c r="AL42" i="9" s="1"/>
  <c r="BX13" i="11"/>
  <c r="BY13" i="11"/>
  <c r="BZ13" i="11" s="1"/>
  <c r="CA13" i="11" s="1"/>
  <c r="BI42" i="13" l="1"/>
  <c r="BJ42" i="13" s="1"/>
  <c r="BH42" i="13"/>
  <c r="AT42" i="13"/>
  <c r="AU42" i="13"/>
  <c r="AV42" i="13" s="1"/>
  <c r="AP42" i="13"/>
  <c r="AP40" i="13"/>
  <c r="BH40" i="13"/>
  <c r="AU40" i="13"/>
  <c r="AT40" i="13"/>
  <c r="BI40" i="13"/>
  <c r="AC42" i="9"/>
  <c r="BW90" i="10"/>
  <c r="AE42" i="9"/>
  <c r="AF42" i="9" s="1"/>
  <c r="AD42" i="9"/>
  <c r="L42" i="9"/>
  <c r="Q42" i="9"/>
  <c r="R42" i="9" s="1"/>
  <c r="P42" i="9"/>
  <c r="BI90" i="10"/>
  <c r="BG41" i="9"/>
  <c r="BF42" i="9"/>
  <c r="BC90" i="11"/>
  <c r="Q40" i="9"/>
  <c r="P40" i="9"/>
  <c r="AE40" i="9"/>
  <c r="AD40" i="9"/>
  <c r="L40" i="9"/>
  <c r="AU41" i="9"/>
  <c r="AT41" i="9"/>
  <c r="BI41" i="9"/>
  <c r="BH41" i="9"/>
  <c r="AP41" i="9"/>
  <c r="AO40" i="9"/>
  <c r="AO42" i="9"/>
  <c r="AO90" i="11"/>
  <c r="BG42" i="9" l="1"/>
  <c r="BW90" i="11"/>
  <c r="BH42" i="9"/>
  <c r="AP42" i="9"/>
  <c r="AU42" i="9"/>
  <c r="AV42" i="9" s="1"/>
  <c r="AT42" i="9"/>
  <c r="BI42" i="9"/>
  <c r="BJ42" i="9" s="1"/>
  <c r="BI90" i="11"/>
  <c r="AP40" i="9"/>
  <c r="AU40" i="9"/>
  <c r="AT40" i="9"/>
  <c r="BI40" i="9"/>
  <c r="BH40" i="9"/>
  <c r="J11" i="8" l="1"/>
  <c r="N13" i="8"/>
  <c r="N27" i="8"/>
  <c r="N20" i="8"/>
  <c r="I50" i="8"/>
  <c r="I22" i="8"/>
  <c r="I16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I58" i="8" s="1"/>
  <c r="H57" i="8"/>
  <c r="I57" i="8" s="1"/>
  <c r="H56" i="8"/>
  <c r="I56" i="8" s="1"/>
  <c r="H55" i="8"/>
  <c r="I55" i="8" s="1"/>
  <c r="H54" i="8"/>
  <c r="I54" i="8" s="1"/>
  <c r="H53" i="8"/>
  <c r="I53" i="8" s="1"/>
  <c r="H52" i="8"/>
  <c r="I52" i="8" s="1"/>
  <c r="H51" i="8"/>
  <c r="I51" i="8" s="1"/>
  <c r="H49" i="8"/>
  <c r="I49" i="8" s="1"/>
  <c r="H48" i="8"/>
  <c r="I48" i="8" s="1"/>
  <c r="H47" i="8"/>
  <c r="I47" i="8" s="1"/>
  <c r="H46" i="8"/>
  <c r="I46" i="8" s="1"/>
  <c r="H45" i="8"/>
  <c r="I45" i="8" s="1"/>
  <c r="H44" i="8"/>
  <c r="I44" i="8" s="1"/>
  <c r="H43" i="8"/>
  <c r="I43" i="8" s="1"/>
  <c r="H42" i="8"/>
  <c r="I42" i="8" s="1"/>
  <c r="H41" i="8"/>
  <c r="I41" i="8" s="1"/>
  <c r="H40" i="8"/>
  <c r="I40" i="8" s="1"/>
  <c r="H39" i="8"/>
  <c r="I39" i="8" s="1"/>
  <c r="H38" i="8"/>
  <c r="I38" i="8" s="1"/>
  <c r="H37" i="8"/>
  <c r="I37" i="8" s="1"/>
  <c r="H36" i="8"/>
  <c r="I36" i="8" s="1"/>
  <c r="H35" i="8"/>
  <c r="I35" i="8" s="1"/>
  <c r="H34" i="8"/>
  <c r="I34" i="8" s="1"/>
  <c r="H33" i="8"/>
  <c r="I33" i="8" s="1"/>
  <c r="H32" i="8"/>
  <c r="I32" i="8" s="1"/>
  <c r="H31" i="8"/>
  <c r="I31" i="8" s="1"/>
  <c r="H30" i="8"/>
  <c r="I30" i="8" s="1"/>
  <c r="H29" i="8"/>
  <c r="I29" i="8" s="1"/>
  <c r="H28" i="8"/>
  <c r="I28" i="8" s="1"/>
  <c r="H27" i="8"/>
  <c r="I27" i="8" s="1"/>
  <c r="H26" i="8"/>
  <c r="I26" i="8" s="1"/>
  <c r="H25" i="8"/>
  <c r="I25" i="8" s="1"/>
  <c r="H24" i="8"/>
  <c r="I24" i="8" s="1"/>
  <c r="H23" i="8"/>
  <c r="I23" i="8" s="1"/>
  <c r="H22" i="8"/>
  <c r="H21" i="8"/>
  <c r="I21" i="8" s="1"/>
  <c r="H20" i="8"/>
  <c r="I20" i="8" s="1"/>
  <c r="H19" i="8"/>
  <c r="I19" i="8" s="1"/>
  <c r="H18" i="8"/>
  <c r="I18" i="8" s="1"/>
  <c r="H17" i="8"/>
  <c r="I17" i="8" s="1"/>
  <c r="H16" i="8"/>
  <c r="H15" i="8"/>
  <c r="I15" i="8" s="1"/>
  <c r="H14" i="8"/>
  <c r="I14" i="8" s="1"/>
  <c r="H13" i="8"/>
  <c r="I13" i="8" s="1"/>
  <c r="H11" i="8"/>
  <c r="I11" i="8" s="1"/>
  <c r="L31" i="7"/>
  <c r="K31" i="7"/>
  <c r="Q28" i="7"/>
  <c r="Q31" i="7" s="1"/>
  <c r="P28" i="7"/>
  <c r="O28" i="7"/>
  <c r="O31" i="7" s="1"/>
  <c r="N28" i="7"/>
  <c r="N31" i="7" s="1"/>
  <c r="N33" i="7" s="1"/>
  <c r="M28" i="7"/>
  <c r="M31" i="7" s="1"/>
  <c r="M33" i="7" s="1"/>
  <c r="L28" i="7"/>
  <c r="K28" i="7"/>
  <c r="J28" i="7"/>
  <c r="J31" i="7" s="1"/>
  <c r="I28" i="7"/>
  <c r="I31" i="7" s="1"/>
  <c r="H28" i="7"/>
  <c r="G28" i="7"/>
  <c r="F28" i="7"/>
  <c r="F31" i="7" s="1"/>
  <c r="F33" i="7" s="1"/>
  <c r="Q25" i="7"/>
  <c r="P25" i="7"/>
  <c r="O25" i="7"/>
  <c r="N25" i="7"/>
  <c r="M25" i="7"/>
  <c r="L25" i="7"/>
  <c r="K25" i="7"/>
  <c r="J25" i="7"/>
  <c r="I25" i="7"/>
  <c r="H25" i="7"/>
  <c r="G25" i="7"/>
  <c r="G31" i="7" s="1"/>
  <c r="F25" i="7"/>
  <c r="Q19" i="7"/>
  <c r="P19" i="7"/>
  <c r="O19" i="7"/>
  <c r="N19" i="7"/>
  <c r="M19" i="7"/>
  <c r="L19" i="7"/>
  <c r="K19" i="7"/>
  <c r="J19" i="7"/>
  <c r="I19" i="7"/>
  <c r="H19" i="7"/>
  <c r="G19" i="7"/>
  <c r="F19" i="7"/>
  <c r="Q14" i="7"/>
  <c r="P14" i="7"/>
  <c r="O14" i="7"/>
  <c r="N14" i="7"/>
  <c r="M14" i="7"/>
  <c r="L14" i="7"/>
  <c r="K14" i="7"/>
  <c r="J14" i="7"/>
  <c r="I14" i="7"/>
  <c r="H14" i="7"/>
  <c r="G14" i="7"/>
  <c r="F14" i="7"/>
  <c r="Q11" i="7"/>
  <c r="P11" i="7"/>
  <c r="P22" i="7" s="1"/>
  <c r="O11" i="7"/>
  <c r="N11" i="7"/>
  <c r="N22" i="7" s="1"/>
  <c r="M11" i="7"/>
  <c r="L11" i="7"/>
  <c r="K11" i="7"/>
  <c r="J11" i="7"/>
  <c r="I11" i="7"/>
  <c r="H11" i="7"/>
  <c r="H22" i="7" s="1"/>
  <c r="G11" i="7"/>
  <c r="F11" i="7"/>
  <c r="Q8" i="7"/>
  <c r="P8" i="7"/>
  <c r="O8" i="7"/>
  <c r="N8" i="7"/>
  <c r="M8" i="7"/>
  <c r="M22" i="7" s="1"/>
  <c r="L8" i="7"/>
  <c r="K8" i="7"/>
  <c r="J8" i="7"/>
  <c r="I8" i="7"/>
  <c r="H8" i="7"/>
  <c r="G8" i="7"/>
  <c r="F8" i="7"/>
  <c r="F22" i="7" s="1"/>
  <c r="Q5" i="7"/>
  <c r="P5" i="7"/>
  <c r="O5" i="7"/>
  <c r="N5" i="7"/>
  <c r="M5" i="7"/>
  <c r="L5" i="7"/>
  <c r="L22" i="7" s="1"/>
  <c r="K5" i="7"/>
  <c r="K22" i="7" s="1"/>
  <c r="J5" i="7"/>
  <c r="I5" i="7"/>
  <c r="H5" i="7"/>
  <c r="G5" i="7"/>
  <c r="F5" i="7"/>
  <c r="Q2" i="7"/>
  <c r="P2" i="7"/>
  <c r="O2" i="7"/>
  <c r="N2" i="7"/>
  <c r="M2" i="7"/>
  <c r="L2" i="7"/>
  <c r="K2" i="7"/>
  <c r="J2" i="7"/>
  <c r="I2" i="7"/>
  <c r="H2" i="7"/>
  <c r="G2" i="7"/>
  <c r="F2" i="7"/>
  <c r="R20" i="7" s="1"/>
  <c r="F85" i="6"/>
  <c r="F77" i="6"/>
  <c r="F74" i="6"/>
  <c r="F65" i="6"/>
  <c r="F57" i="6"/>
  <c r="F56" i="6"/>
  <c r="F49" i="6"/>
  <c r="F40" i="6"/>
  <c r="F38" i="6"/>
  <c r="F34" i="6"/>
  <c r="V32" i="6"/>
  <c r="AI22" i="6"/>
  <c r="AI19" i="6"/>
  <c r="AI18" i="6"/>
  <c r="F15" i="6"/>
  <c r="AF8" i="6"/>
  <c r="AH8" i="6" s="1"/>
  <c r="AH6" i="6"/>
  <c r="AI17" i="6" s="1"/>
  <c r="Z6" i="6"/>
  <c r="AA25" i="6" s="1"/>
  <c r="R6" i="6"/>
  <c r="C3" i="6"/>
  <c r="P8" i="6" s="1"/>
  <c r="V32" i="5"/>
  <c r="AH6" i="5"/>
  <c r="Z6" i="5"/>
  <c r="R6" i="5"/>
  <c r="C3" i="5"/>
  <c r="H8" i="5" s="1"/>
  <c r="J8" i="5" s="1"/>
  <c r="H8" i="6" l="1"/>
  <c r="J8" i="6" s="1"/>
  <c r="X8" i="6"/>
  <c r="R6" i="7"/>
  <c r="R5" i="7"/>
  <c r="E8" i="6"/>
  <c r="F8" i="6" s="1"/>
  <c r="AJ17" i="6"/>
  <c r="AK17" i="6"/>
  <c r="AL17" i="6" s="1"/>
  <c r="AG17" i="6"/>
  <c r="Q17" i="6"/>
  <c r="U17" i="6"/>
  <c r="V17" i="6" s="1"/>
  <c r="T17" i="6"/>
  <c r="AA71" i="5"/>
  <c r="AA73" i="5"/>
  <c r="AA69" i="5"/>
  <c r="AI67" i="5"/>
  <c r="AI60" i="5"/>
  <c r="AA80" i="5"/>
  <c r="AI70" i="5"/>
  <c r="AA62" i="5"/>
  <c r="F57" i="5"/>
  <c r="F56" i="5" s="1"/>
  <c r="AA84" i="5"/>
  <c r="AI73" i="5"/>
  <c r="AA55" i="5"/>
  <c r="AA51" i="5"/>
  <c r="AI80" i="5"/>
  <c r="AA79" i="5"/>
  <c r="AI69" i="5"/>
  <c r="AI62" i="5"/>
  <c r="AI51" i="5"/>
  <c r="AI68" i="5"/>
  <c r="AA67" i="5"/>
  <c r="AA70" i="5"/>
  <c r="AI52" i="5"/>
  <c r="AI28" i="5"/>
  <c r="AA63" i="5"/>
  <c r="AI71" i="5"/>
  <c r="AA52" i="5"/>
  <c r="F20" i="5"/>
  <c r="AI64" i="5"/>
  <c r="AA60" i="5"/>
  <c r="AI53" i="5"/>
  <c r="F65" i="5"/>
  <c r="AA64" i="5"/>
  <c r="AI45" i="5"/>
  <c r="AI42" i="5"/>
  <c r="AA31" i="5"/>
  <c r="AA27" i="5"/>
  <c r="AA23" i="5"/>
  <c r="AI72" i="5"/>
  <c r="AA53" i="5"/>
  <c r="AI31" i="5"/>
  <c r="AI27" i="5"/>
  <c r="P8" i="5"/>
  <c r="R8" i="5" s="1"/>
  <c r="AI26" i="5"/>
  <c r="X8" i="5"/>
  <c r="Z8" i="5" s="1"/>
  <c r="AI22" i="5"/>
  <c r="AI18" i="5"/>
  <c r="AI61" i="5"/>
  <c r="E8" i="5"/>
  <c r="F8" i="5" s="1"/>
  <c r="AF8" i="5"/>
  <c r="AH8" i="5" s="1"/>
  <c r="F38" i="5"/>
  <c r="AA17" i="5"/>
  <c r="AA28" i="5"/>
  <c r="AA16" i="6"/>
  <c r="F20" i="6"/>
  <c r="F14" i="6" s="1"/>
  <c r="F13" i="6" s="1"/>
  <c r="S17" i="6"/>
  <c r="S18" i="6"/>
  <c r="R8" i="6"/>
  <c r="AA19" i="6"/>
  <c r="T16" i="6"/>
  <c r="AA73" i="6"/>
  <c r="AA69" i="6"/>
  <c r="AA83" i="6"/>
  <c r="AA70" i="6"/>
  <c r="AA84" i="6"/>
  <c r="AA79" i="6"/>
  <c r="AA71" i="6"/>
  <c r="AA67" i="6"/>
  <c r="AA62" i="6"/>
  <c r="AA80" i="6"/>
  <c r="AA61" i="6"/>
  <c r="AA53" i="6"/>
  <c r="AA76" i="6"/>
  <c r="AA72" i="6"/>
  <c r="AA59" i="6"/>
  <c r="AA51" i="6"/>
  <c r="AA64" i="6"/>
  <c r="AA52" i="6"/>
  <c r="AA68" i="6"/>
  <c r="AA63" i="6"/>
  <c r="AA60" i="6"/>
  <c r="AA54" i="6"/>
  <c r="AA46" i="6"/>
  <c r="AA45" i="6"/>
  <c r="AA55" i="6"/>
  <c r="AA33" i="6"/>
  <c r="AA43" i="6"/>
  <c r="AA42" i="6"/>
  <c r="AA17" i="6"/>
  <c r="AA37" i="6"/>
  <c r="AA36" i="6"/>
  <c r="AA32" i="6"/>
  <c r="AA26" i="6"/>
  <c r="AA24" i="6"/>
  <c r="AA27" i="6"/>
  <c r="AA31" i="6"/>
  <c r="AA28" i="6"/>
  <c r="AA23" i="6"/>
  <c r="Z8" i="6"/>
  <c r="AA18" i="6"/>
  <c r="AA22" i="6"/>
  <c r="AI83" i="6"/>
  <c r="AI79" i="6"/>
  <c r="AI76" i="6"/>
  <c r="AI73" i="6"/>
  <c r="AI70" i="6"/>
  <c r="AI67" i="6"/>
  <c r="AI64" i="6"/>
  <c r="AI84" i="6"/>
  <c r="AI80" i="6"/>
  <c r="AI71" i="6"/>
  <c r="AI60" i="6"/>
  <c r="AI68" i="6"/>
  <c r="AI62" i="6"/>
  <c r="AI61" i="6"/>
  <c r="AI72" i="6"/>
  <c r="AI63" i="6"/>
  <c r="AI45" i="6"/>
  <c r="AI55" i="6"/>
  <c r="AI51" i="6"/>
  <c r="AI69" i="6"/>
  <c r="AI59" i="6"/>
  <c r="AI52" i="6"/>
  <c r="AI53" i="6"/>
  <c r="AI37" i="6"/>
  <c r="AI54" i="6"/>
  <c r="AI43" i="6"/>
  <c r="AI36" i="6"/>
  <c r="AI46" i="6"/>
  <c r="AI42" i="6"/>
  <c r="AI25" i="6"/>
  <c r="AI32" i="6"/>
  <c r="AI26" i="6"/>
  <c r="AI24" i="6"/>
  <c r="AI33" i="6"/>
  <c r="AI27" i="6"/>
  <c r="AI31" i="6"/>
  <c r="AI23" i="6"/>
  <c r="AI28" i="6"/>
  <c r="F29" i="6"/>
  <c r="F48" i="6"/>
  <c r="O33" i="7"/>
  <c r="R19" i="7"/>
  <c r="J33" i="7"/>
  <c r="K33" i="7"/>
  <c r="R14" i="7"/>
  <c r="L33" i="7"/>
  <c r="G22" i="7"/>
  <c r="R22" i="7" s="1"/>
  <c r="O22" i="7"/>
  <c r="R15" i="7"/>
  <c r="H31" i="7"/>
  <c r="H33" i="7" s="1"/>
  <c r="P31" i="7"/>
  <c r="P33" i="7" s="1"/>
  <c r="Q33" i="7"/>
  <c r="R9" i="7"/>
  <c r="I22" i="7"/>
  <c r="I33" i="7" s="1"/>
  <c r="Q22" i="7"/>
  <c r="R28" i="7"/>
  <c r="J22" i="7"/>
  <c r="R11" i="7"/>
  <c r="R16" i="7"/>
  <c r="R29" i="7"/>
  <c r="R12" i="7"/>
  <c r="R17" i="7"/>
  <c r="R25" i="7"/>
  <c r="R8" i="7"/>
  <c r="R26" i="7"/>
  <c r="H45" i="6" l="1"/>
  <c r="U45" i="6"/>
  <c r="V45" i="6" s="1"/>
  <c r="T45" i="6"/>
  <c r="Q45" i="6"/>
  <c r="Q58" i="6"/>
  <c r="H58" i="6"/>
  <c r="U58" i="6"/>
  <c r="V58" i="6" s="1"/>
  <c r="P57" i="6"/>
  <c r="T58" i="6"/>
  <c r="Q82" i="6"/>
  <c r="H82" i="6"/>
  <c r="U82" i="6"/>
  <c r="V82" i="6" s="1"/>
  <c r="P85" i="6"/>
  <c r="T82" i="6"/>
  <c r="Y23" i="6"/>
  <c r="E40" i="6"/>
  <c r="AK16" i="5"/>
  <c r="AL16" i="5" s="1"/>
  <c r="AJ16" i="5"/>
  <c r="AG16" i="5"/>
  <c r="T44" i="5"/>
  <c r="U44" i="5"/>
  <c r="V44" i="5" s="1"/>
  <c r="U28" i="5"/>
  <c r="V28" i="5" s="1"/>
  <c r="T28" i="5"/>
  <c r="Q28" i="5"/>
  <c r="Q72" i="5"/>
  <c r="U72" i="5"/>
  <c r="V72" i="5" s="1"/>
  <c r="T72" i="5"/>
  <c r="E15" i="5"/>
  <c r="Q30" i="6"/>
  <c r="U30" i="6"/>
  <c r="V30" i="6" s="1"/>
  <c r="H30" i="6"/>
  <c r="T30" i="6"/>
  <c r="Q33" i="6"/>
  <c r="H33" i="6"/>
  <c r="T33" i="6"/>
  <c r="U33" i="6"/>
  <c r="V33" i="6" s="1"/>
  <c r="T63" i="6"/>
  <c r="U63" i="6"/>
  <c r="V63" i="6" s="1"/>
  <c r="Q63" i="6"/>
  <c r="H63" i="6"/>
  <c r="Q39" i="6"/>
  <c r="H39" i="6"/>
  <c r="U39" i="6"/>
  <c r="V39" i="6" s="1"/>
  <c r="P38" i="6"/>
  <c r="T39" i="6"/>
  <c r="Q70" i="6"/>
  <c r="H70" i="6"/>
  <c r="T70" i="6"/>
  <c r="U70" i="6"/>
  <c r="V70" i="6" s="1"/>
  <c r="U76" i="6"/>
  <c r="V76" i="6" s="1"/>
  <c r="T76" i="6"/>
  <c r="H76" i="6"/>
  <c r="Q76" i="6"/>
  <c r="E65" i="6"/>
  <c r="T26" i="5"/>
  <c r="Q26" i="5"/>
  <c r="U26" i="5"/>
  <c r="V26" i="5" s="1"/>
  <c r="U70" i="5"/>
  <c r="V70" i="5" s="1"/>
  <c r="T70" i="5"/>
  <c r="Q70" i="5"/>
  <c r="U27" i="5"/>
  <c r="V27" i="5" s="1"/>
  <c r="T27" i="5"/>
  <c r="Q27" i="5"/>
  <c r="AJ26" i="6"/>
  <c r="AK26" i="6"/>
  <c r="AL26" i="6" s="1"/>
  <c r="AG26" i="6"/>
  <c r="AK22" i="6"/>
  <c r="AL22" i="6" s="1"/>
  <c r="AG22" i="6"/>
  <c r="AJ22" i="6"/>
  <c r="AK54" i="6"/>
  <c r="AL54" i="6" s="1"/>
  <c r="AG54" i="6"/>
  <c r="AJ54" i="6"/>
  <c r="AG42" i="6"/>
  <c r="AK42" i="6"/>
  <c r="AL42" i="6" s="1"/>
  <c r="AJ42" i="6"/>
  <c r="AK66" i="6"/>
  <c r="AL66" i="6" s="1"/>
  <c r="AG66" i="6"/>
  <c r="AF65" i="6"/>
  <c r="AJ66" i="6"/>
  <c r="AF85" i="6"/>
  <c r="AG82" i="6"/>
  <c r="AJ82" i="6"/>
  <c r="AK82" i="6"/>
  <c r="AL82" i="6" s="1"/>
  <c r="AK84" i="6"/>
  <c r="AL84" i="6" s="1"/>
  <c r="AJ84" i="6"/>
  <c r="AG84" i="6"/>
  <c r="Y17" i="6"/>
  <c r="AC17" i="6"/>
  <c r="AD17" i="6" s="1"/>
  <c r="AB17" i="6"/>
  <c r="H17" i="6"/>
  <c r="AC31" i="6"/>
  <c r="AD31" i="6" s="1"/>
  <c r="Y31" i="6"/>
  <c r="AB31" i="6"/>
  <c r="Y35" i="6"/>
  <c r="X34" i="6"/>
  <c r="AC35" i="6"/>
  <c r="AD35" i="6" s="1"/>
  <c r="AB35" i="6"/>
  <c r="AB63" i="6"/>
  <c r="Y63" i="6"/>
  <c r="AC63" i="6"/>
  <c r="AD63" i="6" s="1"/>
  <c r="AB50" i="6"/>
  <c r="AC50" i="6"/>
  <c r="AD50" i="6" s="1"/>
  <c r="Y50" i="6"/>
  <c r="X49" i="6"/>
  <c r="AB61" i="6"/>
  <c r="Y61" i="6"/>
  <c r="AC61" i="6"/>
  <c r="AD61" i="6" s="1"/>
  <c r="AC73" i="6"/>
  <c r="AD73" i="6" s="1"/>
  <c r="AB73" i="6"/>
  <c r="Y73" i="6"/>
  <c r="U41" i="6"/>
  <c r="V41" i="6" s="1"/>
  <c r="H41" i="6"/>
  <c r="P40" i="6"/>
  <c r="T41" i="6"/>
  <c r="Q41" i="6"/>
  <c r="U37" i="6"/>
  <c r="V37" i="6" s="1"/>
  <c r="Q37" i="6"/>
  <c r="T37" i="6"/>
  <c r="H37" i="6"/>
  <c r="U52" i="6"/>
  <c r="V52" i="6" s="1"/>
  <c r="T52" i="6"/>
  <c r="H52" i="6"/>
  <c r="Q52" i="6"/>
  <c r="U60" i="6"/>
  <c r="V60" i="6" s="1"/>
  <c r="H60" i="6"/>
  <c r="T60" i="6"/>
  <c r="Q60" i="6"/>
  <c r="Q66" i="6"/>
  <c r="H66" i="6"/>
  <c r="U66" i="6"/>
  <c r="V66" i="6" s="1"/>
  <c r="P65" i="6"/>
  <c r="T66" i="6"/>
  <c r="U84" i="6"/>
  <c r="V84" i="6" s="1"/>
  <c r="T84" i="6"/>
  <c r="Q84" i="6"/>
  <c r="H84" i="6"/>
  <c r="E20" i="6"/>
  <c r="E38" i="6"/>
  <c r="U52" i="5"/>
  <c r="V52" i="5" s="1"/>
  <c r="T52" i="5"/>
  <c r="Q52" i="5"/>
  <c r="T30" i="5"/>
  <c r="Q30" i="5"/>
  <c r="U30" i="5"/>
  <c r="V30" i="5" s="1"/>
  <c r="T18" i="5"/>
  <c r="Q18" i="5"/>
  <c r="U18" i="5"/>
  <c r="V18" i="5" s="1"/>
  <c r="Q46" i="5"/>
  <c r="U46" i="5"/>
  <c r="V46" i="5" s="1"/>
  <c r="T46" i="5"/>
  <c r="Q36" i="5"/>
  <c r="T36" i="5"/>
  <c r="U36" i="5"/>
  <c r="V36" i="5" s="1"/>
  <c r="E38" i="5"/>
  <c r="Q69" i="5"/>
  <c r="T69" i="5"/>
  <c r="U69" i="5"/>
  <c r="V69" i="5" s="1"/>
  <c r="Q80" i="5"/>
  <c r="U80" i="5"/>
  <c r="V80" i="5" s="1"/>
  <c r="T80" i="5"/>
  <c r="AJ39" i="6"/>
  <c r="AF38" i="6"/>
  <c r="AK39" i="6"/>
  <c r="AL39" i="6" s="1"/>
  <c r="AG39" i="6"/>
  <c r="AG43" i="6"/>
  <c r="AK43" i="6"/>
  <c r="AL43" i="6" s="1"/>
  <c r="AJ43" i="6"/>
  <c r="AK44" i="6"/>
  <c r="AL44" i="6" s="1"/>
  <c r="AJ44" i="6"/>
  <c r="AG44" i="6"/>
  <c r="AG62" i="6"/>
  <c r="AJ62" i="6"/>
  <c r="AK62" i="6"/>
  <c r="AL62" i="6" s="1"/>
  <c r="AG69" i="6"/>
  <c r="AK69" i="6"/>
  <c r="AL69" i="6" s="1"/>
  <c r="AJ69" i="6"/>
  <c r="AK79" i="6"/>
  <c r="AL79" i="6" s="1"/>
  <c r="AJ79" i="6"/>
  <c r="AG79" i="6"/>
  <c r="AK37" i="5"/>
  <c r="AL37" i="5" s="1"/>
  <c r="AJ37" i="5"/>
  <c r="AG37" i="5"/>
  <c r="AK62" i="5"/>
  <c r="AL62" i="5" s="1"/>
  <c r="AJ62" i="5"/>
  <c r="AG62" i="5"/>
  <c r="E85" i="5"/>
  <c r="T22" i="5"/>
  <c r="Q22" i="5"/>
  <c r="U22" i="5"/>
  <c r="V22" i="5" s="1"/>
  <c r="T18" i="6"/>
  <c r="H18" i="6"/>
  <c r="U18" i="6"/>
  <c r="V18" i="6" s="1"/>
  <c r="Q18" i="6"/>
  <c r="P15" i="6"/>
  <c r="AJ30" i="6"/>
  <c r="AK30" i="6"/>
  <c r="AL30" i="6" s="1"/>
  <c r="AG30" i="6"/>
  <c r="AK45" i="6"/>
  <c r="AL45" i="6" s="1"/>
  <c r="AG45" i="6"/>
  <c r="AJ45" i="6"/>
  <c r="AJ51" i="6"/>
  <c r="AK51" i="6"/>
  <c r="AL51" i="6" s="1"/>
  <c r="AG51" i="6"/>
  <c r="AK63" i="6"/>
  <c r="AL63" i="6" s="1"/>
  <c r="AG63" i="6"/>
  <c r="AJ63" i="6"/>
  <c r="AG72" i="6"/>
  <c r="AK72" i="6"/>
  <c r="AL72" i="6" s="1"/>
  <c r="AJ72" i="6"/>
  <c r="AG80" i="6"/>
  <c r="AK80" i="6"/>
  <c r="AL80" i="6" s="1"/>
  <c r="AJ80" i="6"/>
  <c r="AC27" i="6"/>
  <c r="AD27" i="6" s="1"/>
  <c r="Y27" i="6"/>
  <c r="AB27" i="6"/>
  <c r="AB30" i="6"/>
  <c r="Y30" i="6"/>
  <c r="AC30" i="6"/>
  <c r="AD30" i="6" s="1"/>
  <c r="X29" i="6"/>
  <c r="AC46" i="6"/>
  <c r="AD46" i="6" s="1"/>
  <c r="AB46" i="6"/>
  <c r="Y46" i="6"/>
  <c r="AB62" i="6"/>
  <c r="Y62" i="6"/>
  <c r="AC62" i="6"/>
  <c r="AD62" i="6" s="1"/>
  <c r="X57" i="6"/>
  <c r="AC58" i="6"/>
  <c r="AD58" i="6" s="1"/>
  <c r="AB58" i="6"/>
  <c r="Y58" i="6"/>
  <c r="Y69" i="6"/>
  <c r="AB69" i="6"/>
  <c r="AC69" i="6"/>
  <c r="AD69" i="6" s="1"/>
  <c r="U26" i="6"/>
  <c r="V26" i="6" s="1"/>
  <c r="T26" i="6"/>
  <c r="H26" i="6"/>
  <c r="Q26" i="6"/>
  <c r="AG32" i="6"/>
  <c r="AK32" i="6"/>
  <c r="AL32" i="6" s="1"/>
  <c r="AJ32" i="6"/>
  <c r="AK33" i="6"/>
  <c r="AL33" i="6" s="1"/>
  <c r="AJ33" i="6"/>
  <c r="AG33" i="6"/>
  <c r="AF57" i="6"/>
  <c r="AJ58" i="6"/>
  <c r="AK58" i="6"/>
  <c r="AL58" i="6" s="1"/>
  <c r="AG58" i="6"/>
  <c r="AK50" i="6"/>
  <c r="AL50" i="6" s="1"/>
  <c r="AG50" i="6"/>
  <c r="AF49" i="6"/>
  <c r="AJ50" i="6"/>
  <c r="AK67" i="6"/>
  <c r="AL67" i="6" s="1"/>
  <c r="AG67" i="6"/>
  <c r="AJ67" i="6"/>
  <c r="AK75" i="6"/>
  <c r="AL75" i="6" s="1"/>
  <c r="AJ75" i="6"/>
  <c r="AF74" i="6"/>
  <c r="AG75" i="6"/>
  <c r="Y26" i="6"/>
  <c r="AC26" i="6"/>
  <c r="AD26" i="6" s="1"/>
  <c r="AB26" i="6"/>
  <c r="Y44" i="6"/>
  <c r="AB44" i="6"/>
  <c r="AC44" i="6"/>
  <c r="AD44" i="6" s="1"/>
  <c r="AB53" i="6"/>
  <c r="AC53" i="6"/>
  <c r="AD53" i="6" s="1"/>
  <c r="Y53" i="6"/>
  <c r="AB54" i="6"/>
  <c r="AC54" i="6"/>
  <c r="AD54" i="6" s="1"/>
  <c r="Y54" i="6"/>
  <c r="AB75" i="6"/>
  <c r="X74" i="6"/>
  <c r="Y75" i="6"/>
  <c r="AC75" i="6"/>
  <c r="AD75" i="6" s="1"/>
  <c r="X85" i="6"/>
  <c r="Y82" i="6"/>
  <c r="AC82" i="6"/>
  <c r="AD82" i="6" s="1"/>
  <c r="AB82" i="6"/>
  <c r="AB22" i="6"/>
  <c r="AC22" i="6"/>
  <c r="AD22" i="6" s="1"/>
  <c r="Y22" i="6"/>
  <c r="H22" i="6"/>
  <c r="U23" i="6"/>
  <c r="V23" i="6" s="1"/>
  <c r="H23" i="6"/>
  <c r="Q23" i="6"/>
  <c r="T23" i="6"/>
  <c r="H25" i="6"/>
  <c r="U25" i="6"/>
  <c r="V25" i="6" s="1"/>
  <c r="T25" i="6"/>
  <c r="Q25" i="6"/>
  <c r="Q54" i="6"/>
  <c r="U54" i="6"/>
  <c r="V54" i="6" s="1"/>
  <c r="T54" i="6"/>
  <c r="H54" i="6"/>
  <c r="T64" i="6"/>
  <c r="H64" i="6"/>
  <c r="Q64" i="6"/>
  <c r="U64" i="6"/>
  <c r="V64" i="6" s="1"/>
  <c r="U67" i="6"/>
  <c r="V67" i="6" s="1"/>
  <c r="Q67" i="6"/>
  <c r="H67" i="6"/>
  <c r="T67" i="6"/>
  <c r="U79" i="6"/>
  <c r="V79" i="6" s="1"/>
  <c r="Q79" i="6"/>
  <c r="H79" i="6"/>
  <c r="T79" i="6"/>
  <c r="E57" i="6"/>
  <c r="E56" i="6" s="1"/>
  <c r="E77" i="6"/>
  <c r="U42" i="5"/>
  <c r="V42" i="5" s="1"/>
  <c r="T42" i="5"/>
  <c r="Q42" i="5"/>
  <c r="P40" i="5"/>
  <c r="U41" i="5"/>
  <c r="V41" i="5" s="1"/>
  <c r="T41" i="5"/>
  <c r="Q51" i="5"/>
  <c r="U51" i="5"/>
  <c r="V51" i="5" s="1"/>
  <c r="T51" i="5"/>
  <c r="U84" i="5"/>
  <c r="V84" i="5" s="1"/>
  <c r="Q84" i="5"/>
  <c r="T84" i="5"/>
  <c r="U39" i="5"/>
  <c r="V39" i="5" s="1"/>
  <c r="T39" i="5"/>
  <c r="P38" i="5"/>
  <c r="Q39" i="5"/>
  <c r="X20" i="6"/>
  <c r="Y21" i="6"/>
  <c r="AC21" i="6"/>
  <c r="AD21" i="6" s="1"/>
  <c r="AB21" i="6"/>
  <c r="AC32" i="6"/>
  <c r="AD32" i="6" s="1"/>
  <c r="AB32" i="6"/>
  <c r="Y32" i="6"/>
  <c r="AB67" i="6"/>
  <c r="AC67" i="6"/>
  <c r="AD67" i="6" s="1"/>
  <c r="Y67" i="6"/>
  <c r="AB60" i="6"/>
  <c r="AC60" i="6"/>
  <c r="AD60" i="6" s="1"/>
  <c r="Y60" i="6"/>
  <c r="AC84" i="6"/>
  <c r="AD84" i="6" s="1"/>
  <c r="AB84" i="6"/>
  <c r="Y84" i="6"/>
  <c r="AC64" i="6"/>
  <c r="AD64" i="6" s="1"/>
  <c r="Y64" i="6"/>
  <c r="AB64" i="6"/>
  <c r="U78" i="5"/>
  <c r="V78" i="5" s="1"/>
  <c r="T78" i="5"/>
  <c r="P77" i="5"/>
  <c r="U33" i="5"/>
  <c r="V33" i="5" s="1"/>
  <c r="T33" i="5"/>
  <c r="U24" i="5"/>
  <c r="V24" i="5" s="1"/>
  <c r="T24" i="5"/>
  <c r="U54" i="5"/>
  <c r="V54" i="5" s="1"/>
  <c r="T54" i="5"/>
  <c r="U63" i="5"/>
  <c r="V63" i="5" s="1"/>
  <c r="T63" i="5"/>
  <c r="Q63" i="5"/>
  <c r="AC31" i="5"/>
  <c r="AD31" i="5" s="1"/>
  <c r="AB31" i="5"/>
  <c r="Y31" i="5"/>
  <c r="AK51" i="5"/>
  <c r="AL51" i="5" s="1"/>
  <c r="AJ51" i="5"/>
  <c r="AG51" i="5"/>
  <c r="AC19" i="6"/>
  <c r="AD19" i="6" s="1"/>
  <c r="AB19" i="6"/>
  <c r="Y19" i="6"/>
  <c r="AG24" i="6"/>
  <c r="AJ24" i="6"/>
  <c r="AK24" i="6"/>
  <c r="AL24" i="6" s="1"/>
  <c r="AG31" i="6"/>
  <c r="AK31" i="6"/>
  <c r="AL31" i="6" s="1"/>
  <c r="AJ31" i="6"/>
  <c r="AJ53" i="6"/>
  <c r="AG53" i="6"/>
  <c r="AK53" i="6"/>
  <c r="AL53" i="6" s="1"/>
  <c r="AK46" i="6"/>
  <c r="AL46" i="6" s="1"/>
  <c r="AJ46" i="6"/>
  <c r="AG46" i="6"/>
  <c r="AG68" i="6"/>
  <c r="AK68" i="6"/>
  <c r="AL68" i="6" s="1"/>
  <c r="AJ68" i="6"/>
  <c r="AK59" i="6"/>
  <c r="AL59" i="6" s="1"/>
  <c r="AJ59" i="6"/>
  <c r="AG59" i="6"/>
  <c r="AK23" i="6"/>
  <c r="AL23" i="6" s="1"/>
  <c r="AJ23" i="6"/>
  <c r="AG23" i="6"/>
  <c r="T28" i="6"/>
  <c r="H28" i="6"/>
  <c r="Q28" i="6"/>
  <c r="U28" i="6"/>
  <c r="V28" i="6" s="1"/>
  <c r="U42" i="6"/>
  <c r="V42" i="6" s="1"/>
  <c r="T42" i="6"/>
  <c r="Q42" i="6"/>
  <c r="H42" i="6"/>
  <c r="U46" i="6"/>
  <c r="V46" i="6" s="1"/>
  <c r="T46" i="6"/>
  <c r="Q46" i="6"/>
  <c r="H46" i="6"/>
  <c r="Q78" i="6"/>
  <c r="H78" i="6"/>
  <c r="P77" i="6"/>
  <c r="U78" i="6"/>
  <c r="V78" i="6" s="1"/>
  <c r="T78" i="6"/>
  <c r="Q69" i="6"/>
  <c r="H69" i="6"/>
  <c r="U69" i="6"/>
  <c r="V69" i="6" s="1"/>
  <c r="T69" i="6"/>
  <c r="U68" i="6"/>
  <c r="V68" i="6" s="1"/>
  <c r="T68" i="6"/>
  <c r="Q68" i="6"/>
  <c r="H68" i="6"/>
  <c r="E74" i="6"/>
  <c r="U23" i="5"/>
  <c r="V23" i="5" s="1"/>
  <c r="T23" i="5"/>
  <c r="Q23" i="5"/>
  <c r="U67" i="5"/>
  <c r="V67" i="5" s="1"/>
  <c r="T67" i="5"/>
  <c r="Q67" i="5"/>
  <c r="Q82" i="5"/>
  <c r="P85" i="5"/>
  <c r="U82" i="5"/>
  <c r="V82" i="5" s="1"/>
  <c r="T82" i="5"/>
  <c r="Q59" i="5"/>
  <c r="U59" i="5"/>
  <c r="V59" i="5" s="1"/>
  <c r="T59" i="5"/>
  <c r="AK18" i="6"/>
  <c r="AL18" i="6" s="1"/>
  <c r="AG18" i="6"/>
  <c r="AJ18" i="6"/>
  <c r="AJ25" i="6"/>
  <c r="AG25" i="6"/>
  <c r="AK25" i="6"/>
  <c r="AL25" i="6" s="1"/>
  <c r="AK36" i="6"/>
  <c r="AL36" i="6" s="1"/>
  <c r="AJ36" i="6"/>
  <c r="AG36" i="6"/>
  <c r="AK55" i="6"/>
  <c r="AL55" i="6" s="1"/>
  <c r="AG55" i="6"/>
  <c r="AJ55" i="6"/>
  <c r="AJ60" i="6"/>
  <c r="AK60" i="6"/>
  <c r="AL60" i="6" s="1"/>
  <c r="AG60" i="6"/>
  <c r="AG76" i="6"/>
  <c r="AK76" i="6"/>
  <c r="AL76" i="6" s="1"/>
  <c r="AJ76" i="6"/>
  <c r="AG73" i="6"/>
  <c r="AK73" i="6"/>
  <c r="AL73" i="6" s="1"/>
  <c r="AJ73" i="6"/>
  <c r="Q21" i="6"/>
  <c r="H21" i="6"/>
  <c r="U21" i="6"/>
  <c r="V21" i="6" s="1"/>
  <c r="T21" i="6"/>
  <c r="P20" i="6"/>
  <c r="Y25" i="6"/>
  <c r="AB25" i="6"/>
  <c r="AC25" i="6"/>
  <c r="AD25" i="6" s="1"/>
  <c r="Y36" i="6"/>
  <c r="AC36" i="6"/>
  <c r="AD36" i="6" s="1"/>
  <c r="AB36" i="6"/>
  <c r="AB41" i="6"/>
  <c r="Y41" i="6"/>
  <c r="AC41" i="6"/>
  <c r="AD41" i="6" s="1"/>
  <c r="X40" i="6"/>
  <c r="AB79" i="6"/>
  <c r="AC79" i="6"/>
  <c r="AD79" i="6" s="1"/>
  <c r="Y79" i="6"/>
  <c r="AB66" i="6"/>
  <c r="Y66" i="6"/>
  <c r="AC66" i="6"/>
  <c r="AD66" i="6" s="1"/>
  <c r="X65" i="6"/>
  <c r="AB68" i="6"/>
  <c r="AC68" i="6"/>
  <c r="AD68" i="6" s="1"/>
  <c r="Y68" i="6"/>
  <c r="AB18" i="6"/>
  <c r="Y18" i="6"/>
  <c r="AC18" i="6"/>
  <c r="AD18" i="6" s="1"/>
  <c r="U24" i="6"/>
  <c r="V24" i="6" s="1"/>
  <c r="H24" i="6"/>
  <c r="T24" i="6"/>
  <c r="Q24" i="6"/>
  <c r="H43" i="6"/>
  <c r="U43" i="6"/>
  <c r="V43" i="6" s="1"/>
  <c r="Q43" i="6"/>
  <c r="T43" i="6"/>
  <c r="U50" i="6"/>
  <c r="V50" i="6" s="1"/>
  <c r="T50" i="6"/>
  <c r="H50" i="6"/>
  <c r="Q50" i="6"/>
  <c r="P49" i="6"/>
  <c r="Q44" i="6"/>
  <c r="H44" i="6"/>
  <c r="U44" i="6"/>
  <c r="V44" i="6" s="1"/>
  <c r="T44" i="6"/>
  <c r="U59" i="6"/>
  <c r="V59" i="6" s="1"/>
  <c r="H59" i="6"/>
  <c r="T59" i="6"/>
  <c r="Q59" i="6"/>
  <c r="U80" i="6"/>
  <c r="V80" i="6" s="1"/>
  <c r="Q80" i="6"/>
  <c r="T80" i="6"/>
  <c r="H80" i="6"/>
  <c r="AG27" i="6"/>
  <c r="U17" i="5"/>
  <c r="V17" i="5" s="1"/>
  <c r="T17" i="5"/>
  <c r="Q17" i="5"/>
  <c r="U43" i="5"/>
  <c r="V43" i="5" s="1"/>
  <c r="T43" i="5"/>
  <c r="Q43" i="5"/>
  <c r="U35" i="5"/>
  <c r="V35" i="5" s="1"/>
  <c r="T35" i="5"/>
  <c r="Q35" i="5"/>
  <c r="AK19" i="6"/>
  <c r="AL19" i="6" s="1"/>
  <c r="AJ19" i="6"/>
  <c r="AG19" i="6"/>
  <c r="AB16" i="6"/>
  <c r="X15" i="6"/>
  <c r="Y16" i="6"/>
  <c r="AC16" i="6"/>
  <c r="AD16" i="6" s="1"/>
  <c r="H16" i="6"/>
  <c r="AC37" i="6"/>
  <c r="AD37" i="6" s="1"/>
  <c r="AB37" i="6"/>
  <c r="Y37" i="6"/>
  <c r="AC43" i="6"/>
  <c r="AD43" i="6" s="1"/>
  <c r="AB43" i="6"/>
  <c r="Y43" i="6"/>
  <c r="AB78" i="6"/>
  <c r="X77" i="6"/>
  <c r="Y78" i="6"/>
  <c r="AC78" i="6"/>
  <c r="AD78" i="6" s="1"/>
  <c r="AB76" i="6"/>
  <c r="AC76" i="6"/>
  <c r="AD76" i="6" s="1"/>
  <c r="Y76" i="6"/>
  <c r="T31" i="6"/>
  <c r="U31" i="6"/>
  <c r="V31" i="6" s="1"/>
  <c r="Q31" i="6"/>
  <c r="H31" i="6"/>
  <c r="Q55" i="6"/>
  <c r="H55" i="6"/>
  <c r="U55" i="6"/>
  <c r="V55" i="6" s="1"/>
  <c r="T55" i="6"/>
  <c r="T61" i="6"/>
  <c r="Q61" i="6"/>
  <c r="H61" i="6"/>
  <c r="U61" i="6"/>
  <c r="V61" i="6" s="1"/>
  <c r="E85" i="6"/>
  <c r="AG43" i="5"/>
  <c r="AJ43" i="5"/>
  <c r="AK43" i="5"/>
  <c r="AL43" i="5" s="1"/>
  <c r="AK55" i="5"/>
  <c r="AL55" i="5" s="1"/>
  <c r="AJ55" i="5"/>
  <c r="AK27" i="5"/>
  <c r="AL27" i="5" s="1"/>
  <c r="AJ27" i="5"/>
  <c r="AG27" i="5"/>
  <c r="E34" i="5"/>
  <c r="AG67" i="5"/>
  <c r="AK67" i="5"/>
  <c r="AL67" i="5" s="1"/>
  <c r="AJ67" i="5"/>
  <c r="AJ35" i="6"/>
  <c r="AG35" i="6"/>
  <c r="AF34" i="6"/>
  <c r="AK35" i="6"/>
  <c r="AL35" i="6" s="1"/>
  <c r="AG28" i="6"/>
  <c r="AK28" i="6"/>
  <c r="AL28" i="6" s="1"/>
  <c r="AJ28" i="6"/>
  <c r="AK41" i="6"/>
  <c r="AL41" i="6" s="1"/>
  <c r="AJ41" i="6"/>
  <c r="AG41" i="6"/>
  <c r="AF40" i="6"/>
  <c r="AG61" i="6"/>
  <c r="AJ61" i="6"/>
  <c r="AK61" i="6"/>
  <c r="AL61" i="6" s="1"/>
  <c r="AG64" i="6"/>
  <c r="AJ64" i="6"/>
  <c r="AK64" i="6"/>
  <c r="AL64" i="6" s="1"/>
  <c r="AK78" i="6"/>
  <c r="AL78" i="6" s="1"/>
  <c r="AG78" i="6"/>
  <c r="AJ78" i="6"/>
  <c r="AF77" i="6"/>
  <c r="AB33" i="6"/>
  <c r="Y33" i="6"/>
  <c r="AC33" i="6"/>
  <c r="AD33" i="6" s="1"/>
  <c r="AB55" i="6"/>
  <c r="AC55" i="6"/>
  <c r="AD55" i="6" s="1"/>
  <c r="Y55" i="6"/>
  <c r="AB45" i="6"/>
  <c r="AC45" i="6"/>
  <c r="AD45" i="6" s="1"/>
  <c r="Y45" i="6"/>
  <c r="AB71" i="6"/>
  <c r="AC71" i="6"/>
  <c r="AD71" i="6" s="1"/>
  <c r="Y71" i="6"/>
  <c r="AB70" i="6"/>
  <c r="AC70" i="6"/>
  <c r="AD70" i="6" s="1"/>
  <c r="Y70" i="6"/>
  <c r="AB72" i="6"/>
  <c r="Y72" i="6"/>
  <c r="AC72" i="6"/>
  <c r="AD72" i="6" s="1"/>
  <c r="AG16" i="6"/>
  <c r="AJ16" i="6"/>
  <c r="AF15" i="6"/>
  <c r="AK16" i="6"/>
  <c r="AL16" i="6" s="1"/>
  <c r="T27" i="6"/>
  <c r="U27" i="6"/>
  <c r="V27" i="6" s="1"/>
  <c r="H27" i="6"/>
  <c r="Q27" i="6"/>
  <c r="Q36" i="6"/>
  <c r="H36" i="6"/>
  <c r="U36" i="6"/>
  <c r="V36" i="6" s="1"/>
  <c r="T36" i="6"/>
  <c r="Q62" i="6"/>
  <c r="H62" i="6"/>
  <c r="U62" i="6"/>
  <c r="V62" i="6" s="1"/>
  <c r="T62" i="6"/>
  <c r="Q53" i="6"/>
  <c r="H53" i="6"/>
  <c r="U53" i="6"/>
  <c r="V53" i="6" s="1"/>
  <c r="T53" i="6"/>
  <c r="U75" i="6"/>
  <c r="V75" i="6" s="1"/>
  <c r="Q75" i="6"/>
  <c r="H75" i="6"/>
  <c r="T75" i="6"/>
  <c r="P74" i="6"/>
  <c r="Q83" i="6"/>
  <c r="H83" i="6"/>
  <c r="U83" i="6"/>
  <c r="V83" i="6" s="1"/>
  <c r="T83" i="6"/>
  <c r="E15" i="6"/>
  <c r="E14" i="6" s="1"/>
  <c r="E13" i="6" s="1"/>
  <c r="Q16" i="6"/>
  <c r="E34" i="6"/>
  <c r="E49" i="6"/>
  <c r="U31" i="5"/>
  <c r="V31" i="5" s="1"/>
  <c r="T31" i="5"/>
  <c r="Q31" i="5"/>
  <c r="E74" i="5"/>
  <c r="U83" i="5"/>
  <c r="V83" i="5" s="1"/>
  <c r="T83" i="5"/>
  <c r="Q83" i="5"/>
  <c r="U79" i="5"/>
  <c r="V79" i="5" s="1"/>
  <c r="T79" i="5"/>
  <c r="T66" i="5"/>
  <c r="U66" i="5"/>
  <c r="V66" i="5" s="1"/>
  <c r="U16" i="5"/>
  <c r="V16" i="5" s="1"/>
  <c r="T16" i="5"/>
  <c r="P15" i="5"/>
  <c r="Q16" i="5"/>
  <c r="AC28" i="6"/>
  <c r="AD28" i="6" s="1"/>
  <c r="AB28" i="6"/>
  <c r="Y28" i="6"/>
  <c r="AC51" i="6"/>
  <c r="AD51" i="6" s="1"/>
  <c r="AB51" i="6"/>
  <c r="Y51" i="6"/>
  <c r="AK26" i="5"/>
  <c r="AL26" i="5" s="1"/>
  <c r="AJ26" i="5"/>
  <c r="AG26" i="5"/>
  <c r="U71" i="5"/>
  <c r="V71" i="5" s="1"/>
  <c r="T71" i="5"/>
  <c r="Q71" i="5"/>
  <c r="Q61" i="5"/>
  <c r="T61" i="5"/>
  <c r="U61" i="5"/>
  <c r="V61" i="5" s="1"/>
  <c r="AK70" i="5"/>
  <c r="AL70" i="5" s="1"/>
  <c r="AG70" i="5"/>
  <c r="AJ70" i="5"/>
  <c r="Q50" i="5"/>
  <c r="U50" i="5"/>
  <c r="V50" i="5" s="1"/>
  <c r="T50" i="5"/>
  <c r="AJ21" i="6"/>
  <c r="AG21" i="6"/>
  <c r="AK21" i="6"/>
  <c r="AL21" i="6" s="1"/>
  <c r="AF20" i="6"/>
  <c r="AK37" i="6"/>
  <c r="AL37" i="6" s="1"/>
  <c r="AJ37" i="6"/>
  <c r="AG37" i="6"/>
  <c r="AG52" i="6"/>
  <c r="AK52" i="6"/>
  <c r="AL52" i="6" s="1"/>
  <c r="AJ52" i="6"/>
  <c r="AK70" i="6"/>
  <c r="AL70" i="6" s="1"/>
  <c r="AG70" i="6"/>
  <c r="AJ70" i="6"/>
  <c r="AK71" i="6"/>
  <c r="AL71" i="6" s="1"/>
  <c r="AJ71" i="6"/>
  <c r="AG71" i="6"/>
  <c r="AK83" i="6"/>
  <c r="AL83" i="6" s="1"/>
  <c r="AJ83" i="6"/>
  <c r="AG83" i="6"/>
  <c r="U19" i="6"/>
  <c r="V19" i="6" s="1"/>
  <c r="Q19" i="6"/>
  <c r="T19" i="6"/>
  <c r="H19" i="6"/>
  <c r="X38" i="6"/>
  <c r="Y39" i="6"/>
  <c r="AB39" i="6"/>
  <c r="AC39" i="6"/>
  <c r="AD39" i="6" s="1"/>
  <c r="Y24" i="6"/>
  <c r="AB24" i="6"/>
  <c r="AC24" i="6"/>
  <c r="AD24" i="6" s="1"/>
  <c r="AB42" i="6"/>
  <c r="AC42" i="6"/>
  <c r="AD42" i="6" s="1"/>
  <c r="Y42" i="6"/>
  <c r="AB59" i="6"/>
  <c r="AC59" i="6"/>
  <c r="AD59" i="6" s="1"/>
  <c r="Y59" i="6"/>
  <c r="AB52" i="6"/>
  <c r="Y52" i="6"/>
  <c r="AC52" i="6"/>
  <c r="AD52" i="6" s="1"/>
  <c r="AB83" i="6"/>
  <c r="Y83" i="6"/>
  <c r="AC83" i="6"/>
  <c r="AD83" i="6" s="1"/>
  <c r="AB80" i="6"/>
  <c r="AC80" i="6"/>
  <c r="AD80" i="6" s="1"/>
  <c r="Y80" i="6"/>
  <c r="H32" i="6"/>
  <c r="Q32" i="6"/>
  <c r="T32" i="6"/>
  <c r="U51" i="6"/>
  <c r="V51" i="6" s="1"/>
  <c r="Q51" i="6"/>
  <c r="H51" i="6"/>
  <c r="T51" i="6"/>
  <c r="U35" i="6"/>
  <c r="V35" i="6" s="1"/>
  <c r="T35" i="6"/>
  <c r="P34" i="6"/>
  <c r="Q35" i="6"/>
  <c r="H35" i="6"/>
  <c r="U71" i="6"/>
  <c r="V71" i="6" s="1"/>
  <c r="Q71" i="6"/>
  <c r="H71" i="6"/>
  <c r="T71" i="6"/>
  <c r="U72" i="6"/>
  <c r="V72" i="6" s="1"/>
  <c r="T72" i="6"/>
  <c r="H72" i="6"/>
  <c r="Q72" i="6"/>
  <c r="Q73" i="6"/>
  <c r="H73" i="6"/>
  <c r="U73" i="6"/>
  <c r="V73" i="6" s="1"/>
  <c r="T73" i="6"/>
  <c r="Q22" i="6"/>
  <c r="E29" i="6"/>
  <c r="U19" i="5"/>
  <c r="V19" i="5" s="1"/>
  <c r="T19" i="5"/>
  <c r="Q19" i="5"/>
  <c r="J27" i="6"/>
  <c r="K27" i="6" s="1"/>
  <c r="S27" i="6"/>
  <c r="S70" i="6"/>
  <c r="J70" i="6"/>
  <c r="K70" i="6" s="1"/>
  <c r="AI41" i="6"/>
  <c r="AH40" i="6"/>
  <c r="AI40" i="6" s="1"/>
  <c r="J42" i="6"/>
  <c r="K42" i="6" s="1"/>
  <c r="S42" i="6"/>
  <c r="S78" i="6"/>
  <c r="J78" i="6"/>
  <c r="R77" i="6"/>
  <c r="S19" i="5"/>
  <c r="J19" i="5"/>
  <c r="K19" i="5" s="1"/>
  <c r="AA35" i="5"/>
  <c r="Z34" i="5"/>
  <c r="Z29" i="5" s="1"/>
  <c r="AA29" i="5" s="1"/>
  <c r="AI79" i="5"/>
  <c r="AA30" i="5"/>
  <c r="AA45" i="5"/>
  <c r="AH20" i="5"/>
  <c r="AI20" i="5" s="1"/>
  <c r="AI21" i="5"/>
  <c r="S30" i="5"/>
  <c r="J30" i="5"/>
  <c r="S70" i="5"/>
  <c r="J70" i="5"/>
  <c r="K70" i="5" s="1"/>
  <c r="R20" i="5"/>
  <c r="S20" i="5" s="1"/>
  <c r="J21" i="5"/>
  <c r="S21" i="5"/>
  <c r="AA36" i="5"/>
  <c r="S80" i="5"/>
  <c r="J80" i="5"/>
  <c r="K80" i="5" s="1"/>
  <c r="S66" i="5"/>
  <c r="J66" i="5"/>
  <c r="R65" i="5"/>
  <c r="S65" i="5" s="1"/>
  <c r="AI55" i="5"/>
  <c r="S83" i="5"/>
  <c r="J83" i="5"/>
  <c r="K83" i="5" s="1"/>
  <c r="S51" i="5"/>
  <c r="J51" i="5"/>
  <c r="K51" i="5" s="1"/>
  <c r="AI58" i="5"/>
  <c r="AH57" i="5"/>
  <c r="S79" i="5"/>
  <c r="J79" i="5"/>
  <c r="K79" i="5" s="1"/>
  <c r="Z57" i="5"/>
  <c r="AA58" i="5"/>
  <c r="AI30" i="6"/>
  <c r="J37" i="6"/>
  <c r="K37" i="6" s="1"/>
  <c r="S37" i="6"/>
  <c r="S45" i="6"/>
  <c r="J45" i="6"/>
  <c r="K45" i="6" s="1"/>
  <c r="S84" i="6"/>
  <c r="J84" i="6"/>
  <c r="K84" i="6" s="1"/>
  <c r="S31" i="5"/>
  <c r="J31" i="5"/>
  <c r="K31" i="5" s="1"/>
  <c r="AI19" i="5"/>
  <c r="AI37" i="5"/>
  <c r="G33" i="7"/>
  <c r="R33" i="7" s="1"/>
  <c r="AI35" i="6"/>
  <c r="AH34" i="6"/>
  <c r="AI34" i="6" s="1"/>
  <c r="AI66" i="6"/>
  <c r="AH65" i="6"/>
  <c r="AI65" i="6" s="1"/>
  <c r="AI78" i="6"/>
  <c r="AH77" i="6"/>
  <c r="AI82" i="6"/>
  <c r="AH85" i="6"/>
  <c r="AI85" i="6" s="1"/>
  <c r="S22" i="6"/>
  <c r="J22" i="6"/>
  <c r="K22" i="6" s="1"/>
  <c r="J25" i="6"/>
  <c r="K25" i="6" s="1"/>
  <c r="S25" i="6"/>
  <c r="J44" i="6"/>
  <c r="S44" i="6"/>
  <c r="J51" i="6"/>
  <c r="K51" i="6" s="1"/>
  <c r="S51" i="6"/>
  <c r="J69" i="6"/>
  <c r="K69" i="6" s="1"/>
  <c r="S69" i="6"/>
  <c r="S72" i="6"/>
  <c r="J72" i="6"/>
  <c r="K72" i="6" s="1"/>
  <c r="S83" i="6"/>
  <c r="J83" i="6"/>
  <c r="K83" i="6" s="1"/>
  <c r="J17" i="6"/>
  <c r="K17" i="6" s="1"/>
  <c r="J67" i="5"/>
  <c r="K67" i="5" s="1"/>
  <c r="S67" i="5"/>
  <c r="AI17" i="5"/>
  <c r="AI43" i="5"/>
  <c r="AA39" i="5"/>
  <c r="Z38" i="5"/>
  <c r="AA38" i="5" s="1"/>
  <c r="J60" i="5"/>
  <c r="K60" i="5" s="1"/>
  <c r="S60" i="5"/>
  <c r="AA18" i="5"/>
  <c r="F40" i="5"/>
  <c r="AA46" i="5"/>
  <c r="S22" i="5"/>
  <c r="J22" i="5"/>
  <c r="K22" i="5" s="1"/>
  <c r="AA25" i="5"/>
  <c r="AI44" i="5"/>
  <c r="J58" i="5"/>
  <c r="R57" i="5"/>
  <c r="S58" i="5"/>
  <c r="F85" i="5"/>
  <c r="AA72" i="5"/>
  <c r="AA59" i="5"/>
  <c r="S59" i="5"/>
  <c r="J59" i="5"/>
  <c r="K59" i="5" s="1"/>
  <c r="AI82" i="5"/>
  <c r="AH85" i="5"/>
  <c r="AA24" i="5"/>
  <c r="T22" i="6"/>
  <c r="J30" i="6"/>
  <c r="S30" i="6"/>
  <c r="AH34" i="5"/>
  <c r="AI35" i="5"/>
  <c r="J63" i="5"/>
  <c r="K63" i="5" s="1"/>
  <c r="S63" i="5"/>
  <c r="Z40" i="5"/>
  <c r="AA40" i="5" s="1"/>
  <c r="AA41" i="5"/>
  <c r="J45" i="5"/>
  <c r="K45" i="5" s="1"/>
  <c r="S45" i="5"/>
  <c r="Z65" i="5"/>
  <c r="AA65" i="5" s="1"/>
  <c r="AA66" i="5"/>
  <c r="F15" i="5"/>
  <c r="F14" i="5" s="1"/>
  <c r="AI75" i="6"/>
  <c r="AH74" i="6"/>
  <c r="AI74" i="6" s="1"/>
  <c r="S39" i="6"/>
  <c r="R38" i="6"/>
  <c r="S38" i="6" s="1"/>
  <c r="J39" i="6"/>
  <c r="S63" i="6"/>
  <c r="J63" i="6"/>
  <c r="K63" i="6" s="1"/>
  <c r="AI44" i="6"/>
  <c r="S24" i="6"/>
  <c r="J24" i="6"/>
  <c r="K24" i="6" s="1"/>
  <c r="AA35" i="6"/>
  <c r="Z34" i="6"/>
  <c r="AA34" i="6" s="1"/>
  <c r="AA44" i="6"/>
  <c r="Z74" i="6"/>
  <c r="AA74" i="6" s="1"/>
  <c r="AA75" i="6"/>
  <c r="J16" i="6"/>
  <c r="S16" i="6"/>
  <c r="R15" i="6"/>
  <c r="J32" i="6"/>
  <c r="K32" i="6" s="1"/>
  <c r="S32" i="6"/>
  <c r="S55" i="6"/>
  <c r="J55" i="6"/>
  <c r="K55" i="6" s="1"/>
  <c r="S59" i="6"/>
  <c r="J59" i="6"/>
  <c r="K59" i="6" s="1"/>
  <c r="S80" i="6"/>
  <c r="J80" i="6"/>
  <c r="K80" i="6" s="1"/>
  <c r="S75" i="6"/>
  <c r="J75" i="6"/>
  <c r="R74" i="6"/>
  <c r="S74" i="6" s="1"/>
  <c r="Z15" i="6"/>
  <c r="S28" i="5"/>
  <c r="J28" i="5"/>
  <c r="K28" i="5" s="1"/>
  <c r="AA19" i="5"/>
  <c r="AA33" i="5"/>
  <c r="AI36" i="5"/>
  <c r="AA83" i="5"/>
  <c r="J64" i="5"/>
  <c r="K64" i="5" s="1"/>
  <c r="S64" i="5"/>
  <c r="F74" i="5"/>
  <c r="J69" i="5"/>
  <c r="K69" i="5" s="1"/>
  <c r="S69" i="5"/>
  <c r="Z85" i="5"/>
  <c r="AA85" i="5" s="1"/>
  <c r="AA82" i="5"/>
  <c r="U16" i="6"/>
  <c r="V16" i="6" s="1"/>
  <c r="Z49" i="6"/>
  <c r="AA49" i="6" s="1"/>
  <c r="AA50" i="6"/>
  <c r="AA82" i="6"/>
  <c r="Z85" i="6"/>
  <c r="AA85" i="6" s="1"/>
  <c r="J33" i="6"/>
  <c r="K33" i="6" s="1"/>
  <c r="S33" i="6"/>
  <c r="S67" i="6"/>
  <c r="J67" i="6"/>
  <c r="K67" i="6" s="1"/>
  <c r="J60" i="6"/>
  <c r="K60" i="6" s="1"/>
  <c r="S60" i="6"/>
  <c r="S54" i="5"/>
  <c r="J54" i="5"/>
  <c r="K54" i="5" s="1"/>
  <c r="S36" i="5"/>
  <c r="J36" i="5"/>
  <c r="K36" i="5" s="1"/>
  <c r="S37" i="5"/>
  <c r="J37" i="5"/>
  <c r="K37" i="5" s="1"/>
  <c r="S73" i="5"/>
  <c r="J73" i="5"/>
  <c r="K73" i="5" s="1"/>
  <c r="J61" i="5"/>
  <c r="K61" i="5" s="1"/>
  <c r="S61" i="5"/>
  <c r="J75" i="5"/>
  <c r="S75" i="5"/>
  <c r="R74" i="5"/>
  <c r="S74" i="5" s="1"/>
  <c r="J84" i="5"/>
  <c r="K84" i="5" s="1"/>
  <c r="S84" i="5"/>
  <c r="S17" i="5"/>
  <c r="J17" i="5"/>
  <c r="K17" i="5" s="1"/>
  <c r="F34" i="5"/>
  <c r="S52" i="6"/>
  <c r="J52" i="6"/>
  <c r="K52" i="6" s="1"/>
  <c r="AH74" i="5"/>
  <c r="AI74" i="5" s="1"/>
  <c r="AI75" i="5"/>
  <c r="AA39" i="6"/>
  <c r="Z38" i="6"/>
  <c r="AA38" i="6" s="1"/>
  <c r="J23" i="6"/>
  <c r="K23" i="6" s="1"/>
  <c r="S23" i="6"/>
  <c r="S36" i="6"/>
  <c r="J36" i="6"/>
  <c r="K36" i="6" s="1"/>
  <c r="S66" i="6"/>
  <c r="J66" i="6"/>
  <c r="R65" i="6"/>
  <c r="S65" i="6" s="1"/>
  <c r="S44" i="5"/>
  <c r="J44" i="5"/>
  <c r="Z15" i="5"/>
  <c r="AA16" i="5"/>
  <c r="AH40" i="5"/>
  <c r="AI40" i="5" s="1"/>
  <c r="AI41" i="5"/>
  <c r="F77" i="5"/>
  <c r="J50" i="5"/>
  <c r="S50" i="5"/>
  <c r="R49" i="5"/>
  <c r="S78" i="5"/>
  <c r="J78" i="5"/>
  <c r="R77" i="5"/>
  <c r="AI50" i="6"/>
  <c r="AH49" i="6"/>
  <c r="AI49" i="6" s="1"/>
  <c r="J35" i="6"/>
  <c r="S35" i="6"/>
  <c r="R34" i="6"/>
  <c r="S34" i="6" s="1"/>
  <c r="J46" i="6"/>
  <c r="K46" i="6" s="1"/>
  <c r="S46" i="6"/>
  <c r="S41" i="6"/>
  <c r="J41" i="6"/>
  <c r="R40" i="6"/>
  <c r="S40" i="6" s="1"/>
  <c r="S68" i="6"/>
  <c r="J68" i="6"/>
  <c r="K68" i="6" s="1"/>
  <c r="S73" i="6"/>
  <c r="J73" i="6"/>
  <c r="K73" i="6" s="1"/>
  <c r="S64" i="6"/>
  <c r="J64" i="6"/>
  <c r="K64" i="6" s="1"/>
  <c r="J18" i="5"/>
  <c r="K18" i="5" s="1"/>
  <c r="S18" i="5"/>
  <c r="AI23" i="5"/>
  <c r="AA43" i="5"/>
  <c r="AA68" i="5"/>
  <c r="S43" i="5"/>
  <c r="J43" i="5"/>
  <c r="K43" i="5" s="1"/>
  <c r="AA22" i="5"/>
  <c r="AI33" i="5"/>
  <c r="S42" i="5"/>
  <c r="J42" i="5"/>
  <c r="K42" i="5" s="1"/>
  <c r="AH77" i="5"/>
  <c r="AI78" i="5"/>
  <c r="AI24" i="5"/>
  <c r="S52" i="5"/>
  <c r="J52" i="5"/>
  <c r="K52" i="5" s="1"/>
  <c r="AI59" i="5"/>
  <c r="S46" i="5"/>
  <c r="J46" i="5"/>
  <c r="K46" i="5" s="1"/>
  <c r="AI54" i="5"/>
  <c r="Z49" i="5"/>
  <c r="AA50" i="5"/>
  <c r="AH15" i="5"/>
  <c r="AI16" i="5"/>
  <c r="AH29" i="5"/>
  <c r="AI30" i="5"/>
  <c r="U22" i="6"/>
  <c r="V22" i="6" s="1"/>
  <c r="S76" i="6"/>
  <c r="J76" i="6"/>
  <c r="K76" i="6" s="1"/>
  <c r="S26" i="5"/>
  <c r="J26" i="5"/>
  <c r="K26" i="5" s="1"/>
  <c r="S33" i="5"/>
  <c r="J33" i="5"/>
  <c r="K33" i="5" s="1"/>
  <c r="J76" i="5"/>
  <c r="K76" i="5" s="1"/>
  <c r="S76" i="5"/>
  <c r="AA30" i="6"/>
  <c r="Z29" i="6"/>
  <c r="AA29" i="6" s="1"/>
  <c r="J21" i="6"/>
  <c r="R20" i="6"/>
  <c r="S20" i="6" s="1"/>
  <c r="S21" i="6"/>
  <c r="AA41" i="6"/>
  <c r="Z40" i="6"/>
  <c r="AA40" i="6" s="1"/>
  <c r="Z65" i="6"/>
  <c r="AA65" i="6" s="1"/>
  <c r="AA66" i="6"/>
  <c r="AI16" i="6"/>
  <c r="AH15" i="6"/>
  <c r="S28" i="6"/>
  <c r="J28" i="6"/>
  <c r="K28" i="6" s="1"/>
  <c r="J26" i="6"/>
  <c r="K26" i="6" s="1"/>
  <c r="S26" i="6"/>
  <c r="S50" i="6"/>
  <c r="J50" i="6"/>
  <c r="R49" i="6"/>
  <c r="S49" i="6" s="1"/>
  <c r="S43" i="6"/>
  <c r="J43" i="6"/>
  <c r="K43" i="6" s="1"/>
  <c r="S62" i="6"/>
  <c r="J62" i="6"/>
  <c r="K62" i="6" s="1"/>
  <c r="R85" i="6"/>
  <c r="S85" i="6" s="1"/>
  <c r="J82" i="6"/>
  <c r="S82" i="6"/>
  <c r="Z77" i="5"/>
  <c r="AA78" i="5"/>
  <c r="F29" i="5"/>
  <c r="S24" i="5"/>
  <c r="J24" i="5"/>
  <c r="K24" i="5" s="1"/>
  <c r="AI46" i="5"/>
  <c r="R34" i="5"/>
  <c r="S34" i="5" s="1"/>
  <c r="S35" i="5"/>
  <c r="J35" i="5"/>
  <c r="AI25" i="5"/>
  <c r="AA37" i="5"/>
  <c r="AI32" i="5"/>
  <c r="S41" i="5"/>
  <c r="J41" i="5"/>
  <c r="R40" i="5"/>
  <c r="S40" i="5" s="1"/>
  <c r="S53" i="5"/>
  <c r="J53" i="5"/>
  <c r="K53" i="5" s="1"/>
  <c r="S25" i="5"/>
  <c r="J25" i="5"/>
  <c r="K25" i="5" s="1"/>
  <c r="AA32" i="5"/>
  <c r="AA44" i="5"/>
  <c r="AI66" i="5"/>
  <c r="AH65" i="5"/>
  <c r="AI65" i="5" s="1"/>
  <c r="AA76" i="5"/>
  <c r="F49" i="5"/>
  <c r="S55" i="5"/>
  <c r="J55" i="5"/>
  <c r="K55" i="5" s="1"/>
  <c r="S72" i="5"/>
  <c r="J72" i="5"/>
  <c r="K72" i="5" s="1"/>
  <c r="AA61" i="5"/>
  <c r="AA42" i="5"/>
  <c r="S23" i="5"/>
  <c r="J23" i="5"/>
  <c r="K23" i="5" s="1"/>
  <c r="AC23" i="6"/>
  <c r="AD23" i="6" s="1"/>
  <c r="AJ27" i="6"/>
  <c r="AI58" i="6"/>
  <c r="AH57" i="6"/>
  <c r="AA58" i="6"/>
  <c r="Z57" i="6"/>
  <c r="S54" i="6"/>
  <c r="J54" i="6"/>
  <c r="K54" i="6" s="1"/>
  <c r="R15" i="5"/>
  <c r="S16" i="5"/>
  <c r="J16" i="5"/>
  <c r="AA21" i="5"/>
  <c r="Z20" i="5"/>
  <c r="AA20" i="5" s="1"/>
  <c r="R31" i="7"/>
  <c r="F11" i="6"/>
  <c r="S19" i="6"/>
  <c r="J19" i="6"/>
  <c r="K19" i="6" s="1"/>
  <c r="AI21" i="6"/>
  <c r="AH20" i="6"/>
  <c r="AI20" i="6" s="1"/>
  <c r="AI39" i="6"/>
  <c r="AH38" i="6"/>
  <c r="AI38" i="6" s="1"/>
  <c r="Z20" i="6"/>
  <c r="AA20" i="6" s="1"/>
  <c r="AA21" i="6"/>
  <c r="Z77" i="6"/>
  <c r="AA78" i="6"/>
  <c r="J31" i="6"/>
  <c r="K31" i="6" s="1"/>
  <c r="S31" i="6"/>
  <c r="J53" i="6"/>
  <c r="K53" i="6" s="1"/>
  <c r="S53" i="6"/>
  <c r="S58" i="6"/>
  <c r="R57" i="6"/>
  <c r="J58" i="6"/>
  <c r="J61" i="6"/>
  <c r="K61" i="6" s="1"/>
  <c r="S61" i="6"/>
  <c r="S71" i="6"/>
  <c r="J71" i="6"/>
  <c r="K71" i="6" s="1"/>
  <c r="S79" i="6"/>
  <c r="J79" i="6"/>
  <c r="K79" i="6" s="1"/>
  <c r="J18" i="6"/>
  <c r="K18" i="6" s="1"/>
  <c r="S62" i="5"/>
  <c r="J62" i="5"/>
  <c r="K62" i="5" s="1"/>
  <c r="S27" i="5"/>
  <c r="J27" i="5"/>
  <c r="K27" i="5" s="1"/>
  <c r="AH38" i="5"/>
  <c r="AI38" i="5" s="1"/>
  <c r="AI39" i="5"/>
  <c r="AI84" i="5"/>
  <c r="S32" i="5"/>
  <c r="J32" i="5"/>
  <c r="K32" i="5" s="1"/>
  <c r="AA75" i="5"/>
  <c r="Z74" i="5"/>
  <c r="AA74" i="5" s="1"/>
  <c r="R38" i="5"/>
  <c r="S38" i="5" s="1"/>
  <c r="J39" i="5"/>
  <c r="S39" i="5"/>
  <c r="J82" i="5"/>
  <c r="R85" i="5"/>
  <c r="S85" i="5" s="1"/>
  <c r="S82" i="5"/>
  <c r="AA26" i="5"/>
  <c r="F13" i="5"/>
  <c r="AI76" i="5"/>
  <c r="AI83" i="5"/>
  <c r="J71" i="5"/>
  <c r="K71" i="5" s="1"/>
  <c r="S71" i="5"/>
  <c r="J68" i="5"/>
  <c r="K68" i="5" s="1"/>
  <c r="S68" i="5"/>
  <c r="AI50" i="5"/>
  <c r="AH49" i="5"/>
  <c r="AI49" i="5" s="1"/>
  <c r="AI63" i="5"/>
  <c r="AA54" i="5"/>
  <c r="AK27" i="6"/>
  <c r="AL27" i="6" s="1"/>
  <c r="AB23" i="6"/>
  <c r="AC67" i="5" l="1"/>
  <c r="AD67" i="5" s="1"/>
  <c r="AB67" i="5"/>
  <c r="Y67" i="5"/>
  <c r="H67" i="5"/>
  <c r="U60" i="5"/>
  <c r="V60" i="5" s="1"/>
  <c r="T60" i="5"/>
  <c r="H60" i="5"/>
  <c r="Q60" i="5"/>
  <c r="T68" i="5"/>
  <c r="H68" i="5"/>
  <c r="Q68" i="5"/>
  <c r="U68" i="5"/>
  <c r="V68" i="5" s="1"/>
  <c r="P65" i="5"/>
  <c r="AG36" i="5"/>
  <c r="AK36" i="5"/>
  <c r="AL36" i="5" s="1"/>
  <c r="AJ36" i="5"/>
  <c r="E49" i="5"/>
  <c r="Q54" i="5"/>
  <c r="AC43" i="5"/>
  <c r="AD43" i="5" s="1"/>
  <c r="AB43" i="5"/>
  <c r="Y43" i="5"/>
  <c r="H43" i="5"/>
  <c r="AF57" i="5"/>
  <c r="AG58" i="5"/>
  <c r="AK58" i="5"/>
  <c r="AL58" i="5" s="1"/>
  <c r="AJ58" i="5"/>
  <c r="Q44" i="5"/>
  <c r="AC45" i="5"/>
  <c r="AD45" i="5" s="1"/>
  <c r="AB45" i="5"/>
  <c r="Y45" i="5"/>
  <c r="AJ18" i="5"/>
  <c r="AK18" i="5"/>
  <c r="AL18" i="5" s="1"/>
  <c r="AG18" i="5"/>
  <c r="AB41" i="5"/>
  <c r="X40" i="5"/>
  <c r="Y41" i="5"/>
  <c r="AC41" i="5"/>
  <c r="AD41" i="5" s="1"/>
  <c r="H41" i="5"/>
  <c r="AG71" i="5"/>
  <c r="AK71" i="5"/>
  <c r="AL71" i="5" s="1"/>
  <c r="AJ71" i="5"/>
  <c r="Q79" i="5"/>
  <c r="T32" i="5"/>
  <c r="Q32" i="5"/>
  <c r="H32" i="5"/>
  <c r="U53" i="5"/>
  <c r="V53" i="5" s="1"/>
  <c r="T53" i="5"/>
  <c r="Q53" i="5"/>
  <c r="H53" i="5"/>
  <c r="P49" i="5"/>
  <c r="AK73" i="5"/>
  <c r="AL73" i="5" s="1"/>
  <c r="AJ73" i="5"/>
  <c r="AG73" i="5"/>
  <c r="AK83" i="5"/>
  <c r="AL83" i="5" s="1"/>
  <c r="AJ83" i="5"/>
  <c r="AG83" i="5"/>
  <c r="AG24" i="5"/>
  <c r="AK24" i="5"/>
  <c r="AL24" i="5" s="1"/>
  <c r="AJ24" i="5"/>
  <c r="AJ46" i="5"/>
  <c r="AG46" i="5"/>
  <c r="AK46" i="5"/>
  <c r="AL46" i="5" s="1"/>
  <c r="Y63" i="5"/>
  <c r="AC63" i="5"/>
  <c r="AD63" i="5" s="1"/>
  <c r="AB63" i="5"/>
  <c r="H63" i="5"/>
  <c r="Y32" i="5"/>
  <c r="AC32" i="5"/>
  <c r="AD32" i="5" s="1"/>
  <c r="AB32" i="5"/>
  <c r="Y24" i="5"/>
  <c r="AB24" i="5"/>
  <c r="AC24" i="5"/>
  <c r="AD24" i="5" s="1"/>
  <c r="H24" i="5"/>
  <c r="AK78" i="5"/>
  <c r="AL78" i="5" s="1"/>
  <c r="AG78" i="5"/>
  <c r="AF77" i="5"/>
  <c r="AJ78" i="5"/>
  <c r="E57" i="5"/>
  <c r="AB51" i="5"/>
  <c r="Y51" i="5"/>
  <c r="AC51" i="5"/>
  <c r="AD51" i="5" s="1"/>
  <c r="H51" i="5"/>
  <c r="AG28" i="5"/>
  <c r="AK28" i="5"/>
  <c r="AL28" i="5" s="1"/>
  <c r="AJ28" i="5"/>
  <c r="AC46" i="5"/>
  <c r="AD46" i="5" s="1"/>
  <c r="AB46" i="5"/>
  <c r="Y46" i="5"/>
  <c r="H46" i="5"/>
  <c r="Y25" i="5"/>
  <c r="AC25" i="5"/>
  <c r="AD25" i="5" s="1"/>
  <c r="AB25" i="5"/>
  <c r="AB55" i="5"/>
  <c r="Y55" i="5"/>
  <c r="AC55" i="5"/>
  <c r="AD55" i="5" s="1"/>
  <c r="Q62" i="5"/>
  <c r="H62" i="5"/>
  <c r="U62" i="5"/>
  <c r="V62" i="5" s="1"/>
  <c r="T62" i="5"/>
  <c r="AB69" i="5"/>
  <c r="Y69" i="5"/>
  <c r="AC69" i="5"/>
  <c r="AD69" i="5" s="1"/>
  <c r="H69" i="5"/>
  <c r="Y36" i="5"/>
  <c r="AC36" i="5"/>
  <c r="AD36" i="5" s="1"/>
  <c r="AB36" i="5"/>
  <c r="H36" i="5"/>
  <c r="AG68" i="5"/>
  <c r="AK68" i="5"/>
  <c r="AL68" i="5" s="1"/>
  <c r="AJ68" i="5"/>
  <c r="AC42" i="5"/>
  <c r="AD42" i="5" s="1"/>
  <c r="AB42" i="5"/>
  <c r="Y42" i="5"/>
  <c r="H42" i="5"/>
  <c r="X20" i="5"/>
  <c r="Y21" i="5"/>
  <c r="AC21" i="5"/>
  <c r="AD21" i="5" s="1"/>
  <c r="AB21" i="5"/>
  <c r="AC30" i="5"/>
  <c r="AD30" i="5" s="1"/>
  <c r="AB30" i="5"/>
  <c r="Y30" i="5"/>
  <c r="H30" i="5"/>
  <c r="AC18" i="5"/>
  <c r="AD18" i="5" s="1"/>
  <c r="AB18" i="5"/>
  <c r="Y18" i="5"/>
  <c r="H18" i="5"/>
  <c r="X85" i="5"/>
  <c r="AC82" i="5"/>
  <c r="AD82" i="5" s="1"/>
  <c r="AB82" i="5"/>
  <c r="Y82" i="5"/>
  <c r="H82" i="5"/>
  <c r="AC16" i="5"/>
  <c r="AD16" i="5" s="1"/>
  <c r="AB16" i="5"/>
  <c r="X15" i="5"/>
  <c r="Y16" i="5"/>
  <c r="H16" i="5"/>
  <c r="AC35" i="5"/>
  <c r="AD35" i="5" s="1"/>
  <c r="X34" i="5"/>
  <c r="X29" i="5" s="1"/>
  <c r="AB35" i="5"/>
  <c r="Y35" i="5"/>
  <c r="H35" i="5"/>
  <c r="P20" i="5"/>
  <c r="Q21" i="5"/>
  <c r="H21" i="5"/>
  <c r="U21" i="5"/>
  <c r="V21" i="5" s="1"/>
  <c r="T21" i="5"/>
  <c r="AJ25" i="5"/>
  <c r="AG25" i="5"/>
  <c r="AK25" i="5"/>
  <c r="AL25" i="5" s="1"/>
  <c r="AF74" i="5"/>
  <c r="AK75" i="5"/>
  <c r="AL75" i="5" s="1"/>
  <c r="AJ75" i="5"/>
  <c r="AG75" i="5"/>
  <c r="AG17" i="5"/>
  <c r="AJ17" i="5"/>
  <c r="AK17" i="5"/>
  <c r="AL17" i="5" s="1"/>
  <c r="AF15" i="5"/>
  <c r="AB78" i="5"/>
  <c r="X77" i="5"/>
  <c r="AC78" i="5"/>
  <c r="AD78" i="5" s="1"/>
  <c r="Y78" i="5"/>
  <c r="H78" i="5"/>
  <c r="AC72" i="5"/>
  <c r="AD72" i="5" s="1"/>
  <c r="AB72" i="5"/>
  <c r="Y72" i="5"/>
  <c r="H72" i="5"/>
  <c r="U75" i="5"/>
  <c r="V75" i="5" s="1"/>
  <c r="T75" i="5"/>
  <c r="H75" i="5"/>
  <c r="Q75" i="5"/>
  <c r="P74" i="5"/>
  <c r="Q25" i="5"/>
  <c r="H25" i="5"/>
  <c r="U25" i="5"/>
  <c r="V25" i="5" s="1"/>
  <c r="T25" i="5"/>
  <c r="AK30" i="5"/>
  <c r="AL30" i="5" s="1"/>
  <c r="AJ30" i="5"/>
  <c r="AG30" i="5"/>
  <c r="AC61" i="5"/>
  <c r="AD61" i="5" s="1"/>
  <c r="AB61" i="5"/>
  <c r="Y61" i="5"/>
  <c r="H61" i="5"/>
  <c r="AJ45" i="5"/>
  <c r="AK45" i="5"/>
  <c r="AL45" i="5" s="1"/>
  <c r="AG45" i="5"/>
  <c r="AG53" i="5"/>
  <c r="AK53" i="5"/>
  <c r="AL53" i="5" s="1"/>
  <c r="AJ53" i="5"/>
  <c r="AB59" i="5"/>
  <c r="Y59" i="5"/>
  <c r="AC59" i="5"/>
  <c r="AD59" i="5" s="1"/>
  <c r="H59" i="5"/>
  <c r="AK79" i="5"/>
  <c r="AL79" i="5" s="1"/>
  <c r="AJ79" i="5"/>
  <c r="AG79" i="5"/>
  <c r="Q58" i="5"/>
  <c r="H58" i="5"/>
  <c r="U58" i="5"/>
  <c r="V58" i="5" s="1"/>
  <c r="T58" i="5"/>
  <c r="P57" i="5"/>
  <c r="AK19" i="5"/>
  <c r="AL19" i="5" s="1"/>
  <c r="AJ19" i="5"/>
  <c r="AG19" i="5"/>
  <c r="T45" i="5"/>
  <c r="Q45" i="5"/>
  <c r="H45" i="5"/>
  <c r="U45" i="5"/>
  <c r="V45" i="5" s="1"/>
  <c r="AB84" i="5"/>
  <c r="Y84" i="5"/>
  <c r="AC84" i="5"/>
  <c r="AD84" i="5" s="1"/>
  <c r="H84" i="5"/>
  <c r="Y54" i="5"/>
  <c r="AB54" i="5"/>
  <c r="AC54" i="5"/>
  <c r="AD54" i="5" s="1"/>
  <c r="H54" i="5"/>
  <c r="AG80" i="5"/>
  <c r="AK80" i="5"/>
  <c r="AL80" i="5" s="1"/>
  <c r="AJ80" i="5"/>
  <c r="AB33" i="5"/>
  <c r="Y33" i="5"/>
  <c r="AC33" i="5"/>
  <c r="AD33" i="5" s="1"/>
  <c r="H33" i="5"/>
  <c r="AC53" i="5"/>
  <c r="AD53" i="5" s="1"/>
  <c r="AB53" i="5"/>
  <c r="Y53" i="5"/>
  <c r="AC60" i="5"/>
  <c r="AD60" i="5" s="1"/>
  <c r="AB60" i="5"/>
  <c r="Y60" i="5"/>
  <c r="AK52" i="5"/>
  <c r="AL52" i="5" s="1"/>
  <c r="AJ52" i="5"/>
  <c r="AG52" i="5"/>
  <c r="E77" i="5"/>
  <c r="Q78" i="5"/>
  <c r="AJ21" i="5"/>
  <c r="AF20" i="5"/>
  <c r="AG21" i="5"/>
  <c r="AK21" i="5"/>
  <c r="AL21" i="5" s="1"/>
  <c r="AB70" i="5"/>
  <c r="Y70" i="5"/>
  <c r="AC70" i="5"/>
  <c r="AD70" i="5" s="1"/>
  <c r="H70" i="5"/>
  <c r="AC39" i="5"/>
  <c r="AD39" i="5" s="1"/>
  <c r="X38" i="5"/>
  <c r="AB39" i="5"/>
  <c r="Y39" i="5"/>
  <c r="H39" i="5"/>
  <c r="AK61" i="5"/>
  <c r="AL61" i="5" s="1"/>
  <c r="AJ61" i="5"/>
  <c r="AG61" i="5"/>
  <c r="Y73" i="5"/>
  <c r="AC73" i="5"/>
  <c r="AD73" i="5" s="1"/>
  <c r="AB73" i="5"/>
  <c r="AK66" i="5"/>
  <c r="AL66" i="5" s="1"/>
  <c r="AJ66" i="5"/>
  <c r="AG66" i="5"/>
  <c r="AF65" i="5"/>
  <c r="AC27" i="5"/>
  <c r="AD27" i="5" s="1"/>
  <c r="AB27" i="5"/>
  <c r="Y27" i="5"/>
  <c r="H27" i="5"/>
  <c r="Y44" i="5"/>
  <c r="AC44" i="5"/>
  <c r="AD44" i="5" s="1"/>
  <c r="AB44" i="5"/>
  <c r="H44" i="5"/>
  <c r="Q33" i="5"/>
  <c r="AB62" i="5"/>
  <c r="Y62" i="5"/>
  <c r="AC62" i="5"/>
  <c r="AD62" i="5" s="1"/>
  <c r="Q37" i="5"/>
  <c r="H37" i="5"/>
  <c r="U37" i="5"/>
  <c r="V37" i="5" s="1"/>
  <c r="T37" i="5"/>
  <c r="P34" i="5"/>
  <c r="AG54" i="5"/>
  <c r="AK54" i="5"/>
  <c r="AL54" i="5" s="1"/>
  <c r="AJ54" i="5"/>
  <c r="AG76" i="5"/>
  <c r="AK76" i="5"/>
  <c r="AL76" i="5" s="1"/>
  <c r="AJ76" i="5"/>
  <c r="AC71" i="5"/>
  <c r="AD71" i="5" s="1"/>
  <c r="AB71" i="5"/>
  <c r="Y71" i="5"/>
  <c r="H71" i="5"/>
  <c r="AC79" i="5"/>
  <c r="AD79" i="5" s="1"/>
  <c r="AB79" i="5"/>
  <c r="Y79" i="5"/>
  <c r="H79" i="5"/>
  <c r="Q73" i="5"/>
  <c r="H73" i="5"/>
  <c r="U73" i="5"/>
  <c r="V73" i="5" s="1"/>
  <c r="T73" i="5"/>
  <c r="AG39" i="5"/>
  <c r="AJ39" i="5"/>
  <c r="AK39" i="5"/>
  <c r="AL39" i="5" s="1"/>
  <c r="AF38" i="5"/>
  <c r="AG55" i="5"/>
  <c r="AK33" i="5"/>
  <c r="AL33" i="5" s="1"/>
  <c r="AJ33" i="5"/>
  <c r="AG33" i="5"/>
  <c r="AG72" i="5"/>
  <c r="AK72" i="5"/>
  <c r="AL72" i="5" s="1"/>
  <c r="AJ72" i="5"/>
  <c r="AG60" i="5"/>
  <c r="AJ60" i="5"/>
  <c r="AK60" i="5"/>
  <c r="AL60" i="5" s="1"/>
  <c r="AK31" i="5"/>
  <c r="AL31" i="5" s="1"/>
  <c r="AG31" i="5"/>
  <c r="AJ31" i="5"/>
  <c r="H31" i="5"/>
  <c r="Y80" i="5"/>
  <c r="AB80" i="5"/>
  <c r="AC80" i="5"/>
  <c r="AD80" i="5" s="1"/>
  <c r="H80" i="5"/>
  <c r="AK23" i="5"/>
  <c r="AL23" i="5" s="1"/>
  <c r="AJ23" i="5"/>
  <c r="AG23" i="5"/>
  <c r="AK22" i="5"/>
  <c r="AL22" i="5" s="1"/>
  <c r="AJ22" i="5"/>
  <c r="AG22" i="5"/>
  <c r="Y17" i="5"/>
  <c r="AC17" i="5"/>
  <c r="AD17" i="5" s="1"/>
  <c r="AB17" i="5"/>
  <c r="H17" i="5"/>
  <c r="X57" i="5"/>
  <c r="Y58" i="5"/>
  <c r="AB58" i="5"/>
  <c r="AC58" i="5"/>
  <c r="AD58" i="5" s="1"/>
  <c r="AB76" i="5"/>
  <c r="Y76" i="5"/>
  <c r="AC76" i="5"/>
  <c r="AD76" i="5" s="1"/>
  <c r="Q55" i="5"/>
  <c r="H55" i="5"/>
  <c r="U55" i="5"/>
  <c r="V55" i="5" s="1"/>
  <c r="T55" i="5"/>
  <c r="AG35" i="5"/>
  <c r="AJ35" i="5"/>
  <c r="AK35" i="5"/>
  <c r="AL35" i="5" s="1"/>
  <c r="AF34" i="5"/>
  <c r="AF29" i="5" s="1"/>
  <c r="AC26" i="5"/>
  <c r="AD26" i="5" s="1"/>
  <c r="AB26" i="5"/>
  <c r="Y26" i="5"/>
  <c r="H26" i="5"/>
  <c r="X74" i="5"/>
  <c r="AC75" i="5"/>
  <c r="AD75" i="5" s="1"/>
  <c r="AB75" i="5"/>
  <c r="Y75" i="5"/>
  <c r="E65" i="5"/>
  <c r="Q66" i="5"/>
  <c r="H76" i="5"/>
  <c r="Q76" i="5"/>
  <c r="T76" i="5"/>
  <c r="U76" i="5"/>
  <c r="V76" i="5" s="1"/>
  <c r="AB83" i="5"/>
  <c r="AC83" i="5"/>
  <c r="AD83" i="5" s="1"/>
  <c r="Y83" i="5"/>
  <c r="H83" i="5"/>
  <c r="E29" i="5"/>
  <c r="AC22" i="5"/>
  <c r="AD22" i="5" s="1"/>
  <c r="AB22" i="5"/>
  <c r="Y22" i="5"/>
  <c r="H22" i="5"/>
  <c r="E40" i="5"/>
  <c r="E13" i="5" s="1"/>
  <c r="Q41" i="5"/>
  <c r="Y28" i="5"/>
  <c r="AB28" i="5"/>
  <c r="AC28" i="5"/>
  <c r="AD28" i="5" s="1"/>
  <c r="H28" i="5"/>
  <c r="AC19" i="5"/>
  <c r="AD19" i="5" s="1"/>
  <c r="AB19" i="5"/>
  <c r="Y19" i="5"/>
  <c r="H19" i="5"/>
  <c r="AC23" i="5"/>
  <c r="AD23" i="5" s="1"/>
  <c r="AB23" i="5"/>
  <c r="Y23" i="5"/>
  <c r="H23" i="5"/>
  <c r="X49" i="5"/>
  <c r="Y50" i="5"/>
  <c r="AB50" i="5"/>
  <c r="AC50" i="5"/>
  <c r="AD50" i="5" s="1"/>
  <c r="H50" i="5"/>
  <c r="AK69" i="5"/>
  <c r="AL69" i="5" s="1"/>
  <c r="AJ69" i="5"/>
  <c r="AG69" i="5"/>
  <c r="AC68" i="5"/>
  <c r="AD68" i="5" s="1"/>
  <c r="AB68" i="5"/>
  <c r="Y68" i="5"/>
  <c r="AK59" i="5"/>
  <c r="AL59" i="5" s="1"/>
  <c r="AJ59" i="5"/>
  <c r="AG59" i="5"/>
  <c r="AC64" i="5"/>
  <c r="AD64" i="5" s="1"/>
  <c r="AB64" i="5"/>
  <c r="Y64" i="5"/>
  <c r="AG82" i="5"/>
  <c r="AF85" i="5"/>
  <c r="AK82" i="5"/>
  <c r="AL82" i="5" s="1"/>
  <c r="AJ82" i="5"/>
  <c r="Q24" i="5"/>
  <c r="E20" i="5"/>
  <c r="AK84" i="5"/>
  <c r="AL84" i="5" s="1"/>
  <c r="AJ84" i="5"/>
  <c r="AG84" i="5"/>
  <c r="AG44" i="5"/>
  <c r="AK44" i="5"/>
  <c r="AL44" i="5" s="1"/>
  <c r="AJ44" i="5"/>
  <c r="AC52" i="5"/>
  <c r="AD52" i="5" s="1"/>
  <c r="AB52" i="5"/>
  <c r="Y52" i="5"/>
  <c r="H52" i="5"/>
  <c r="AB66" i="5"/>
  <c r="Y66" i="5"/>
  <c r="X65" i="5"/>
  <c r="AC66" i="5"/>
  <c r="AD66" i="5" s="1"/>
  <c r="H66" i="5"/>
  <c r="U64" i="5"/>
  <c r="V64" i="5" s="1"/>
  <c r="T64" i="5"/>
  <c r="H64" i="5"/>
  <c r="Q64" i="5"/>
  <c r="AG64" i="5"/>
  <c r="AK64" i="5"/>
  <c r="AL64" i="5" s="1"/>
  <c r="AJ64" i="5"/>
  <c r="AK42" i="5"/>
  <c r="AL42" i="5" s="1"/>
  <c r="AJ42" i="5"/>
  <c r="AG42" i="5"/>
  <c r="AG63" i="5"/>
  <c r="AK63" i="5"/>
  <c r="AL63" i="5" s="1"/>
  <c r="AJ63" i="5"/>
  <c r="AG32" i="5"/>
  <c r="AK32" i="5"/>
  <c r="AL32" i="5" s="1"/>
  <c r="AJ32" i="5"/>
  <c r="AB37" i="5"/>
  <c r="Y37" i="5"/>
  <c r="AC37" i="5"/>
  <c r="AD37" i="5" s="1"/>
  <c r="AK41" i="5"/>
  <c r="AL41" i="5" s="1"/>
  <c r="AJ41" i="5"/>
  <c r="AF40" i="5"/>
  <c r="AG41" i="5"/>
  <c r="AF49" i="5"/>
  <c r="AG50" i="5"/>
  <c r="AK50" i="5"/>
  <c r="AL50" i="5" s="1"/>
  <c r="AJ50" i="5"/>
  <c r="X13" i="6"/>
  <c r="R14" i="5"/>
  <c r="S14" i="5" s="1"/>
  <c r="S15" i="5"/>
  <c r="K50" i="6"/>
  <c r="J49" i="6"/>
  <c r="K49" i="6" s="1"/>
  <c r="AA49" i="5"/>
  <c r="AI77" i="5"/>
  <c r="S77" i="5"/>
  <c r="K44" i="5"/>
  <c r="Z14" i="6"/>
  <c r="AA14" i="6" s="1"/>
  <c r="AA15" i="6"/>
  <c r="K16" i="6"/>
  <c r="J15" i="6"/>
  <c r="L35" i="6"/>
  <c r="I35" i="6"/>
  <c r="H34" i="6"/>
  <c r="M35" i="6"/>
  <c r="N35" i="6" s="1"/>
  <c r="L75" i="6"/>
  <c r="H74" i="6"/>
  <c r="I75" i="6"/>
  <c r="M75" i="6"/>
  <c r="N75" i="6" s="1"/>
  <c r="L27" i="6"/>
  <c r="M27" i="6"/>
  <c r="N27" i="6" s="1"/>
  <c r="I27" i="6"/>
  <c r="Y15" i="6"/>
  <c r="X14" i="6"/>
  <c r="AC15" i="6"/>
  <c r="AD15" i="6" s="1"/>
  <c r="AB15" i="6"/>
  <c r="M44" i="6"/>
  <c r="N44" i="6" s="1"/>
  <c r="L44" i="6"/>
  <c r="I44" i="6"/>
  <c r="AC85" i="6"/>
  <c r="AD85" i="6" s="1"/>
  <c r="AB85" i="6"/>
  <c r="Y85" i="6"/>
  <c r="AG57" i="6"/>
  <c r="AK57" i="6"/>
  <c r="AL57" i="6" s="1"/>
  <c r="AJ57" i="6"/>
  <c r="AF56" i="6"/>
  <c r="AF48" i="6" s="1"/>
  <c r="I26" i="6"/>
  <c r="M26" i="6"/>
  <c r="N26" i="6" s="1"/>
  <c r="L26" i="6"/>
  <c r="Y29" i="6"/>
  <c r="AC29" i="6"/>
  <c r="AD29" i="6" s="1"/>
  <c r="AB29" i="6"/>
  <c r="L37" i="6"/>
  <c r="M37" i="6"/>
  <c r="N37" i="6" s="1"/>
  <c r="I37" i="6"/>
  <c r="AB34" i="6"/>
  <c r="Y34" i="6"/>
  <c r="AC34" i="6"/>
  <c r="AD34" i="6" s="1"/>
  <c r="H38" i="6"/>
  <c r="M39" i="6"/>
  <c r="N39" i="6" s="1"/>
  <c r="I39" i="6"/>
  <c r="L39" i="6"/>
  <c r="I33" i="6"/>
  <c r="M33" i="6"/>
  <c r="N33" i="6" s="1"/>
  <c r="L33" i="6"/>
  <c r="K82" i="5"/>
  <c r="J85" i="5"/>
  <c r="K85" i="5" s="1"/>
  <c r="J40" i="5"/>
  <c r="K40" i="5" s="1"/>
  <c r="K41" i="5"/>
  <c r="J85" i="6"/>
  <c r="K85" i="6" s="1"/>
  <c r="K82" i="6"/>
  <c r="AH14" i="5"/>
  <c r="AI14" i="5" s="1"/>
  <c r="AI15" i="5"/>
  <c r="K78" i="5"/>
  <c r="J77" i="5"/>
  <c r="AI34" i="5"/>
  <c r="K66" i="5"/>
  <c r="J65" i="5"/>
  <c r="K65" i="5" s="1"/>
  <c r="L72" i="6"/>
  <c r="I72" i="6"/>
  <c r="M72" i="6"/>
  <c r="N72" i="6" s="1"/>
  <c r="Y38" i="6"/>
  <c r="AB38" i="6"/>
  <c r="AC38" i="6"/>
  <c r="AD38" i="6" s="1"/>
  <c r="T15" i="5"/>
  <c r="P14" i="5"/>
  <c r="Q15" i="5"/>
  <c r="U15" i="5"/>
  <c r="V15" i="5" s="1"/>
  <c r="L62" i="6"/>
  <c r="M62" i="6"/>
  <c r="N62" i="6" s="1"/>
  <c r="I62" i="6"/>
  <c r="AG77" i="6"/>
  <c r="AK77" i="6"/>
  <c r="AL77" i="6" s="1"/>
  <c r="AJ77" i="6"/>
  <c r="M21" i="6"/>
  <c r="N21" i="6" s="1"/>
  <c r="H20" i="6"/>
  <c r="I21" i="6"/>
  <c r="L21" i="6"/>
  <c r="L46" i="6"/>
  <c r="I46" i="6"/>
  <c r="M46" i="6"/>
  <c r="N46" i="6" s="1"/>
  <c r="Q40" i="5"/>
  <c r="T40" i="5"/>
  <c r="U40" i="5"/>
  <c r="V40" i="5" s="1"/>
  <c r="M22" i="6"/>
  <c r="N22" i="6" s="1"/>
  <c r="L22" i="6"/>
  <c r="I22" i="6"/>
  <c r="X56" i="6"/>
  <c r="AC57" i="6"/>
  <c r="AD57" i="6" s="1"/>
  <c r="Y57" i="6"/>
  <c r="AB57" i="6"/>
  <c r="AG65" i="6"/>
  <c r="AJ65" i="6"/>
  <c r="AK65" i="6"/>
  <c r="AL65" i="6" s="1"/>
  <c r="E14" i="5"/>
  <c r="L82" i="6"/>
  <c r="I82" i="6"/>
  <c r="H85" i="6"/>
  <c r="M82" i="6"/>
  <c r="N82" i="6" s="1"/>
  <c r="J34" i="5"/>
  <c r="K34" i="5" s="1"/>
  <c r="K35" i="5"/>
  <c r="J74" i="5"/>
  <c r="K74" i="5" s="1"/>
  <c r="K75" i="5"/>
  <c r="S77" i="6"/>
  <c r="Q34" i="6"/>
  <c r="U34" i="6"/>
  <c r="V34" i="6" s="1"/>
  <c r="T34" i="6"/>
  <c r="L19" i="6"/>
  <c r="I19" i="6"/>
  <c r="M19" i="6"/>
  <c r="N19" i="6" s="1"/>
  <c r="L55" i="6"/>
  <c r="I55" i="6"/>
  <c r="M55" i="6"/>
  <c r="N55" i="6" s="1"/>
  <c r="Q49" i="6"/>
  <c r="U49" i="6"/>
  <c r="V49" i="6" s="1"/>
  <c r="T49" i="6"/>
  <c r="I43" i="6"/>
  <c r="M43" i="6"/>
  <c r="N43" i="6" s="1"/>
  <c r="L43" i="6"/>
  <c r="L69" i="6"/>
  <c r="M69" i="6"/>
  <c r="N69" i="6" s="1"/>
  <c r="I69" i="6"/>
  <c r="Y20" i="6"/>
  <c r="AC20" i="6"/>
  <c r="AD20" i="6" s="1"/>
  <c r="AB20" i="6"/>
  <c r="U38" i="5"/>
  <c r="V38" i="5" s="1"/>
  <c r="T38" i="5"/>
  <c r="Q38" i="5"/>
  <c r="L79" i="6"/>
  <c r="M79" i="6"/>
  <c r="N79" i="6" s="1"/>
  <c r="I79" i="6"/>
  <c r="AK49" i="6"/>
  <c r="AL49" i="6" s="1"/>
  <c r="AJ49" i="6"/>
  <c r="AG49" i="6"/>
  <c r="P14" i="6"/>
  <c r="U15" i="6"/>
  <c r="V15" i="6" s="1"/>
  <c r="T15" i="6"/>
  <c r="Q15" i="6"/>
  <c r="L60" i="6"/>
  <c r="M60" i="6"/>
  <c r="N60" i="6" s="1"/>
  <c r="I60" i="6"/>
  <c r="I63" i="6"/>
  <c r="L63" i="6"/>
  <c r="M63" i="6"/>
  <c r="N63" i="6" s="1"/>
  <c r="K58" i="6"/>
  <c r="J57" i="6"/>
  <c r="AA77" i="6"/>
  <c r="AA57" i="6"/>
  <c r="Z56" i="6"/>
  <c r="AA56" i="6" s="1"/>
  <c r="S49" i="5"/>
  <c r="K66" i="6"/>
  <c r="J65" i="6"/>
  <c r="K65" i="6" s="1"/>
  <c r="Z13" i="6"/>
  <c r="AA13" i="6" s="1"/>
  <c r="R29" i="6"/>
  <c r="S29" i="6" s="1"/>
  <c r="R56" i="5"/>
  <c r="S56" i="5" s="1"/>
  <c r="S57" i="5"/>
  <c r="K78" i="6"/>
  <c r="J77" i="6"/>
  <c r="M32" i="6"/>
  <c r="N32" i="6" s="1"/>
  <c r="L32" i="6"/>
  <c r="I32" i="6"/>
  <c r="AK40" i="6"/>
  <c r="AL40" i="6" s="1"/>
  <c r="AG40" i="6"/>
  <c r="AJ40" i="6"/>
  <c r="AK34" i="6"/>
  <c r="AL34" i="6" s="1"/>
  <c r="AG34" i="6"/>
  <c r="AJ34" i="6"/>
  <c r="I59" i="6"/>
  <c r="M59" i="6"/>
  <c r="N59" i="6" s="1"/>
  <c r="L59" i="6"/>
  <c r="M28" i="6"/>
  <c r="N28" i="6" s="1"/>
  <c r="I28" i="6"/>
  <c r="L28" i="6"/>
  <c r="L64" i="6"/>
  <c r="I64" i="6"/>
  <c r="M64" i="6"/>
  <c r="N64" i="6" s="1"/>
  <c r="AB74" i="6"/>
  <c r="AC74" i="6"/>
  <c r="AD74" i="6" s="1"/>
  <c r="Y74" i="6"/>
  <c r="AK74" i="6"/>
  <c r="AL74" i="6" s="1"/>
  <c r="AG74" i="6"/>
  <c r="AJ74" i="6"/>
  <c r="M70" i="6"/>
  <c r="N70" i="6" s="1"/>
  <c r="L70" i="6"/>
  <c r="I70" i="6"/>
  <c r="I30" i="6"/>
  <c r="M30" i="6"/>
  <c r="N30" i="6" s="1"/>
  <c r="H29" i="6"/>
  <c r="L30" i="6"/>
  <c r="M45" i="6"/>
  <c r="N45" i="6" s="1"/>
  <c r="L45" i="6"/>
  <c r="I45" i="6"/>
  <c r="J38" i="5"/>
  <c r="K38" i="5" s="1"/>
  <c r="K39" i="5"/>
  <c r="S57" i="6"/>
  <c r="R56" i="6"/>
  <c r="S56" i="6" s="1"/>
  <c r="J34" i="6"/>
  <c r="K34" i="6" s="1"/>
  <c r="K35" i="6"/>
  <c r="J74" i="6"/>
  <c r="K74" i="6" s="1"/>
  <c r="K75" i="6"/>
  <c r="K30" i="6"/>
  <c r="J29" i="6"/>
  <c r="K29" i="6" s="1"/>
  <c r="K58" i="5"/>
  <c r="J57" i="5"/>
  <c r="AH29" i="6"/>
  <c r="AI29" i="6" s="1"/>
  <c r="AA57" i="5"/>
  <c r="Z56" i="5"/>
  <c r="AA56" i="5" s="1"/>
  <c r="I83" i="6"/>
  <c r="M83" i="6"/>
  <c r="N83" i="6" s="1"/>
  <c r="L83" i="6"/>
  <c r="AG15" i="6"/>
  <c r="AJ15" i="6"/>
  <c r="AK15" i="6"/>
  <c r="AL15" i="6" s="1"/>
  <c r="AF14" i="6"/>
  <c r="M31" i="6"/>
  <c r="N31" i="6" s="1"/>
  <c r="L31" i="6"/>
  <c r="I31" i="6"/>
  <c r="H49" i="6"/>
  <c r="I50" i="6"/>
  <c r="L50" i="6"/>
  <c r="M50" i="6"/>
  <c r="N50" i="6" s="1"/>
  <c r="AB40" i="6"/>
  <c r="Y40" i="6"/>
  <c r="AC40" i="6"/>
  <c r="AD40" i="6" s="1"/>
  <c r="L68" i="6"/>
  <c r="M68" i="6"/>
  <c r="N68" i="6" s="1"/>
  <c r="I68" i="6"/>
  <c r="Q77" i="5"/>
  <c r="U77" i="5"/>
  <c r="V77" i="5" s="1"/>
  <c r="T77" i="5"/>
  <c r="L25" i="6"/>
  <c r="I25" i="6"/>
  <c r="M25" i="6"/>
  <c r="N25" i="6" s="1"/>
  <c r="AG38" i="6"/>
  <c r="AK38" i="6"/>
  <c r="AL38" i="6" s="1"/>
  <c r="AJ38" i="6"/>
  <c r="Q65" i="6"/>
  <c r="T65" i="6"/>
  <c r="U65" i="6"/>
  <c r="V65" i="6" s="1"/>
  <c r="Q57" i="6"/>
  <c r="U57" i="6"/>
  <c r="V57" i="6" s="1"/>
  <c r="P56" i="6"/>
  <c r="T57" i="6"/>
  <c r="AI57" i="6"/>
  <c r="AH56" i="6"/>
  <c r="AI56" i="6" s="1"/>
  <c r="J49" i="5"/>
  <c r="K49" i="5" s="1"/>
  <c r="K50" i="5"/>
  <c r="Z14" i="5"/>
  <c r="AA15" i="5"/>
  <c r="K39" i="6"/>
  <c r="J38" i="6"/>
  <c r="K38" i="6" s="1"/>
  <c r="AI77" i="6"/>
  <c r="K30" i="5"/>
  <c r="J29" i="5"/>
  <c r="K29" i="5" s="1"/>
  <c r="L71" i="6"/>
  <c r="I71" i="6"/>
  <c r="M71" i="6"/>
  <c r="N71" i="6" s="1"/>
  <c r="AG20" i="6"/>
  <c r="AK20" i="6"/>
  <c r="AL20" i="6" s="1"/>
  <c r="AJ20" i="6"/>
  <c r="L53" i="6"/>
  <c r="I53" i="6"/>
  <c r="M53" i="6"/>
  <c r="N53" i="6" s="1"/>
  <c r="I36" i="6"/>
  <c r="M36" i="6"/>
  <c r="N36" i="6" s="1"/>
  <c r="L36" i="6"/>
  <c r="M61" i="6"/>
  <c r="N61" i="6" s="1"/>
  <c r="I61" i="6"/>
  <c r="L61" i="6"/>
  <c r="AC77" i="6"/>
  <c r="AD77" i="6" s="1"/>
  <c r="AB77" i="6"/>
  <c r="Y77" i="6"/>
  <c r="X48" i="6"/>
  <c r="L16" i="6"/>
  <c r="I16" i="6"/>
  <c r="M16" i="6"/>
  <c r="N16" i="6" s="1"/>
  <c r="H15" i="6"/>
  <c r="L80" i="6"/>
  <c r="M80" i="6"/>
  <c r="N80" i="6" s="1"/>
  <c r="I80" i="6"/>
  <c r="M24" i="6"/>
  <c r="N24" i="6" s="1"/>
  <c r="L24" i="6"/>
  <c r="I24" i="6"/>
  <c r="Y65" i="6"/>
  <c r="AC65" i="6"/>
  <c r="AD65" i="6" s="1"/>
  <c r="AB65" i="6"/>
  <c r="L42" i="6"/>
  <c r="M42" i="6"/>
  <c r="N42" i="6" s="1"/>
  <c r="I42" i="6"/>
  <c r="M54" i="6"/>
  <c r="N54" i="6" s="1"/>
  <c r="L54" i="6"/>
  <c r="I54" i="6"/>
  <c r="L18" i="6"/>
  <c r="M18" i="6"/>
  <c r="N18" i="6" s="1"/>
  <c r="I18" i="6"/>
  <c r="M52" i="6"/>
  <c r="N52" i="6" s="1"/>
  <c r="L52" i="6"/>
  <c r="I52" i="6"/>
  <c r="M17" i="6"/>
  <c r="N17" i="6" s="1"/>
  <c r="L17" i="6"/>
  <c r="I17" i="6"/>
  <c r="J15" i="5"/>
  <c r="K16" i="5"/>
  <c r="AA77" i="5"/>
  <c r="Z48" i="5"/>
  <c r="AI15" i="6"/>
  <c r="AH14" i="6"/>
  <c r="AI14" i="6" s="1"/>
  <c r="K21" i="6"/>
  <c r="J20" i="6"/>
  <c r="K20" i="6" s="1"/>
  <c r="J40" i="6"/>
  <c r="K40" i="6" s="1"/>
  <c r="K41" i="6"/>
  <c r="R14" i="6"/>
  <c r="S14" i="6" s="1"/>
  <c r="S15" i="6"/>
  <c r="AH13" i="5"/>
  <c r="AI13" i="5" s="1"/>
  <c r="K44" i="6"/>
  <c r="AA34" i="5"/>
  <c r="L73" i="6"/>
  <c r="I73" i="6"/>
  <c r="M73" i="6"/>
  <c r="N73" i="6" s="1"/>
  <c r="L51" i="6"/>
  <c r="M51" i="6"/>
  <c r="N51" i="6" s="1"/>
  <c r="I51" i="6"/>
  <c r="Q74" i="6"/>
  <c r="U74" i="6"/>
  <c r="V74" i="6" s="1"/>
  <c r="T74" i="6"/>
  <c r="Q20" i="6"/>
  <c r="U20" i="6"/>
  <c r="V20" i="6" s="1"/>
  <c r="T20" i="6"/>
  <c r="Q77" i="6"/>
  <c r="U77" i="6"/>
  <c r="V77" i="6" s="1"/>
  <c r="T77" i="6"/>
  <c r="L67" i="6"/>
  <c r="M67" i="6"/>
  <c r="N67" i="6" s="1"/>
  <c r="I67" i="6"/>
  <c r="H65" i="6"/>
  <c r="M66" i="6"/>
  <c r="N66" i="6" s="1"/>
  <c r="I66" i="6"/>
  <c r="L66" i="6"/>
  <c r="U40" i="6"/>
  <c r="V40" i="6" s="1"/>
  <c r="Q40" i="6"/>
  <c r="T40" i="6"/>
  <c r="L76" i="6"/>
  <c r="I76" i="6"/>
  <c r="M76" i="6"/>
  <c r="N76" i="6" s="1"/>
  <c r="T38" i="6"/>
  <c r="Q38" i="6"/>
  <c r="U38" i="6"/>
  <c r="V38" i="6" s="1"/>
  <c r="P29" i="6"/>
  <c r="M58" i="6"/>
  <c r="N58" i="6" s="1"/>
  <c r="I58" i="6"/>
  <c r="H57" i="6"/>
  <c r="L58" i="6"/>
  <c r="AI29" i="5"/>
  <c r="F48" i="5"/>
  <c r="F11" i="5" s="1"/>
  <c r="R13" i="5"/>
  <c r="S13" i="5" s="1"/>
  <c r="AI85" i="5"/>
  <c r="AH56" i="5"/>
  <c r="AI56" i="5" s="1"/>
  <c r="AI57" i="5"/>
  <c r="J20" i="5"/>
  <c r="K20" i="5" s="1"/>
  <c r="K21" i="5"/>
  <c r="R29" i="5"/>
  <c r="S29" i="5" s="1"/>
  <c r="U85" i="5"/>
  <c r="V85" i="5" s="1"/>
  <c r="Q85" i="5"/>
  <c r="T85" i="5"/>
  <c r="H77" i="6"/>
  <c r="I78" i="6"/>
  <c r="M78" i="6"/>
  <c r="N78" i="6" s="1"/>
  <c r="L78" i="6"/>
  <c r="E48" i="6"/>
  <c r="E11" i="6" s="1"/>
  <c r="L23" i="6"/>
  <c r="M23" i="6"/>
  <c r="N23" i="6" s="1"/>
  <c r="I23" i="6"/>
  <c r="AF29" i="6"/>
  <c r="L84" i="6"/>
  <c r="I84" i="6"/>
  <c r="M84" i="6"/>
  <c r="N84" i="6" s="1"/>
  <c r="M41" i="6"/>
  <c r="N41" i="6" s="1"/>
  <c r="L41" i="6"/>
  <c r="H40" i="6"/>
  <c r="I41" i="6"/>
  <c r="AC49" i="6"/>
  <c r="AD49" i="6" s="1"/>
  <c r="Y49" i="6"/>
  <c r="AB49" i="6"/>
  <c r="AG85" i="6"/>
  <c r="AK85" i="6"/>
  <c r="AL85" i="6" s="1"/>
  <c r="AJ85" i="6"/>
  <c r="U85" i="6"/>
  <c r="V85" i="6" s="1"/>
  <c r="T85" i="6"/>
  <c r="Q85" i="6"/>
  <c r="AJ29" i="5" l="1"/>
  <c r="AG29" i="5"/>
  <c r="AK29" i="5"/>
  <c r="AL29" i="5" s="1"/>
  <c r="Y29" i="5"/>
  <c r="AC29" i="5"/>
  <c r="AD29" i="5" s="1"/>
  <c r="AB29" i="5"/>
  <c r="AG48" i="6"/>
  <c r="I40" i="6"/>
  <c r="M40" i="6"/>
  <c r="N40" i="6" s="1"/>
  <c r="L40" i="6"/>
  <c r="AH48" i="6"/>
  <c r="AK48" i="6" s="1"/>
  <c r="AL48" i="6" s="1"/>
  <c r="R13" i="6"/>
  <c r="S13" i="6" s="1"/>
  <c r="K77" i="5"/>
  <c r="M38" i="6"/>
  <c r="N38" i="6" s="1"/>
  <c r="L38" i="6"/>
  <c r="I38" i="6"/>
  <c r="K15" i="6"/>
  <c r="J14" i="6"/>
  <c r="K14" i="6" s="1"/>
  <c r="AG40" i="5"/>
  <c r="AK40" i="5"/>
  <c r="AL40" i="5" s="1"/>
  <c r="AJ40" i="5"/>
  <c r="I64" i="5"/>
  <c r="M64" i="5"/>
  <c r="N64" i="5" s="1"/>
  <c r="L64" i="5"/>
  <c r="AC49" i="5"/>
  <c r="AD49" i="5" s="1"/>
  <c r="AB49" i="5"/>
  <c r="Y49" i="5"/>
  <c r="I83" i="5"/>
  <c r="M83" i="5"/>
  <c r="N83" i="5" s="1"/>
  <c r="L83" i="5"/>
  <c r="M73" i="5"/>
  <c r="N73" i="5" s="1"/>
  <c r="L73" i="5"/>
  <c r="I73" i="5"/>
  <c r="L71" i="5"/>
  <c r="I71" i="5"/>
  <c r="M71" i="5"/>
  <c r="N71" i="5" s="1"/>
  <c r="M39" i="5"/>
  <c r="N39" i="5" s="1"/>
  <c r="L39" i="5"/>
  <c r="I39" i="5"/>
  <c r="H38" i="5"/>
  <c r="M58" i="5"/>
  <c r="N58" i="5" s="1"/>
  <c r="H57" i="5"/>
  <c r="L58" i="5"/>
  <c r="I58" i="5"/>
  <c r="U20" i="5"/>
  <c r="V20" i="5" s="1"/>
  <c r="T20" i="5"/>
  <c r="Q20" i="5"/>
  <c r="AC15" i="5"/>
  <c r="AD15" i="5" s="1"/>
  <c r="AB15" i="5"/>
  <c r="X14" i="5"/>
  <c r="Y15" i="5"/>
  <c r="I30" i="5"/>
  <c r="M30" i="5"/>
  <c r="N30" i="5" s="1"/>
  <c r="L30" i="5"/>
  <c r="M62" i="5"/>
  <c r="N62" i="5" s="1"/>
  <c r="I62" i="5"/>
  <c r="L62" i="5"/>
  <c r="M32" i="5"/>
  <c r="N32" i="5" s="1"/>
  <c r="L32" i="5"/>
  <c r="I32" i="5"/>
  <c r="H40" i="5"/>
  <c r="I41" i="5"/>
  <c r="M41" i="5"/>
  <c r="N41" i="5" s="1"/>
  <c r="L41" i="5"/>
  <c r="M74" i="6"/>
  <c r="N74" i="6" s="1"/>
  <c r="L74" i="6"/>
  <c r="I74" i="6"/>
  <c r="AG85" i="5"/>
  <c r="AJ85" i="5"/>
  <c r="AK85" i="5"/>
  <c r="AL85" i="5" s="1"/>
  <c r="M23" i="5"/>
  <c r="N23" i="5" s="1"/>
  <c r="L23" i="5"/>
  <c r="I23" i="5"/>
  <c r="M19" i="5"/>
  <c r="N19" i="5" s="1"/>
  <c r="L19" i="5"/>
  <c r="I19" i="5"/>
  <c r="AB74" i="5"/>
  <c r="AC74" i="5"/>
  <c r="AD74" i="5" s="1"/>
  <c r="Y74" i="5"/>
  <c r="AG20" i="5"/>
  <c r="AK20" i="5"/>
  <c r="AL20" i="5" s="1"/>
  <c r="AJ20" i="5"/>
  <c r="L84" i="5"/>
  <c r="M84" i="5"/>
  <c r="N84" i="5" s="1"/>
  <c r="I84" i="5"/>
  <c r="I59" i="5"/>
  <c r="L59" i="5"/>
  <c r="M59" i="5"/>
  <c r="N59" i="5" s="1"/>
  <c r="U74" i="5"/>
  <c r="V74" i="5" s="1"/>
  <c r="T74" i="5"/>
  <c r="Q74" i="5"/>
  <c r="H77" i="5"/>
  <c r="L78" i="5"/>
  <c r="I78" i="5"/>
  <c r="M78" i="5"/>
  <c r="N78" i="5" s="1"/>
  <c r="M35" i="5"/>
  <c r="N35" i="5" s="1"/>
  <c r="L35" i="5"/>
  <c r="I35" i="5"/>
  <c r="H34" i="5"/>
  <c r="Y20" i="5"/>
  <c r="AB20" i="5"/>
  <c r="AC20" i="5"/>
  <c r="AD20" i="5" s="1"/>
  <c r="I51" i="5"/>
  <c r="L51" i="5"/>
  <c r="M51" i="5"/>
  <c r="N51" i="5" s="1"/>
  <c r="M24" i="5"/>
  <c r="N24" i="5" s="1"/>
  <c r="L24" i="5"/>
  <c r="I24" i="5"/>
  <c r="Q65" i="5"/>
  <c r="U65" i="5"/>
  <c r="V65" i="5" s="1"/>
  <c r="T65" i="5"/>
  <c r="AK29" i="6"/>
  <c r="AL29" i="6" s="1"/>
  <c r="AG29" i="6"/>
  <c r="AJ29" i="6"/>
  <c r="K15" i="5"/>
  <c r="J14" i="5"/>
  <c r="K14" i="5" s="1"/>
  <c r="Y48" i="6"/>
  <c r="X11" i="6"/>
  <c r="L49" i="6"/>
  <c r="M49" i="6"/>
  <c r="N49" i="6" s="1"/>
  <c r="I49" i="6"/>
  <c r="U14" i="6"/>
  <c r="V14" i="6" s="1"/>
  <c r="Q14" i="6"/>
  <c r="T14" i="6"/>
  <c r="P13" i="6"/>
  <c r="AB14" i="6"/>
  <c r="Y14" i="6"/>
  <c r="AC14" i="6"/>
  <c r="AD14" i="6" s="1"/>
  <c r="M31" i="5"/>
  <c r="N31" i="5" s="1"/>
  <c r="L31" i="5"/>
  <c r="I31" i="5"/>
  <c r="AK38" i="5"/>
  <c r="AL38" i="5" s="1"/>
  <c r="AJ38" i="5"/>
  <c r="AG38" i="5"/>
  <c r="M69" i="5"/>
  <c r="N69" i="5" s="1"/>
  <c r="I69" i="5"/>
  <c r="L69" i="5"/>
  <c r="I46" i="5"/>
  <c r="L46" i="5"/>
  <c r="M46" i="5"/>
  <c r="N46" i="5" s="1"/>
  <c r="U49" i="5"/>
  <c r="V49" i="5" s="1"/>
  <c r="T49" i="5"/>
  <c r="Q49" i="5"/>
  <c r="M43" i="5"/>
  <c r="N43" i="5" s="1"/>
  <c r="L43" i="5"/>
  <c r="I43" i="5"/>
  <c r="L67" i="5"/>
  <c r="M67" i="5"/>
  <c r="N67" i="5" s="1"/>
  <c r="I67" i="5"/>
  <c r="AA14" i="5"/>
  <c r="Z13" i="5"/>
  <c r="AA13" i="5" s="1"/>
  <c r="I29" i="6"/>
  <c r="M29" i="6"/>
  <c r="N29" i="6" s="1"/>
  <c r="L29" i="6"/>
  <c r="M20" i="6"/>
  <c r="N20" i="6" s="1"/>
  <c r="I20" i="6"/>
  <c r="L20" i="6"/>
  <c r="R48" i="5"/>
  <c r="AG49" i="5"/>
  <c r="AK49" i="5"/>
  <c r="AL49" i="5" s="1"/>
  <c r="AJ49" i="5"/>
  <c r="H65" i="5"/>
  <c r="M66" i="5"/>
  <c r="N66" i="5" s="1"/>
  <c r="L66" i="5"/>
  <c r="I66" i="5"/>
  <c r="I22" i="5"/>
  <c r="M22" i="5"/>
  <c r="N22" i="5" s="1"/>
  <c r="L22" i="5"/>
  <c r="I26" i="5"/>
  <c r="M26" i="5"/>
  <c r="N26" i="5" s="1"/>
  <c r="L26" i="5"/>
  <c r="M17" i="5"/>
  <c r="N17" i="5" s="1"/>
  <c r="L17" i="5"/>
  <c r="I17" i="5"/>
  <c r="AK65" i="5"/>
  <c r="AL65" i="5" s="1"/>
  <c r="AJ65" i="5"/>
  <c r="AG65" i="5"/>
  <c r="AC38" i="5"/>
  <c r="AD38" i="5" s="1"/>
  <c r="AB38" i="5"/>
  <c r="Y38" i="5"/>
  <c r="L75" i="5"/>
  <c r="I75" i="5"/>
  <c r="M75" i="5"/>
  <c r="N75" i="5" s="1"/>
  <c r="H74" i="5"/>
  <c r="M82" i="5"/>
  <c r="N82" i="5" s="1"/>
  <c r="L82" i="5"/>
  <c r="H85" i="5"/>
  <c r="I82" i="5"/>
  <c r="M53" i="5"/>
  <c r="N53" i="5" s="1"/>
  <c r="L53" i="5"/>
  <c r="I53" i="5"/>
  <c r="Y40" i="5"/>
  <c r="AC40" i="5"/>
  <c r="AD40" i="5" s="1"/>
  <c r="AB40" i="5"/>
  <c r="J56" i="5"/>
  <c r="K56" i="5" s="1"/>
  <c r="K57" i="5"/>
  <c r="AF13" i="6"/>
  <c r="AF11" i="6" s="1"/>
  <c r="K57" i="6"/>
  <c r="J56" i="6"/>
  <c r="K56" i="6" s="1"/>
  <c r="M65" i="6"/>
  <c r="N65" i="6" s="1"/>
  <c r="I65" i="6"/>
  <c r="L65" i="6"/>
  <c r="U56" i="6"/>
  <c r="V56" i="6" s="1"/>
  <c r="T56" i="6"/>
  <c r="Q56" i="6"/>
  <c r="R48" i="6"/>
  <c r="AH13" i="6"/>
  <c r="AI13" i="6" s="1"/>
  <c r="H13" i="6"/>
  <c r="AH48" i="5"/>
  <c r="AB13" i="6"/>
  <c r="AC13" i="6"/>
  <c r="AD13" i="6" s="1"/>
  <c r="Y13" i="6"/>
  <c r="M50" i="5"/>
  <c r="N50" i="5" s="1"/>
  <c r="H49" i="5"/>
  <c r="L50" i="5"/>
  <c r="I50" i="5"/>
  <c r="L79" i="5"/>
  <c r="I79" i="5"/>
  <c r="M79" i="5"/>
  <c r="N79" i="5" s="1"/>
  <c r="U34" i="5"/>
  <c r="V34" i="5" s="1"/>
  <c r="T34" i="5"/>
  <c r="Q34" i="5"/>
  <c r="M54" i="5"/>
  <c r="N54" i="5" s="1"/>
  <c r="I54" i="5"/>
  <c r="L54" i="5"/>
  <c r="I61" i="5"/>
  <c r="M61" i="5"/>
  <c r="N61" i="5" s="1"/>
  <c r="L61" i="5"/>
  <c r="Y77" i="5"/>
  <c r="AC77" i="5"/>
  <c r="AD77" i="5" s="1"/>
  <c r="AB77" i="5"/>
  <c r="AC34" i="5"/>
  <c r="AD34" i="5" s="1"/>
  <c r="AB34" i="5"/>
  <c r="Y34" i="5"/>
  <c r="L18" i="5"/>
  <c r="I18" i="5"/>
  <c r="M18" i="5"/>
  <c r="N18" i="5" s="1"/>
  <c r="I68" i="5"/>
  <c r="L68" i="5"/>
  <c r="M68" i="5"/>
  <c r="N68" i="5" s="1"/>
  <c r="L77" i="6"/>
  <c r="M77" i="6"/>
  <c r="N77" i="6" s="1"/>
  <c r="I77" i="6"/>
  <c r="K77" i="6"/>
  <c r="J48" i="6"/>
  <c r="M85" i="6"/>
  <c r="N85" i="6" s="1"/>
  <c r="L85" i="6"/>
  <c r="I85" i="6"/>
  <c r="M34" i="6"/>
  <c r="N34" i="6" s="1"/>
  <c r="L34" i="6"/>
  <c r="I34" i="6"/>
  <c r="AC65" i="5"/>
  <c r="AD65" i="5" s="1"/>
  <c r="AB65" i="5"/>
  <c r="Y65" i="5"/>
  <c r="M28" i="5"/>
  <c r="N28" i="5" s="1"/>
  <c r="L28" i="5"/>
  <c r="I28" i="5"/>
  <c r="I55" i="5"/>
  <c r="M55" i="5"/>
  <c r="N55" i="5" s="1"/>
  <c r="L55" i="5"/>
  <c r="M80" i="5"/>
  <c r="N80" i="5" s="1"/>
  <c r="L80" i="5"/>
  <c r="I80" i="5"/>
  <c r="M70" i="5"/>
  <c r="N70" i="5" s="1"/>
  <c r="L70" i="5"/>
  <c r="I70" i="5"/>
  <c r="I33" i="5"/>
  <c r="M33" i="5"/>
  <c r="N33" i="5" s="1"/>
  <c r="L33" i="5"/>
  <c r="U57" i="5"/>
  <c r="V57" i="5" s="1"/>
  <c r="T57" i="5"/>
  <c r="P56" i="5"/>
  <c r="Q57" i="5"/>
  <c r="AK74" i="5"/>
  <c r="AL74" i="5" s="1"/>
  <c r="AG74" i="5"/>
  <c r="AJ74" i="5"/>
  <c r="E56" i="5"/>
  <c r="E48" i="5" s="1"/>
  <c r="E11" i="5" s="1"/>
  <c r="L63" i="5"/>
  <c r="M63" i="5"/>
  <c r="N63" i="5" s="1"/>
  <c r="I63" i="5"/>
  <c r="Q14" i="5"/>
  <c r="U14" i="5"/>
  <c r="V14" i="5" s="1"/>
  <c r="T14" i="5"/>
  <c r="AK56" i="6"/>
  <c r="AL56" i="6" s="1"/>
  <c r="AJ56" i="6"/>
  <c r="AG56" i="6"/>
  <c r="I72" i="5"/>
  <c r="L72" i="5"/>
  <c r="M72" i="5"/>
  <c r="N72" i="5" s="1"/>
  <c r="AK15" i="5"/>
  <c r="AL15" i="5" s="1"/>
  <c r="AJ15" i="5"/>
  <c r="AF14" i="5"/>
  <c r="AG15" i="5"/>
  <c r="I21" i="5"/>
  <c r="L21" i="5"/>
  <c r="H20" i="5"/>
  <c r="M21" i="5"/>
  <c r="N21" i="5" s="1"/>
  <c r="M16" i="5"/>
  <c r="N16" i="5" s="1"/>
  <c r="L16" i="5"/>
  <c r="H15" i="5"/>
  <c r="I16" i="5"/>
  <c r="M36" i="5"/>
  <c r="N36" i="5" s="1"/>
  <c r="L36" i="5"/>
  <c r="I36" i="5"/>
  <c r="H14" i="6"/>
  <c r="M15" i="6"/>
  <c r="N15" i="6" s="1"/>
  <c r="L15" i="6"/>
  <c r="I15" i="6"/>
  <c r="I57" i="6"/>
  <c r="H56" i="6"/>
  <c r="H48" i="6" s="1"/>
  <c r="M57" i="6"/>
  <c r="N57" i="6" s="1"/>
  <c r="L57" i="6"/>
  <c r="Q29" i="6"/>
  <c r="U29" i="6"/>
  <c r="V29" i="6" s="1"/>
  <c r="T29" i="6"/>
  <c r="P48" i="6"/>
  <c r="J13" i="6"/>
  <c r="K13" i="6" s="1"/>
  <c r="AA48" i="5"/>
  <c r="Z11" i="5"/>
  <c r="AA11" i="5" s="1"/>
  <c r="AK14" i="6"/>
  <c r="AL14" i="6" s="1"/>
  <c r="AJ14" i="6"/>
  <c r="AG14" i="6"/>
  <c r="Z48" i="6"/>
  <c r="AC56" i="6"/>
  <c r="AD56" i="6" s="1"/>
  <c r="Y56" i="6"/>
  <c r="AB56" i="6"/>
  <c r="L52" i="5"/>
  <c r="I52" i="5"/>
  <c r="M52" i="5"/>
  <c r="N52" i="5" s="1"/>
  <c r="M76" i="5"/>
  <c r="N76" i="5" s="1"/>
  <c r="I76" i="5"/>
  <c r="L76" i="5"/>
  <c r="AK34" i="5"/>
  <c r="AL34" i="5" s="1"/>
  <c r="AJ34" i="5"/>
  <c r="AG34" i="5"/>
  <c r="AC57" i="5"/>
  <c r="AD57" i="5" s="1"/>
  <c r="X56" i="5"/>
  <c r="X48" i="5" s="1"/>
  <c r="AB57" i="5"/>
  <c r="Y57" i="5"/>
  <c r="I37" i="5"/>
  <c r="M37" i="5"/>
  <c r="N37" i="5" s="1"/>
  <c r="L37" i="5"/>
  <c r="M44" i="5"/>
  <c r="N44" i="5" s="1"/>
  <c r="L44" i="5"/>
  <c r="I44" i="5"/>
  <c r="M27" i="5"/>
  <c r="N27" i="5" s="1"/>
  <c r="L27" i="5"/>
  <c r="I27" i="5"/>
  <c r="I45" i="5"/>
  <c r="M45" i="5"/>
  <c r="N45" i="5" s="1"/>
  <c r="L45" i="5"/>
  <c r="I25" i="5"/>
  <c r="L25" i="5"/>
  <c r="M25" i="5"/>
  <c r="N25" i="5" s="1"/>
  <c r="Y85" i="5"/>
  <c r="AB85" i="5"/>
  <c r="AC85" i="5"/>
  <c r="AD85" i="5" s="1"/>
  <c r="L42" i="5"/>
  <c r="I42" i="5"/>
  <c r="M42" i="5"/>
  <c r="N42" i="5" s="1"/>
  <c r="AJ77" i="5"/>
  <c r="AG77" i="5"/>
  <c r="AK77" i="5"/>
  <c r="AL77" i="5" s="1"/>
  <c r="P29" i="5"/>
  <c r="AG57" i="5"/>
  <c r="AJ57" i="5"/>
  <c r="AF56" i="5"/>
  <c r="AF48" i="5" s="1"/>
  <c r="AK57" i="5"/>
  <c r="AL57" i="5" s="1"/>
  <c r="L60" i="5"/>
  <c r="I60" i="5"/>
  <c r="M60" i="5"/>
  <c r="N60" i="5" s="1"/>
  <c r="AG11" i="6" l="1"/>
  <c r="M48" i="6"/>
  <c r="N48" i="6" s="1"/>
  <c r="L48" i="6"/>
  <c r="I48" i="6"/>
  <c r="H11" i="6"/>
  <c r="AK48" i="5"/>
  <c r="AL48" i="5" s="1"/>
  <c r="AJ48" i="5"/>
  <c r="AG48" i="5"/>
  <c r="AC48" i="5"/>
  <c r="AD48" i="5" s="1"/>
  <c r="AB48" i="5"/>
  <c r="Y48" i="5"/>
  <c r="I13" i="6"/>
  <c r="L13" i="6"/>
  <c r="M13" i="6"/>
  <c r="N13" i="6" s="1"/>
  <c r="Q29" i="5"/>
  <c r="U29" i="5"/>
  <c r="V29" i="5" s="1"/>
  <c r="T29" i="5"/>
  <c r="U56" i="5"/>
  <c r="V56" i="5" s="1"/>
  <c r="T56" i="5"/>
  <c r="Q56" i="5"/>
  <c r="P48" i="5"/>
  <c r="K48" i="6"/>
  <c r="J11" i="6"/>
  <c r="M74" i="5"/>
  <c r="N74" i="5" s="1"/>
  <c r="L74" i="5"/>
  <c r="I74" i="5"/>
  <c r="M20" i="5"/>
  <c r="N20" i="5" s="1"/>
  <c r="L20" i="5"/>
  <c r="I20" i="5"/>
  <c r="L38" i="5"/>
  <c r="I38" i="5"/>
  <c r="M38" i="5"/>
  <c r="N38" i="5" s="1"/>
  <c r="J13" i="5"/>
  <c r="K13" i="5" s="1"/>
  <c r="J48" i="5"/>
  <c r="AJ48" i="6"/>
  <c r="Q48" i="6"/>
  <c r="U48" i="6"/>
  <c r="V48" i="6" s="1"/>
  <c r="T48" i="6"/>
  <c r="P11" i="6"/>
  <c r="L14" i="6"/>
  <c r="M14" i="6"/>
  <c r="N14" i="6" s="1"/>
  <c r="I14" i="6"/>
  <c r="M49" i="5"/>
  <c r="N49" i="5" s="1"/>
  <c r="L49" i="5"/>
  <c r="I49" i="5"/>
  <c r="M77" i="5"/>
  <c r="N77" i="5" s="1"/>
  <c r="L77" i="5"/>
  <c r="I77" i="5"/>
  <c r="M40" i="5"/>
  <c r="N40" i="5" s="1"/>
  <c r="L40" i="5"/>
  <c r="I40" i="5"/>
  <c r="M57" i="5"/>
  <c r="N57" i="5" s="1"/>
  <c r="L57" i="5"/>
  <c r="I57" i="5"/>
  <c r="H56" i="5"/>
  <c r="H48" i="5" s="1"/>
  <c r="P13" i="5"/>
  <c r="AC56" i="5"/>
  <c r="AD56" i="5" s="1"/>
  <c r="AB56" i="5"/>
  <c r="Y56" i="5"/>
  <c r="L56" i="6"/>
  <c r="I56" i="6"/>
  <c r="M56" i="6"/>
  <c r="N56" i="6" s="1"/>
  <c r="L34" i="5"/>
  <c r="I34" i="5"/>
  <c r="M34" i="5"/>
  <c r="N34" i="5" s="1"/>
  <c r="AA48" i="6"/>
  <c r="Z11" i="6"/>
  <c r="AA11" i="6" s="1"/>
  <c r="S48" i="6"/>
  <c r="R11" i="6"/>
  <c r="S11" i="6" s="1"/>
  <c r="U13" i="6"/>
  <c r="V13" i="6" s="1"/>
  <c r="T13" i="6"/>
  <c r="Q13" i="6"/>
  <c r="Y11" i="6"/>
  <c r="AC11" i="6"/>
  <c r="AD11" i="6" s="1"/>
  <c r="AI48" i="6"/>
  <c r="AH11" i="6"/>
  <c r="AI11" i="6" s="1"/>
  <c r="AK13" i="6"/>
  <c r="AL13" i="6" s="1"/>
  <c r="AG13" i="6"/>
  <c r="AJ13" i="6"/>
  <c r="AI48" i="5"/>
  <c r="AH11" i="5"/>
  <c r="AI11" i="5" s="1"/>
  <c r="M85" i="5"/>
  <c r="N85" i="5" s="1"/>
  <c r="L85" i="5"/>
  <c r="I85" i="5"/>
  <c r="Y14" i="5"/>
  <c r="AC14" i="5"/>
  <c r="AD14" i="5" s="1"/>
  <c r="AB14" i="5"/>
  <c r="X13" i="5"/>
  <c r="X11" i="5" s="1"/>
  <c r="AK56" i="5"/>
  <c r="AL56" i="5" s="1"/>
  <c r="AJ56" i="5"/>
  <c r="AG56" i="5"/>
  <c r="H14" i="5"/>
  <c r="I15" i="5"/>
  <c r="M15" i="5"/>
  <c r="N15" i="5" s="1"/>
  <c r="L15" i="5"/>
  <c r="AJ14" i="5"/>
  <c r="AG14" i="5"/>
  <c r="AK14" i="5"/>
  <c r="AL14" i="5" s="1"/>
  <c r="AF13" i="5"/>
  <c r="AF11" i="5" s="1"/>
  <c r="I65" i="5"/>
  <c r="M65" i="5"/>
  <c r="N65" i="5" s="1"/>
  <c r="L65" i="5"/>
  <c r="AC48" i="6"/>
  <c r="AD48" i="6" s="1"/>
  <c r="S48" i="5"/>
  <c r="R11" i="5"/>
  <c r="S11" i="5" s="1"/>
  <c r="AB48" i="6"/>
  <c r="H29" i="5"/>
  <c r="AC11" i="5" l="1"/>
  <c r="AD11" i="5" s="1"/>
  <c r="AB11" i="5"/>
  <c r="Y11" i="5"/>
  <c r="I48" i="5"/>
  <c r="M48" i="5"/>
  <c r="N48" i="5" s="1"/>
  <c r="L48" i="5"/>
  <c r="AK11" i="5"/>
  <c r="AL11" i="5" s="1"/>
  <c r="AJ11" i="5"/>
  <c r="AG11" i="5"/>
  <c r="AB11" i="6"/>
  <c r="U13" i="5"/>
  <c r="V13" i="5" s="1"/>
  <c r="T13" i="5"/>
  <c r="Q13" i="5"/>
  <c r="M11" i="6"/>
  <c r="N11" i="6" s="1"/>
  <c r="L11" i="6"/>
  <c r="I11" i="6"/>
  <c r="K11" i="6"/>
  <c r="Y13" i="5"/>
  <c r="AC13" i="5"/>
  <c r="AD13" i="5" s="1"/>
  <c r="AB13" i="5"/>
  <c r="I29" i="5"/>
  <c r="L29" i="5"/>
  <c r="M29" i="5"/>
  <c r="N29" i="5" s="1"/>
  <c r="L56" i="5"/>
  <c r="I56" i="5"/>
  <c r="M56" i="5"/>
  <c r="N56" i="5" s="1"/>
  <c r="K48" i="5"/>
  <c r="J11" i="5"/>
  <c r="T48" i="5"/>
  <c r="U48" i="5"/>
  <c r="V48" i="5" s="1"/>
  <c r="Q48" i="5"/>
  <c r="P11" i="5"/>
  <c r="AJ11" i="6"/>
  <c r="I14" i="5"/>
  <c r="M14" i="5"/>
  <c r="N14" i="5" s="1"/>
  <c r="L14" i="5"/>
  <c r="H13" i="5"/>
  <c r="Q11" i="6"/>
  <c r="U11" i="6"/>
  <c r="V11" i="6" s="1"/>
  <c r="T11" i="6"/>
  <c r="AK11" i="6"/>
  <c r="AL11" i="6" s="1"/>
  <c r="AG13" i="5"/>
  <c r="AK13" i="5"/>
  <c r="AL13" i="5" s="1"/>
  <c r="AJ13" i="5"/>
  <c r="M13" i="5" l="1"/>
  <c r="N13" i="5" s="1"/>
  <c r="L13" i="5"/>
  <c r="I13" i="5"/>
  <c r="K11" i="5"/>
  <c r="U11" i="5"/>
  <c r="V11" i="5" s="1"/>
  <c r="T11" i="5"/>
  <c r="Q11" i="5"/>
  <c r="H11" i="5"/>
  <c r="M11" i="5" l="1"/>
  <c r="N11" i="5" s="1"/>
  <c r="L11" i="5"/>
  <c r="I11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db_PnL" type="5" refreshedVersion="8" deleted="1" saveData="1">
    <dbPr connection="" command="" commandType="1"/>
    <olapPr rowDrillCount="1000"/>
  </connection>
</connections>
</file>

<file path=xl/sharedStrings.xml><?xml version="1.0" encoding="utf-8"?>
<sst xmlns="http://schemas.openxmlformats.org/spreadsheetml/2006/main" count="1494" uniqueCount="304">
  <si>
    <t>Jan</t>
  </si>
  <si>
    <t>Feb</t>
  </si>
  <si>
    <t>Mar</t>
  </si>
  <si>
    <t>Apr</t>
  </si>
  <si>
    <t>May</t>
  </si>
  <si>
    <t>YTD</t>
  </si>
  <si>
    <t>Jun</t>
  </si>
  <si>
    <t>Jul</t>
  </si>
  <si>
    <t>Aug</t>
  </si>
  <si>
    <t>Set</t>
  </si>
  <si>
    <t>Oct</t>
  </si>
  <si>
    <t>Nov</t>
  </si>
  <si>
    <t>Dec</t>
  </si>
  <si>
    <t>Full Year</t>
  </si>
  <si>
    <t>1Q</t>
  </si>
  <si>
    <t>2Q</t>
  </si>
  <si>
    <t>3Q</t>
  </si>
  <si>
    <t>4Q</t>
  </si>
  <si>
    <t>Net Revenue Contábil</t>
  </si>
  <si>
    <t>Actual</t>
  </si>
  <si>
    <t>Budget</t>
  </si>
  <si>
    <t>Forecast</t>
  </si>
  <si>
    <t>% 25 (Act) x 24 (Act)</t>
  </si>
  <si>
    <t>% 26 (Act) x 25 (Act)</t>
  </si>
  <si>
    <t>% 26 (Act) x 26 (Bgt)</t>
  </si>
  <si>
    <t>% 26 (Act) x 26 (Rfc)</t>
  </si>
  <si>
    <r>
      <t xml:space="preserve">Net Revenue - Contábil Ajustado     </t>
    </r>
    <r>
      <rPr>
        <sz val="12"/>
        <color theme="1"/>
        <rFont val="Calibri"/>
        <family val="2"/>
        <scheme val="minor"/>
      </rPr>
      <t>1) Ajustando provisão de receita na competência de origem   2) Considera eliminação intercompany de 2024 (contabilmente não existe)</t>
    </r>
  </si>
  <si>
    <t>Net Revenue - Orgânico Ajustado</t>
  </si>
  <si>
    <t>Adjusted EBITDA</t>
  </si>
  <si>
    <t>%Ebitda / Net Revenue</t>
  </si>
  <si>
    <t>Adjusted EBITDA after Capex</t>
  </si>
  <si>
    <t>Cash Flow</t>
  </si>
  <si>
    <t>%Cashflow / Ebitda af. Capex</t>
  </si>
  <si>
    <t>Adjusted EBITDA - Orgânico</t>
  </si>
  <si>
    <t>%Ebitda / NetSales</t>
  </si>
  <si>
    <t>Adjusted EBITDA after Capex - Organico</t>
  </si>
  <si>
    <t>%Ebitda af. Capex / NetSales</t>
  </si>
  <si>
    <t>Capex</t>
  </si>
  <si>
    <t>%Capex / NetSales</t>
  </si>
  <si>
    <t>Ativação Budget</t>
  </si>
  <si>
    <t>Ativação Forecast</t>
  </si>
  <si>
    <t>MTD</t>
  </si>
  <si>
    <t>[ BRL M ]</t>
  </si>
  <si>
    <t>Base</t>
  </si>
  <si>
    <t>Ajuste Entre Empresas/Corp</t>
  </si>
  <si>
    <t>Reclass</t>
  </si>
  <si>
    <t>Actual Contábil</t>
  </si>
  <si>
    <t>Ajuste Não Recorrente</t>
  </si>
  <si>
    <t>Baixa Receita (Outros Anos)</t>
  </si>
  <si>
    <t>% NR</t>
  </si>
  <si>
    <t>∆</t>
  </si>
  <si>
    <t>∆%</t>
  </si>
  <si>
    <t>HistoricoOriginal</t>
  </si>
  <si>
    <t>Ajuste Cloud</t>
  </si>
  <si>
    <t>Eliminacao Intercompany</t>
  </si>
  <si>
    <t>Last Year Contábil</t>
  </si>
  <si>
    <t>Last Year</t>
  </si>
  <si>
    <t>Gross Revenue</t>
  </si>
  <si>
    <t>(-) Deductions</t>
  </si>
  <si>
    <t>Net Revenue</t>
  </si>
  <si>
    <t>(-) CoGS</t>
  </si>
  <si>
    <t>(-) COGS</t>
  </si>
  <si>
    <t>= Gross Margin</t>
  </si>
  <si>
    <t>(-) Expenses</t>
  </si>
  <si>
    <t>(-) General &amp; Administrative</t>
  </si>
  <si>
    <t>(-) Sales &amp; Marketing</t>
  </si>
  <si>
    <t>(-) Research &amp; Development</t>
  </si>
  <si>
    <t>Bad Debts Provision</t>
  </si>
  <si>
    <t>(-) Bad Debts Provision</t>
  </si>
  <si>
    <t>Others Income and Expense</t>
  </si>
  <si>
    <t>(+/-) Others Income &amp; Exp.</t>
  </si>
  <si>
    <t>= Adjusted EBITDA</t>
  </si>
  <si>
    <t>BU Allocation</t>
  </si>
  <si>
    <t>(+/-) BU Allocation</t>
  </si>
  <si>
    <t>Holding - Cost Sharing</t>
  </si>
  <si>
    <t>(-) Holding - Cost Sharing</t>
  </si>
  <si>
    <t>Shared Services</t>
  </si>
  <si>
    <t>(+/-) Shared Services</t>
  </si>
  <si>
    <t>Managerial EBITDA</t>
  </si>
  <si>
    <t>Adjustments to EBITDA</t>
  </si>
  <si>
    <t>(+/-) Non-recurring</t>
  </si>
  <si>
    <t>= EBITDA</t>
  </si>
  <si>
    <t>(-) D&amp;A</t>
  </si>
  <si>
    <t>D&amp;A</t>
  </si>
  <si>
    <t>(-) D&amp;A Operating Assests</t>
  </si>
  <si>
    <t>M&amp;A Amortization</t>
  </si>
  <si>
    <t>(-) M&amp;A Amortization</t>
  </si>
  <si>
    <t>Financial Results</t>
  </si>
  <si>
    <t>(+/-) Financial Results</t>
  </si>
  <si>
    <t>(+) Financial Revenue</t>
  </si>
  <si>
    <t>(-) Financial Expenses</t>
  </si>
  <si>
    <t>(-) Income Tax</t>
  </si>
  <si>
    <t>Income Tax</t>
  </si>
  <si>
    <t>(-) Current</t>
  </si>
  <si>
    <t>Deferred Tax</t>
  </si>
  <si>
    <t>(+/-) Deferred</t>
  </si>
  <si>
    <t>(+/-) Deferred Tax</t>
  </si>
  <si>
    <t>Adjusted Net Income</t>
  </si>
  <si>
    <t>Adjustments</t>
  </si>
  <si>
    <t>= Net Income</t>
  </si>
  <si>
    <t>R&amp;D + Capex</t>
  </si>
  <si>
    <t>(-) Capex</t>
  </si>
  <si>
    <t>= Adjusted EBITDA After Capex</t>
  </si>
  <si>
    <t>BGT</t>
  </si>
  <si>
    <t xml:space="preserve">Capex Target </t>
  </si>
  <si>
    <t>Ajuste Ativacao</t>
  </si>
  <si>
    <t>Capex s/Ativação</t>
  </si>
  <si>
    <t>Adj. Ebitda</t>
  </si>
  <si>
    <t>Adj. Ebitda After Capex</t>
  </si>
  <si>
    <t>Net Sales</t>
  </si>
  <si>
    <t>RFC</t>
  </si>
  <si>
    <t>LY</t>
  </si>
  <si>
    <t>%NR</t>
  </si>
  <si>
    <t>Flash</t>
  </si>
  <si>
    <t>=</t>
  </si>
  <si>
    <t>Consolidado nstech</t>
  </si>
  <si>
    <t>Consolidado PSL</t>
  </si>
  <si>
    <t>1.1</t>
  </si>
  <si>
    <t>Torre TMS</t>
  </si>
  <si>
    <t>1.1.1</t>
  </si>
  <si>
    <t>Torre ICP Pequeno e Micro</t>
  </si>
  <si>
    <t>1.1.1.1</t>
  </si>
  <si>
    <t>Bsoft</t>
  </si>
  <si>
    <t>1.1.1.2</t>
  </si>
  <si>
    <t>Datamex</t>
  </si>
  <si>
    <t>1.1.1.3</t>
  </si>
  <si>
    <t>Hivecloud</t>
  </si>
  <si>
    <t>1.1.1.4</t>
  </si>
  <si>
    <t>Otimizy</t>
  </si>
  <si>
    <t>1.1.2</t>
  </si>
  <si>
    <t>Torre ICP Médio e Grande</t>
  </si>
  <si>
    <t>1.1.2.1</t>
  </si>
  <si>
    <t>TMS MG</t>
  </si>
  <si>
    <t>1.1.2.1.1</t>
  </si>
  <si>
    <t>KMM MG</t>
  </si>
  <si>
    <t>1.1.2.1.2</t>
  </si>
  <si>
    <t>ATSLog Outros</t>
  </si>
  <si>
    <t>1.1.2.1.3</t>
  </si>
  <si>
    <t>Praxio - Avacorp</t>
  </si>
  <si>
    <t>1.1.2.1.4</t>
  </si>
  <si>
    <t>Praxio - Globus</t>
  </si>
  <si>
    <t>1.1.2.2</t>
  </si>
  <si>
    <t>Atua</t>
  </si>
  <si>
    <t>1.1.2.3</t>
  </si>
  <si>
    <t>ATSLog Jornada</t>
  </si>
  <si>
    <t>1.1.2.4</t>
  </si>
  <si>
    <t>NSKote</t>
  </si>
  <si>
    <t>1.1.3</t>
  </si>
  <si>
    <t>Signa</t>
  </si>
  <si>
    <t>1.2</t>
  </si>
  <si>
    <t>Fintech</t>
  </si>
  <si>
    <t>1.2.1</t>
  </si>
  <si>
    <t>e-frete</t>
  </si>
  <si>
    <t>1.2.1.1</t>
  </si>
  <si>
    <t>e-frete Meio Pagamento</t>
  </si>
  <si>
    <t>1.2.1.2</t>
  </si>
  <si>
    <t>e-frete nsflow</t>
  </si>
  <si>
    <t>1.2.1.3</t>
  </si>
  <si>
    <t>Torre Fintech - PSL</t>
  </si>
  <si>
    <t>1.2.2</t>
  </si>
  <si>
    <t>Gasola</t>
  </si>
  <si>
    <t>1.2.3</t>
  </si>
  <si>
    <t>Pedágio</t>
  </si>
  <si>
    <t>1.2.3.1</t>
  </si>
  <si>
    <t>Digitalcomm</t>
  </si>
  <si>
    <t>1.2.3.2</t>
  </si>
  <si>
    <t>e-frete Pedágio</t>
  </si>
  <si>
    <t>1.2.3.3</t>
  </si>
  <si>
    <t>Qualp</t>
  </si>
  <si>
    <t>1.3</t>
  </si>
  <si>
    <t>Torre  Mobilidade</t>
  </si>
  <si>
    <t>1.3.1</t>
  </si>
  <si>
    <t>Praxio - Mobilidade</t>
  </si>
  <si>
    <t>1.4</t>
  </si>
  <si>
    <t>Torre Buonny</t>
  </si>
  <si>
    <t>1.4.1</t>
  </si>
  <si>
    <t>Buonny</t>
  </si>
  <si>
    <t>1.4.2</t>
  </si>
  <si>
    <t>Torre VGR - Buonny</t>
  </si>
  <si>
    <t>1.5</t>
  </si>
  <si>
    <t>Atua Redes</t>
  </si>
  <si>
    <t>1.6</t>
  </si>
  <si>
    <t>BU PSL</t>
  </si>
  <si>
    <t>1.6.1</t>
  </si>
  <si>
    <t>BU PSL Comercial</t>
  </si>
  <si>
    <t>1.6.2</t>
  </si>
  <si>
    <t>BU PSL G&amp;A</t>
  </si>
  <si>
    <t>1.6.3</t>
  </si>
  <si>
    <t>BU PSL CS</t>
  </si>
  <si>
    <t>Consolidado Embarcador</t>
  </si>
  <si>
    <t>2.1</t>
  </si>
  <si>
    <t>Torre VGR</t>
  </si>
  <si>
    <t>2.1.1</t>
  </si>
  <si>
    <t>Opentech</t>
  </si>
  <si>
    <t>2.1.2</t>
  </si>
  <si>
    <t>BRK</t>
  </si>
  <si>
    <t>2.1.3</t>
  </si>
  <si>
    <t>LogRisk</t>
  </si>
  <si>
    <t>2.1.4</t>
  </si>
  <si>
    <t>Onisys</t>
  </si>
  <si>
    <t>2.1.5</t>
  </si>
  <si>
    <t>Trafegus</t>
  </si>
  <si>
    <t>2.1.6</t>
  </si>
  <si>
    <t>BU V&amp;RM</t>
  </si>
  <si>
    <t>2.2</t>
  </si>
  <si>
    <t>Torre SW Embarcador</t>
  </si>
  <si>
    <t>2.2.1</t>
  </si>
  <si>
    <t>YMS/WMS</t>
  </si>
  <si>
    <t>2.2.1.1</t>
  </si>
  <si>
    <t>GBM</t>
  </si>
  <si>
    <t>2.2.1.2</t>
  </si>
  <si>
    <t>KMM YMS</t>
  </si>
  <si>
    <t>2.2.1.3</t>
  </si>
  <si>
    <t>KMM WMS</t>
  </si>
  <si>
    <t>2.2.1.4</t>
  </si>
  <si>
    <t>Trizy YMS</t>
  </si>
  <si>
    <t>2.2.1.5</t>
  </si>
  <si>
    <t>LogOne</t>
  </si>
  <si>
    <t>2.2.1.6</t>
  </si>
  <si>
    <t>TNS Booking</t>
  </si>
  <si>
    <t>2.2.1.7</t>
  </si>
  <si>
    <t>TNS Match</t>
  </si>
  <si>
    <t>2.2.2</t>
  </si>
  <si>
    <t>Last Mile</t>
  </si>
  <si>
    <t>2.2.2.1</t>
  </si>
  <si>
    <t>Fusion</t>
  </si>
  <si>
    <t>2.2.2.2</t>
  </si>
  <si>
    <t>Routeasy</t>
  </si>
  <si>
    <t>2.2.2.3</t>
  </si>
  <si>
    <t>Comprovei</t>
  </si>
  <si>
    <t>2.2.3</t>
  </si>
  <si>
    <t>Multisoftware</t>
  </si>
  <si>
    <t>2.2.4</t>
  </si>
  <si>
    <t>Frete Rápido</t>
  </si>
  <si>
    <t>2.2.5</t>
  </si>
  <si>
    <t>Trizy APP</t>
  </si>
  <si>
    <t>2.2.6</t>
  </si>
  <si>
    <t>Runtec</t>
  </si>
  <si>
    <t>2.2.7</t>
  </si>
  <si>
    <t>Projetos Embarcador</t>
  </si>
  <si>
    <t>2.3</t>
  </si>
  <si>
    <t>Insurance Market</t>
  </si>
  <si>
    <t>2.3.1</t>
  </si>
  <si>
    <t>IM</t>
  </si>
  <si>
    <t>2.3.2</t>
  </si>
  <si>
    <t>Torre Insurance Market</t>
  </si>
  <si>
    <t>2.4</t>
  </si>
  <si>
    <t>Mídia</t>
  </si>
  <si>
    <t>2.4.1</t>
  </si>
  <si>
    <t>Mundo Logistica</t>
  </si>
  <si>
    <t>2.4.2</t>
  </si>
  <si>
    <t>Torre Mídia</t>
  </si>
  <si>
    <t>2.5</t>
  </si>
  <si>
    <t>BU EMBARCADOR</t>
  </si>
  <si>
    <t>3.1</t>
  </si>
  <si>
    <t>G&amp;A</t>
  </si>
  <si>
    <t>3.2</t>
  </si>
  <si>
    <t>S&amp;M</t>
  </si>
  <si>
    <t>3.3</t>
  </si>
  <si>
    <t>R&amp;D</t>
  </si>
  <si>
    <t>Corporate</t>
  </si>
  <si>
    <t>1.1.2.5</t>
  </si>
  <si>
    <t>1.1.2.6</t>
  </si>
  <si>
    <t>1.1.2.7</t>
  </si>
  <si>
    <t>1.2.4</t>
  </si>
  <si>
    <t>1.2.5</t>
  </si>
  <si>
    <t>1.2.5.1</t>
  </si>
  <si>
    <t>1.2.5.2</t>
  </si>
  <si>
    <t>1.2.5.3</t>
  </si>
  <si>
    <t>(R$ M)</t>
  </si>
  <si>
    <t>Capex Total</t>
  </si>
  <si>
    <t>Software</t>
  </si>
  <si>
    <t>Equipamentos</t>
  </si>
  <si>
    <t>Benfeitorias e outros</t>
  </si>
  <si>
    <t>Contabil</t>
  </si>
  <si>
    <t>Tipo</t>
  </si>
  <si>
    <t>Empresa</t>
  </si>
  <si>
    <t>Detalhamento</t>
  </si>
  <si>
    <t>M&amp;A</t>
  </si>
  <si>
    <t>Ajustes Contábeis</t>
  </si>
  <si>
    <t>Outros Efeitos</t>
  </si>
  <si>
    <t>ILP's / Desligamentos</t>
  </si>
  <si>
    <t>ILP 1</t>
  </si>
  <si>
    <t>ILP 2</t>
  </si>
  <si>
    <t>ILP 3</t>
  </si>
  <si>
    <t>Reversão Provisões Jurídicas</t>
  </si>
  <si>
    <t>Impacto em Ebitda</t>
  </si>
  <si>
    <t>Impacto abaixo do Ebitda</t>
  </si>
  <si>
    <t>Impacto em Lucro Líquido</t>
  </si>
  <si>
    <t>nova</t>
  </si>
  <si>
    <t>old</t>
  </si>
  <si>
    <t>vr.</t>
  </si>
  <si>
    <t>ATSLog</t>
  </si>
  <si>
    <t>Jornada</t>
  </si>
  <si>
    <t>Outros</t>
  </si>
  <si>
    <t>Conta de despesa, não veio no BI</t>
  </si>
  <si>
    <t>Total PSL</t>
  </si>
  <si>
    <t>Conta duplicada em "Others Income and Expenses"</t>
  </si>
  <si>
    <t>Total BU Embarcador</t>
  </si>
  <si>
    <t>Total Resultado</t>
  </si>
  <si>
    <t>Fechamento Mai26 - Mapeamento de alterações</t>
  </si>
  <si>
    <t>Valor</t>
  </si>
  <si>
    <t>Motivo</t>
  </si>
  <si>
    <t>Check PnL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</si>
</sst>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-* #,##0.00_-;\-* #,##0.00_-;_-* &quot;-&quot;??_-;_-@_-"/>
    <numFmt numFmtId="164" formatCode="#,##0_ ;\-#,##0\ "/>
    <numFmt numFmtId="165" formatCode="0.0%"/>
    <numFmt numFmtId="166" formatCode="_-* #,##0.000_-;\-* #,##0.000_-;_-* &quot;-&quot;??_-;_-@_-"/>
    <numFmt numFmtId="167" formatCode="_-* #,##0_-;\-* #,##0_-;_-* &quot;-&quot;??_-;_-@_-"/>
    <numFmt numFmtId="168" formatCode="#,##0.0"/>
    <numFmt numFmtId="169" formatCode="_(* #,##0.0%_);_(* \(#,##0.0%\);_(* &quot;-&quot;_);_(@_)"/>
    <numFmt numFmtId="170" formatCode="_(* #,##0.0_);_(* \(#,##0.0\);_(* &quot;-&quot;_);_(@_)"/>
    <numFmt numFmtId="171" formatCode="_-* #,##0.0_-;\-* #,##0.0_-;_-* &quot;-&quot;?_-;_-@_-"/>
    <numFmt numFmtId="172" formatCode="_-* #,##0.0_-;\-* #,##0.0_-;_-* &quot;-&quot;??_-;_-@_-"/>
    <numFmt numFmtId="173" formatCode="#,##0.000"/>
    <numFmt numFmtId="174" formatCode="#,##0.0000"/>
    <numFmt numFmtId="175" formatCode="_-* #,##0.0000_-;\-* #,##0.0000_-;_-* &quot;-&quot;??_-;_-@_-"/>
    <numFmt numFmtId="176" formatCode="_-* #,##0.0000000_-;\-* #,##0.0000000_-;_-* &quot;-&quot;??_-;_-@_-"/>
    <numFmt numFmtId="177" formatCode="_-* #,##0.000_-;\-* #,##0.000_-;_-* &quot;-&quot;???_-;_-@_-"/>
    <numFmt numFmtId="178" formatCode="[$-416]mmm\-yy;@"/>
    <numFmt numFmtId="179" formatCode="_-* #,##0.00000_-;\-* #,##0.00000_-;_-* &quot;-&quot;??_-;_-@_-"/>
    <numFmt numFmtId="180" formatCode="0.000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4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Barlow"/>
    </font>
    <font>
      <sz val="10"/>
      <color theme="1" tint="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b/>
      <sz val="9"/>
      <color theme="1" tint="0.14999847407452621"/>
      <name val="Calibri"/>
      <family val="2"/>
      <scheme val="minor"/>
    </font>
    <font>
      <sz val="9"/>
      <color theme="1" tint="0.14999847407452621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b/>
      <sz val="9"/>
      <color theme="1" tint="0.499984740745262"/>
      <name val="Calibri"/>
      <family val="2"/>
      <scheme val="minor"/>
    </font>
    <font>
      <b/>
      <sz val="10"/>
      <color theme="1" tint="0.499984740745262"/>
      <name val="Calibri"/>
      <family val="2"/>
      <scheme val="minor"/>
    </font>
    <font>
      <sz val="9"/>
      <color theme="1" tint="0.499984740745262"/>
      <name val="Calibri"/>
      <family val="2"/>
      <scheme val="minor"/>
    </font>
    <font>
      <b/>
      <sz val="10"/>
      <color theme="1" tint="0.249977111117893"/>
      <name val="Calibri"/>
      <family val="2"/>
      <scheme val="minor"/>
    </font>
    <font>
      <b/>
      <sz val="9"/>
      <color theme="1" tint="0.249977111117893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11"/>
      <color theme="2" tint="-0.749992370372631"/>
      <name val="Calibri"/>
      <family val="2"/>
      <scheme val="minor"/>
    </font>
    <font>
      <b/>
      <i/>
      <sz val="11"/>
      <color theme="0" tint="-0.499984740745262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b/>
      <sz val="11"/>
      <color rgb="FFFF6600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EE39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28">
    <border>
      <left/>
      <right/>
      <top/>
      <bottom/>
      <diagonal/>
    </border>
    <border>
      <left/>
      <right style="double">
        <color theme="0" tint="-0.24994659260841701"/>
      </right>
      <top/>
      <bottom/>
      <diagonal/>
    </border>
    <border>
      <left style="double">
        <color theme="0" tint="-0.34998626667073579"/>
      </left>
      <right style="double">
        <color theme="0" tint="-0.34998626667073579"/>
      </right>
      <top/>
      <bottom/>
      <diagonal/>
    </border>
    <border>
      <left style="double">
        <color theme="0" tint="-0.34998626667073579"/>
      </left>
      <right/>
      <top/>
      <bottom/>
      <diagonal/>
    </border>
    <border>
      <left style="double">
        <color theme="0" tint="-0.24994659260841701"/>
      </left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double">
        <color theme="0" tint="-0.34998626667073579"/>
      </left>
      <right style="double">
        <color theme="0" tint="-0.34998626667073579"/>
      </right>
      <top/>
      <bottom style="thin">
        <color theme="0" tint="-0.34998626667073579"/>
      </bottom>
      <diagonal/>
    </border>
    <border>
      <left style="double">
        <color theme="0" tint="-0.34998626667073579"/>
      </left>
      <right/>
      <top/>
      <bottom style="thin">
        <color theme="0" tint="-0.34998626667073579"/>
      </bottom>
      <diagonal/>
    </border>
    <border>
      <left/>
      <right style="double">
        <color theme="0" tint="-0.24994659260841701"/>
      </right>
      <top/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/>
      </left>
      <right style="thin">
        <color theme="0"/>
      </right>
      <top style="thin">
        <color theme="1" tint="0.24994659260841701"/>
      </top>
      <bottom/>
      <diagonal/>
    </border>
    <border>
      <left/>
      <right/>
      <top style="thin">
        <color theme="0" tint="-4.9989318521683403E-2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/>
      <right/>
      <top/>
      <bottom style="thin">
        <color theme="0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0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/>
      <top style="thin">
        <color theme="0" tint="-0.14996795556505021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3743705557422"/>
      </left>
      <right/>
      <top style="thin">
        <color theme="0" tint="-0.14996795556505021"/>
      </top>
      <bottom style="thin">
        <color theme="0" tint="-0.14993743705557422"/>
      </bottom>
      <diagonal/>
    </border>
    <border>
      <left/>
      <right/>
      <top/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44" fillId="0" borderId="0"/>
  </cellStyleXfs>
  <cellXfs count="330">
    <xf numFmtId="0" fontId="0" fillId="0" borderId="0" xfId="0"/>
    <xf numFmtId="0" fontId="4" fillId="2" borderId="0" xfId="3" applyFont="1" applyFill="1" applyAlignment="1">
      <alignment horizontal="left" vertical="center"/>
    </xf>
    <xf numFmtId="0" fontId="0" fillId="3" borderId="0" xfId="0" applyFill="1"/>
    <xf numFmtId="17" fontId="5" fillId="4" borderId="0" xfId="3" applyNumberFormat="1" applyFont="1" applyFill="1" applyAlignment="1">
      <alignment horizontal="center" vertical="center"/>
    </xf>
    <xf numFmtId="0" fontId="5" fillId="4" borderId="0" xfId="3" applyFont="1" applyFill="1" applyAlignment="1">
      <alignment horizontal="left" vertical="center"/>
    </xf>
    <xf numFmtId="0" fontId="6" fillId="4" borderId="0" xfId="3" applyFont="1" applyFill="1"/>
    <xf numFmtId="0" fontId="7" fillId="4" borderId="0" xfId="3" applyFont="1" applyFill="1"/>
    <xf numFmtId="0" fontId="0" fillId="3" borderId="0" xfId="0" applyFill="1" applyAlignment="1">
      <alignment horizontal="left"/>
    </xf>
    <xf numFmtId="0" fontId="3" fillId="3" borderId="0" xfId="0" applyFont="1" applyFill="1"/>
    <xf numFmtId="0" fontId="8" fillId="5" borderId="0" xfId="3" applyFont="1" applyFill="1" applyAlignment="1">
      <alignment horizontal="center" vertical="center"/>
    </xf>
    <xf numFmtId="0" fontId="9" fillId="5" borderId="0" xfId="3" applyFont="1" applyFill="1" applyAlignment="1">
      <alignment horizontal="center" vertical="center"/>
    </xf>
    <xf numFmtId="0" fontId="8" fillId="5" borderId="1" xfId="3" applyFont="1" applyFill="1" applyBorder="1" applyAlignment="1">
      <alignment horizontal="center" vertical="center"/>
    </xf>
    <xf numFmtId="0" fontId="6" fillId="3" borderId="0" xfId="3" applyFont="1" applyFill="1" applyAlignment="1">
      <alignment horizontal="left"/>
    </xf>
    <xf numFmtId="0" fontId="6" fillId="3" borderId="0" xfId="3" applyFont="1" applyFill="1"/>
    <xf numFmtId="0" fontId="7" fillId="3" borderId="0" xfId="3" applyFont="1" applyFill="1"/>
    <xf numFmtId="0" fontId="6" fillId="3" borderId="0" xfId="3" applyFont="1" applyFill="1" applyAlignment="1">
      <alignment horizontal="center"/>
    </xf>
    <xf numFmtId="0" fontId="7" fillId="3" borderId="0" xfId="3" applyFont="1" applyFill="1" applyAlignment="1">
      <alignment horizontal="center"/>
    </xf>
    <xf numFmtId="0" fontId="10" fillId="6" borderId="0" xfId="0" applyFont="1" applyFill="1" applyAlignment="1">
      <alignment horizontal="left" vertical="center"/>
    </xf>
    <xf numFmtId="0" fontId="10" fillId="6" borderId="0" xfId="0" applyFont="1" applyFill="1" applyAlignment="1">
      <alignment horizontal="center" vertical="center"/>
    </xf>
    <xf numFmtId="17" fontId="7" fillId="7" borderId="0" xfId="3" applyNumberFormat="1" applyFont="1" applyFill="1" applyAlignment="1">
      <alignment horizontal="left" vertical="center"/>
    </xf>
    <xf numFmtId="0" fontId="3" fillId="7" borderId="0" xfId="3" applyFont="1" applyFill="1"/>
    <xf numFmtId="0" fontId="3" fillId="7" borderId="0" xfId="3" applyFont="1" applyFill="1" applyAlignment="1">
      <alignment horizontal="center"/>
    </xf>
    <xf numFmtId="0" fontId="3" fillId="7" borderId="0" xfId="0" applyFont="1" applyFill="1"/>
    <xf numFmtId="0" fontId="0" fillId="0" borderId="0" xfId="3" applyFont="1"/>
    <xf numFmtId="17" fontId="6" fillId="3" borderId="0" xfId="3" applyNumberFormat="1" applyFont="1" applyFill="1" applyAlignment="1">
      <alignment horizontal="left"/>
    </xf>
    <xf numFmtId="1" fontId="6" fillId="3" borderId="0" xfId="3" applyNumberFormat="1" applyFont="1" applyFill="1" applyAlignment="1">
      <alignment horizontal="center" vertical="center"/>
    </xf>
    <xf numFmtId="164" fontId="6" fillId="3" borderId="0" xfId="4" applyNumberFormat="1" applyFont="1" applyFill="1" applyBorder="1" applyAlignment="1">
      <alignment horizontal="center"/>
    </xf>
    <xf numFmtId="164" fontId="11" fillId="3" borderId="0" xfId="4" applyNumberFormat="1" applyFont="1" applyFill="1" applyBorder="1" applyAlignment="1">
      <alignment horizontal="center"/>
    </xf>
    <xf numFmtId="164" fontId="7" fillId="0" borderId="2" xfId="4" applyNumberFormat="1" applyFont="1" applyBorder="1" applyAlignment="1">
      <alignment horizontal="center"/>
    </xf>
    <xf numFmtId="164" fontId="7" fillId="3" borderId="3" xfId="4" applyNumberFormat="1" applyFont="1" applyFill="1" applyBorder="1" applyAlignment="1">
      <alignment horizontal="center"/>
    </xf>
    <xf numFmtId="164" fontId="6" fillId="3" borderId="1" xfId="4" applyNumberFormat="1" applyFont="1" applyFill="1" applyBorder="1" applyAlignment="1">
      <alignment horizontal="center"/>
    </xf>
    <xf numFmtId="164" fontId="7" fillId="3" borderId="0" xfId="4" applyNumberFormat="1" applyFont="1" applyFill="1" applyBorder="1" applyAlignment="1">
      <alignment horizontal="center"/>
    </xf>
    <xf numFmtId="17" fontId="6" fillId="8" borderId="0" xfId="3" applyNumberFormat="1" applyFont="1" applyFill="1" applyAlignment="1">
      <alignment horizontal="left"/>
    </xf>
    <xf numFmtId="1" fontId="6" fillId="8" borderId="0" xfId="3" applyNumberFormat="1" applyFont="1" applyFill="1" applyAlignment="1">
      <alignment horizontal="center" vertical="center"/>
    </xf>
    <xf numFmtId="164" fontId="11" fillId="8" borderId="0" xfId="4" applyNumberFormat="1" applyFont="1" applyFill="1" applyAlignment="1">
      <alignment horizontal="center"/>
    </xf>
    <xf numFmtId="164" fontId="12" fillId="8" borderId="2" xfId="4" applyNumberFormat="1" applyFont="1" applyFill="1" applyBorder="1" applyAlignment="1">
      <alignment horizontal="center"/>
    </xf>
    <xf numFmtId="164" fontId="11" fillId="8" borderId="0" xfId="4" applyNumberFormat="1" applyFont="1" applyFill="1" applyBorder="1" applyAlignment="1">
      <alignment horizontal="center"/>
    </xf>
    <xf numFmtId="164" fontId="7" fillId="8" borderId="4" xfId="4" applyNumberFormat="1" applyFont="1" applyFill="1" applyBorder="1" applyAlignment="1">
      <alignment horizontal="center"/>
    </xf>
    <xf numFmtId="164" fontId="6" fillId="8" borderId="0" xfId="4" applyNumberFormat="1" applyFont="1" applyFill="1" applyAlignment="1">
      <alignment horizontal="center"/>
    </xf>
    <xf numFmtId="164" fontId="6" fillId="8" borderId="1" xfId="4" applyNumberFormat="1" applyFont="1" applyFill="1" applyBorder="1" applyAlignment="1">
      <alignment horizontal="center"/>
    </xf>
    <xf numFmtId="164" fontId="7" fillId="8" borderId="0" xfId="4" applyNumberFormat="1" applyFont="1" applyFill="1" applyAlignment="1">
      <alignment horizontal="center"/>
    </xf>
    <xf numFmtId="17" fontId="6" fillId="3" borderId="5" xfId="3" applyNumberFormat="1" applyFont="1" applyFill="1" applyBorder="1" applyAlignment="1">
      <alignment horizontal="left"/>
    </xf>
    <xf numFmtId="1" fontId="6" fillId="3" borderId="5" xfId="3" applyNumberFormat="1" applyFont="1" applyFill="1" applyBorder="1" applyAlignment="1">
      <alignment horizontal="center" vertical="center"/>
    </xf>
    <xf numFmtId="164" fontId="11" fillId="3" borderId="5" xfId="4" applyNumberFormat="1" applyFont="1" applyFill="1" applyBorder="1" applyAlignment="1">
      <alignment horizontal="center"/>
    </xf>
    <xf numFmtId="164" fontId="6" fillId="3" borderId="5" xfId="4" applyNumberFormat="1" applyFont="1" applyFill="1" applyBorder="1" applyAlignment="1">
      <alignment horizontal="center"/>
    </xf>
    <xf numFmtId="164" fontId="12" fillId="0" borderId="6" xfId="4" applyNumberFormat="1" applyFont="1" applyBorder="1" applyAlignment="1">
      <alignment horizontal="center"/>
    </xf>
    <xf numFmtId="164" fontId="13" fillId="3" borderId="5" xfId="4" applyNumberFormat="1" applyFont="1" applyFill="1" applyBorder="1" applyAlignment="1">
      <alignment horizontal="center"/>
    </xf>
    <xf numFmtId="164" fontId="7" fillId="3" borderId="7" xfId="4" applyNumberFormat="1" applyFont="1" applyFill="1" applyBorder="1" applyAlignment="1">
      <alignment horizontal="center"/>
    </xf>
    <xf numFmtId="164" fontId="6" fillId="3" borderId="8" xfId="4" applyNumberFormat="1" applyFont="1" applyFill="1" applyBorder="1" applyAlignment="1">
      <alignment horizontal="center"/>
    </xf>
    <xf numFmtId="164" fontId="7" fillId="3" borderId="5" xfId="4" applyNumberFormat="1" applyFont="1" applyFill="1" applyBorder="1" applyAlignment="1">
      <alignment horizontal="center"/>
    </xf>
    <xf numFmtId="164" fontId="0" fillId="0" borderId="0" xfId="3" applyNumberFormat="1" applyFont="1"/>
    <xf numFmtId="0" fontId="0" fillId="3" borderId="0" xfId="3" applyFont="1" applyFill="1" applyAlignment="1">
      <alignment horizontal="left"/>
    </xf>
    <xf numFmtId="165" fontId="6" fillId="8" borderId="0" xfId="5" applyNumberFormat="1" applyFont="1" applyFill="1" applyAlignment="1">
      <alignment horizontal="center"/>
    </xf>
    <xf numFmtId="165" fontId="6" fillId="8" borderId="0" xfId="6" applyNumberFormat="1" applyFont="1" applyFill="1" applyAlignment="1">
      <alignment horizontal="center"/>
    </xf>
    <xf numFmtId="165" fontId="7" fillId="8" borderId="2" xfId="5" applyNumberFormat="1" applyFont="1" applyFill="1" applyBorder="1" applyAlignment="1">
      <alignment horizontal="center"/>
    </xf>
    <xf numFmtId="165" fontId="11" fillId="8" borderId="0" xfId="6" applyNumberFormat="1" applyFont="1" applyFill="1" applyAlignment="1">
      <alignment horizontal="center"/>
    </xf>
    <xf numFmtId="165" fontId="7" fillId="8" borderId="3" xfId="6" applyNumberFormat="1" applyFont="1" applyFill="1" applyBorder="1" applyAlignment="1">
      <alignment horizontal="center"/>
    </xf>
    <xf numFmtId="165" fontId="6" fillId="8" borderId="1" xfId="5" applyNumberFormat="1" applyFont="1" applyFill="1" applyBorder="1" applyAlignment="1">
      <alignment horizontal="center"/>
    </xf>
    <xf numFmtId="165" fontId="7" fillId="8" borderId="0" xfId="5" applyNumberFormat="1" applyFont="1" applyFill="1" applyAlignment="1">
      <alignment horizontal="center"/>
    </xf>
    <xf numFmtId="165" fontId="6" fillId="3" borderId="0" xfId="5" applyNumberFormat="1" applyFont="1" applyFill="1" applyAlignment="1">
      <alignment horizontal="center"/>
    </xf>
    <xf numFmtId="165" fontId="6" fillId="3" borderId="0" xfId="6" applyNumberFormat="1" applyFont="1" applyFill="1" applyAlignment="1">
      <alignment horizontal="center"/>
    </xf>
    <xf numFmtId="165" fontId="7" fillId="0" borderId="2" xfId="5" applyNumberFormat="1" applyFont="1" applyBorder="1" applyAlignment="1">
      <alignment horizontal="center"/>
    </xf>
    <xf numFmtId="165" fontId="11" fillId="3" borderId="0" xfId="5" applyNumberFormat="1" applyFont="1" applyFill="1" applyAlignment="1">
      <alignment horizontal="center"/>
    </xf>
    <xf numFmtId="165" fontId="7" fillId="3" borderId="3" xfId="6" applyNumberFormat="1" applyFont="1" applyFill="1" applyBorder="1" applyAlignment="1">
      <alignment horizontal="center"/>
    </xf>
    <xf numFmtId="165" fontId="6" fillId="3" borderId="1" xfId="5" applyNumberFormat="1" applyFont="1" applyFill="1" applyBorder="1" applyAlignment="1">
      <alignment horizontal="center"/>
    </xf>
    <xf numFmtId="165" fontId="7" fillId="3" borderId="0" xfId="5" applyNumberFormat="1" applyFont="1" applyFill="1" applyAlignment="1">
      <alignment horizontal="center"/>
    </xf>
    <xf numFmtId="164" fontId="0" fillId="3" borderId="0" xfId="0" applyNumberFormat="1" applyFill="1"/>
    <xf numFmtId="0" fontId="3" fillId="3" borderId="0" xfId="0" applyFont="1" applyFill="1" applyAlignment="1">
      <alignment vertical="center" wrapText="1"/>
    </xf>
    <xf numFmtId="0" fontId="15" fillId="3" borderId="0" xfId="0" applyFont="1" applyFill="1" applyAlignment="1">
      <alignment vertical="center" wrapText="1"/>
    </xf>
    <xf numFmtId="0" fontId="15" fillId="7" borderId="0" xfId="3" applyFont="1" applyFill="1"/>
    <xf numFmtId="164" fontId="16" fillId="3" borderId="0" xfId="0" applyNumberFormat="1" applyFont="1" applyFill="1"/>
    <xf numFmtId="17" fontId="7" fillId="9" borderId="0" xfId="3" applyNumberFormat="1" applyFont="1" applyFill="1" applyAlignment="1">
      <alignment horizontal="left" vertical="center"/>
    </xf>
    <xf numFmtId="17" fontId="12" fillId="9" borderId="0" xfId="3" applyNumberFormat="1" applyFont="1" applyFill="1" applyAlignment="1">
      <alignment horizontal="left" vertical="center"/>
    </xf>
    <xf numFmtId="10" fontId="0" fillId="3" borderId="0" xfId="0" applyNumberFormat="1" applyFill="1"/>
    <xf numFmtId="10" fontId="3" fillId="3" borderId="0" xfId="0" applyNumberFormat="1" applyFont="1" applyFill="1"/>
    <xf numFmtId="166" fontId="0" fillId="0" borderId="0" xfId="1" applyNumberFormat="1" applyFont="1"/>
    <xf numFmtId="165" fontId="0" fillId="3" borderId="0" xfId="0" applyNumberFormat="1" applyFill="1"/>
    <xf numFmtId="43" fontId="0" fillId="3" borderId="0" xfId="1" applyFont="1" applyFill="1"/>
    <xf numFmtId="43" fontId="0" fillId="3" borderId="0" xfId="0" applyNumberFormat="1" applyFill="1"/>
    <xf numFmtId="43" fontId="3" fillId="3" borderId="0" xfId="0" applyNumberFormat="1" applyFont="1" applyFill="1"/>
    <xf numFmtId="165" fontId="6" fillId="3" borderId="0" xfId="4" applyNumberFormat="1" applyFont="1" applyFill="1" applyAlignment="1">
      <alignment horizontal="center"/>
    </xf>
    <xf numFmtId="165" fontId="6" fillId="3" borderId="0" xfId="4" applyNumberFormat="1" applyFont="1" applyFill="1" applyBorder="1" applyAlignment="1">
      <alignment horizontal="center"/>
    </xf>
    <xf numFmtId="165" fontId="6" fillId="3" borderId="1" xfId="4" applyNumberFormat="1" applyFont="1" applyFill="1" applyBorder="1" applyAlignment="1">
      <alignment horizontal="center"/>
    </xf>
    <xf numFmtId="165" fontId="7" fillId="3" borderId="4" xfId="4" applyNumberFormat="1" applyFont="1" applyFill="1" applyBorder="1" applyAlignment="1">
      <alignment horizontal="center"/>
    </xf>
    <xf numFmtId="165" fontId="7" fillId="3" borderId="0" xfId="4" applyNumberFormat="1" applyFont="1" applyFill="1" applyAlignment="1">
      <alignment horizontal="center"/>
    </xf>
    <xf numFmtId="165" fontId="6" fillId="8" borderId="0" xfId="4" applyNumberFormat="1" applyFont="1" applyFill="1" applyAlignment="1">
      <alignment horizontal="center"/>
    </xf>
    <xf numFmtId="165" fontId="6" fillId="8" borderId="0" xfId="4" applyNumberFormat="1" applyFont="1" applyFill="1" applyBorder="1" applyAlignment="1">
      <alignment horizontal="center"/>
    </xf>
    <xf numFmtId="165" fontId="6" fillId="8" borderId="1" xfId="4" applyNumberFormat="1" applyFont="1" applyFill="1" applyBorder="1" applyAlignment="1">
      <alignment horizontal="center"/>
    </xf>
    <xf numFmtId="165" fontId="7" fillId="8" borderId="4" xfId="4" applyNumberFormat="1" applyFont="1" applyFill="1" applyBorder="1" applyAlignment="1">
      <alignment horizontal="center"/>
    </xf>
    <xf numFmtId="165" fontId="7" fillId="8" borderId="0" xfId="4" applyNumberFormat="1" applyFont="1" applyFill="1" applyAlignment="1">
      <alignment horizontal="center"/>
    </xf>
    <xf numFmtId="165" fontId="0" fillId="3" borderId="0" xfId="2" applyNumberFormat="1" applyFont="1" applyFill="1" applyAlignment="1">
      <alignment horizontal="center"/>
    </xf>
    <xf numFmtId="164" fontId="7" fillId="8" borderId="2" xfId="4" applyNumberFormat="1" applyFont="1" applyFill="1" applyBorder="1" applyAlignment="1">
      <alignment horizontal="center"/>
    </xf>
    <xf numFmtId="164" fontId="6" fillId="8" borderId="0" xfId="4" applyNumberFormat="1" applyFont="1" applyFill="1" applyBorder="1" applyAlignment="1">
      <alignment horizontal="center"/>
    </xf>
    <xf numFmtId="167" fontId="0" fillId="0" borderId="0" xfId="1" applyNumberFormat="1" applyFont="1" applyBorder="1"/>
    <xf numFmtId="165" fontId="0" fillId="0" borderId="0" xfId="2" applyNumberFormat="1" applyFont="1"/>
    <xf numFmtId="165" fontId="0" fillId="0" borderId="0" xfId="0" applyNumberFormat="1"/>
    <xf numFmtId="0" fontId="17" fillId="0" borderId="0" xfId="0" applyFont="1"/>
    <xf numFmtId="167" fontId="0" fillId="0" borderId="0" xfId="0" applyNumberFormat="1"/>
    <xf numFmtId="3" fontId="18" fillId="0" borderId="0" xfId="0" applyNumberFormat="1" applyFont="1" applyAlignment="1">
      <alignment vertical="center"/>
    </xf>
    <xf numFmtId="0" fontId="18" fillId="0" borderId="0" xfId="0" applyFont="1" applyAlignment="1">
      <alignment horizontal="center" vertical="center"/>
    </xf>
    <xf numFmtId="17" fontId="19" fillId="7" borderId="0" xfId="0" applyNumberFormat="1" applyFont="1" applyFill="1" applyAlignment="1">
      <alignment horizontal="center"/>
    </xf>
    <xf numFmtId="0" fontId="20" fillId="10" borderId="0" xfId="0" applyFont="1" applyFill="1" applyAlignment="1">
      <alignment horizontal="center" vertical="center"/>
    </xf>
    <xf numFmtId="0" fontId="0" fillId="0" borderId="9" xfId="0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20" fillId="10" borderId="9" xfId="0" applyFont="1" applyFill="1" applyBorder="1" applyAlignment="1">
      <alignment horizontal="centerContinuous" vertical="center"/>
    </xf>
    <xf numFmtId="0" fontId="17" fillId="0" borderId="9" xfId="0" applyFont="1" applyBorder="1" applyAlignment="1">
      <alignment horizontal="centerContinuous"/>
    </xf>
    <xf numFmtId="0" fontId="21" fillId="0" borderId="9" xfId="0" applyFont="1" applyBorder="1" applyAlignment="1">
      <alignment horizontal="centerContinuous" vertical="center"/>
    </xf>
    <xf numFmtId="0" fontId="0" fillId="0" borderId="0" xfId="0" applyAlignment="1">
      <alignment wrapText="1"/>
    </xf>
    <xf numFmtId="0" fontId="22" fillId="10" borderId="0" xfId="0" applyFont="1" applyFill="1" applyAlignment="1">
      <alignment vertical="center"/>
    </xf>
    <xf numFmtId="0" fontId="23" fillId="0" borderId="0" xfId="0" applyFont="1" applyAlignment="1">
      <alignment vertical="center" wrapText="1"/>
    </xf>
    <xf numFmtId="0" fontId="24" fillId="9" borderId="0" xfId="0" applyFont="1" applyFill="1" applyAlignment="1">
      <alignment horizontal="center" vertical="center" wrapText="1"/>
    </xf>
    <xf numFmtId="0" fontId="24" fillId="11" borderId="0" xfId="0" applyFont="1" applyFill="1" applyAlignment="1">
      <alignment horizontal="center" vertical="center" wrapText="1"/>
    </xf>
    <xf numFmtId="0" fontId="24" fillId="11" borderId="10" xfId="0" applyFont="1" applyFill="1" applyBorder="1" applyAlignment="1">
      <alignment horizontal="center" vertical="center" wrapText="1"/>
    </xf>
    <xf numFmtId="0" fontId="24" fillId="12" borderId="0" xfId="0" applyFont="1" applyFill="1" applyAlignment="1">
      <alignment horizontal="center" vertical="center" wrapText="1"/>
    </xf>
    <xf numFmtId="0" fontId="24" fillId="12" borderId="11" xfId="0" applyFont="1" applyFill="1" applyBorder="1" applyAlignment="1">
      <alignment horizontal="center" vertical="center" wrapText="1"/>
    </xf>
    <xf numFmtId="0" fontId="24" fillId="12" borderId="12" xfId="0" applyFont="1" applyFill="1" applyBorder="1" applyAlignment="1">
      <alignment horizontal="center" vertical="center" wrapText="1"/>
    </xf>
    <xf numFmtId="0" fontId="25" fillId="12" borderId="12" xfId="0" applyFont="1" applyFill="1" applyBorder="1" applyAlignment="1">
      <alignment horizontal="center" vertical="center" wrapText="1"/>
    </xf>
    <xf numFmtId="0" fontId="20" fillId="13" borderId="0" xfId="0" applyFont="1" applyFill="1" applyAlignment="1">
      <alignment horizontal="center" vertical="center" wrapText="1"/>
    </xf>
    <xf numFmtId="0" fontId="20" fillId="5" borderId="0" xfId="0" applyFont="1" applyFill="1" applyAlignment="1">
      <alignment horizontal="center" vertical="center" wrapText="1"/>
    </xf>
    <xf numFmtId="0" fontId="20" fillId="5" borderId="13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center" vertical="center" wrapText="1"/>
    </xf>
    <xf numFmtId="0" fontId="26" fillId="5" borderId="12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vertical="center"/>
    </xf>
    <xf numFmtId="0" fontId="27" fillId="0" borderId="0" xfId="0" applyFont="1" applyAlignment="1">
      <alignment horizontal="left" vertical="center" indent="2"/>
    </xf>
    <xf numFmtId="0" fontId="23" fillId="0" borderId="0" xfId="0" applyFont="1" applyAlignment="1">
      <alignment vertical="center"/>
    </xf>
    <xf numFmtId="168" fontId="23" fillId="0" borderId="0" xfId="0" applyNumberFormat="1" applyFont="1" applyAlignment="1">
      <alignment horizontal="center" vertical="center"/>
    </xf>
    <xf numFmtId="168" fontId="20" fillId="0" borderId="0" xfId="0" applyNumberFormat="1" applyFont="1" applyAlignment="1">
      <alignment horizontal="center" vertical="center"/>
    </xf>
    <xf numFmtId="169" fontId="23" fillId="0" borderId="14" xfId="2" applyNumberFormat="1" applyFont="1" applyFill="1" applyBorder="1" applyAlignment="1">
      <alignment vertical="center"/>
    </xf>
    <xf numFmtId="170" fontId="23" fillId="0" borderId="0" xfId="2" applyNumberFormat="1" applyFont="1" applyFill="1" applyAlignment="1">
      <alignment vertical="center"/>
    </xf>
    <xf numFmtId="169" fontId="28" fillId="0" borderId="0" xfId="2" applyNumberFormat="1" applyFont="1" applyFill="1" applyAlignment="1">
      <alignment vertical="center"/>
    </xf>
    <xf numFmtId="169" fontId="29" fillId="0" borderId="0" xfId="2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9" fontId="20" fillId="0" borderId="14" xfId="2" applyNumberFormat="1" applyFont="1" applyBorder="1" applyAlignment="1">
      <alignment vertical="center"/>
    </xf>
    <xf numFmtId="170" fontId="20" fillId="0" borderId="0" xfId="2" applyNumberFormat="1" applyFont="1" applyAlignment="1">
      <alignment vertical="center"/>
    </xf>
    <xf numFmtId="169" fontId="20" fillId="0" borderId="0" xfId="2" applyNumberFormat="1" applyFont="1" applyAlignment="1">
      <alignment vertical="center"/>
    </xf>
    <xf numFmtId="169" fontId="26" fillId="0" borderId="0" xfId="2" applyNumberFormat="1" applyFont="1" applyAlignment="1">
      <alignment horizontal="center" vertical="center"/>
    </xf>
    <xf numFmtId="169" fontId="23" fillId="0" borderId="14" xfId="2" applyNumberFormat="1" applyFont="1" applyBorder="1" applyAlignment="1">
      <alignment vertical="center"/>
    </xf>
    <xf numFmtId="170" fontId="23" fillId="0" borderId="0" xfId="2" applyNumberFormat="1" applyFont="1" applyAlignment="1">
      <alignment vertical="center"/>
    </xf>
    <xf numFmtId="169" fontId="28" fillId="0" borderId="0" xfId="2" applyNumberFormat="1" applyFont="1" applyAlignment="1">
      <alignment vertical="center"/>
    </xf>
    <xf numFmtId="169" fontId="29" fillId="0" borderId="0" xfId="2" applyNumberFormat="1" applyFont="1" applyAlignment="1">
      <alignment horizontal="center" vertical="center"/>
    </xf>
    <xf numFmtId="0" fontId="24" fillId="14" borderId="0" xfId="0" quotePrefix="1" applyFont="1" applyFill="1" applyAlignment="1">
      <alignment vertical="center"/>
    </xf>
    <xf numFmtId="168" fontId="24" fillId="14" borderId="0" xfId="0" applyNumberFormat="1" applyFont="1" applyFill="1" applyAlignment="1">
      <alignment horizontal="center" vertical="center"/>
    </xf>
    <xf numFmtId="169" fontId="24" fillId="14" borderId="14" xfId="2" applyNumberFormat="1" applyFont="1" applyFill="1" applyBorder="1" applyAlignment="1">
      <alignment vertical="center"/>
    </xf>
    <xf numFmtId="170" fontId="24" fillId="14" borderId="0" xfId="0" applyNumberFormat="1" applyFont="1" applyFill="1" applyAlignment="1">
      <alignment vertical="center"/>
    </xf>
    <xf numFmtId="169" fontId="24" fillId="14" borderId="0" xfId="0" applyNumberFormat="1" applyFont="1" applyFill="1" applyAlignment="1">
      <alignment vertical="center"/>
    </xf>
    <xf numFmtId="169" fontId="25" fillId="14" borderId="0" xfId="0" applyNumberFormat="1" applyFont="1" applyFill="1" applyAlignment="1">
      <alignment horizontal="center" vertical="center"/>
    </xf>
    <xf numFmtId="169" fontId="23" fillId="0" borderId="14" xfId="0" applyNumberFormat="1" applyFont="1" applyBorder="1" applyAlignment="1">
      <alignment vertical="center"/>
    </xf>
    <xf numFmtId="0" fontId="20" fillId="0" borderId="15" xfId="0" quotePrefix="1" applyFont="1" applyBorder="1" applyAlignment="1">
      <alignment vertical="center"/>
    </xf>
    <xf numFmtId="0" fontId="27" fillId="0" borderId="0" xfId="0" applyFont="1" applyAlignment="1">
      <alignment vertical="center"/>
    </xf>
    <xf numFmtId="168" fontId="20" fillId="0" borderId="15" xfId="0" applyNumberFormat="1" applyFont="1" applyBorder="1" applyAlignment="1">
      <alignment horizontal="center" vertical="center"/>
    </xf>
    <xf numFmtId="169" fontId="20" fillId="0" borderId="16" xfId="2" applyNumberFormat="1" applyFont="1" applyFill="1" applyBorder="1" applyAlignment="1">
      <alignment vertical="center"/>
    </xf>
    <xf numFmtId="170" fontId="20" fillId="0" borderId="15" xfId="0" applyNumberFormat="1" applyFont="1" applyBorder="1" applyAlignment="1">
      <alignment vertical="center"/>
    </xf>
    <xf numFmtId="169" fontId="20" fillId="0" borderId="15" xfId="0" applyNumberFormat="1" applyFont="1" applyBorder="1" applyAlignment="1">
      <alignment vertical="center"/>
    </xf>
    <xf numFmtId="169" fontId="17" fillId="0" borderId="15" xfId="0" applyNumberFormat="1" applyFont="1" applyBorder="1" applyAlignment="1">
      <alignment horizontal="center" vertical="center"/>
    </xf>
    <xf numFmtId="169" fontId="27" fillId="0" borderId="14" xfId="2" applyNumberFormat="1" applyFont="1" applyBorder="1" applyAlignment="1">
      <alignment vertical="center"/>
    </xf>
    <xf numFmtId="170" fontId="27" fillId="0" borderId="0" xfId="2" applyNumberFormat="1" applyFont="1" applyAlignment="1">
      <alignment vertical="center"/>
    </xf>
    <xf numFmtId="169" fontId="27" fillId="0" borderId="0" xfId="2" applyNumberFormat="1" applyFont="1" applyAlignment="1">
      <alignment vertical="center"/>
    </xf>
    <xf numFmtId="169" fontId="30" fillId="0" borderId="0" xfId="2" applyNumberFormat="1" applyFont="1" applyAlignment="1">
      <alignment horizontal="center" vertical="center"/>
    </xf>
    <xf numFmtId="4" fontId="24" fillId="14" borderId="0" xfId="0" applyNumberFormat="1" applyFont="1" applyFill="1" applyAlignment="1">
      <alignment horizontal="center" vertical="center"/>
    </xf>
    <xf numFmtId="169" fontId="17" fillId="0" borderId="0" xfId="2" applyNumberFormat="1" applyFont="1" applyAlignment="1">
      <alignment vertical="center"/>
    </xf>
    <xf numFmtId="165" fontId="23" fillId="0" borderId="14" xfId="0" applyNumberFormat="1" applyFont="1" applyBorder="1" applyAlignment="1">
      <alignment vertical="center"/>
    </xf>
    <xf numFmtId="0" fontId="20" fillId="8" borderId="0" xfId="0" quotePrefix="1" applyFont="1" applyFill="1" applyAlignment="1">
      <alignment vertical="center"/>
    </xf>
    <xf numFmtId="0" fontId="31" fillId="0" borderId="0" xfId="0" applyFont="1" applyAlignment="1">
      <alignment vertical="center"/>
    </xf>
    <xf numFmtId="168" fontId="20" fillId="8" borderId="0" xfId="0" applyNumberFormat="1" applyFont="1" applyFill="1" applyAlignment="1">
      <alignment horizontal="center" vertical="center"/>
    </xf>
    <xf numFmtId="169" fontId="20" fillId="8" borderId="14" xfId="2" applyNumberFormat="1" applyFont="1" applyFill="1" applyBorder="1" applyAlignment="1">
      <alignment vertical="center"/>
    </xf>
    <xf numFmtId="170" fontId="20" fillId="8" borderId="0" xfId="0" applyNumberFormat="1" applyFont="1" applyFill="1" applyAlignment="1">
      <alignment vertical="center"/>
    </xf>
    <xf numFmtId="169" fontId="20" fillId="8" borderId="0" xfId="2" applyNumberFormat="1" applyFont="1" applyFill="1" applyAlignment="1">
      <alignment vertical="center"/>
    </xf>
    <xf numFmtId="169" fontId="32" fillId="8" borderId="0" xfId="2" applyNumberFormat="1" applyFont="1" applyFill="1" applyAlignment="1">
      <alignment horizontal="center" vertical="center"/>
    </xf>
    <xf numFmtId="0" fontId="33" fillId="10" borderId="0" xfId="0" applyFont="1" applyFill="1" applyAlignment="1">
      <alignment horizontal="left" vertical="center" indent="2"/>
    </xf>
    <xf numFmtId="168" fontId="33" fillId="0" borderId="0" xfId="0" applyNumberFormat="1" applyFont="1" applyAlignment="1">
      <alignment horizontal="center" vertical="center"/>
    </xf>
    <xf numFmtId="4" fontId="33" fillId="0" borderId="0" xfId="0" applyNumberFormat="1" applyFont="1" applyAlignment="1">
      <alignment horizontal="center" vertical="center"/>
    </xf>
    <xf numFmtId="169" fontId="33" fillId="10" borderId="14" xfId="2" applyNumberFormat="1" applyFont="1" applyFill="1" applyBorder="1" applyAlignment="1">
      <alignment vertical="center"/>
    </xf>
    <xf numFmtId="170" fontId="33" fillId="10" borderId="0" xfId="2" applyNumberFormat="1" applyFont="1" applyFill="1" applyAlignment="1">
      <alignment vertical="center"/>
    </xf>
    <xf numFmtId="169" fontId="33" fillId="10" borderId="0" xfId="2" applyNumberFormat="1" applyFont="1" applyFill="1" applyAlignment="1">
      <alignment vertical="center"/>
    </xf>
    <xf numFmtId="169" fontId="32" fillId="10" borderId="0" xfId="2" applyNumberFormat="1" applyFont="1" applyFill="1" applyAlignment="1">
      <alignment horizontal="center" vertical="center"/>
    </xf>
    <xf numFmtId="0" fontId="3" fillId="0" borderId="0" xfId="0" applyFont="1"/>
    <xf numFmtId="0" fontId="28" fillId="0" borderId="0" xfId="0" applyFont="1" applyAlignment="1">
      <alignment horizontal="left" vertical="center" indent="2"/>
    </xf>
    <xf numFmtId="0" fontId="28" fillId="0" borderId="0" xfId="0" applyFont="1" applyAlignment="1">
      <alignment vertical="center"/>
    </xf>
    <xf numFmtId="169" fontId="28" fillId="0" borderId="14" xfId="2" applyNumberFormat="1" applyFont="1" applyBorder="1" applyAlignment="1">
      <alignment vertical="center"/>
    </xf>
    <xf numFmtId="170" fontId="28" fillId="0" borderId="0" xfId="2" applyNumberFormat="1" applyFont="1" applyAlignment="1">
      <alignment vertical="center"/>
    </xf>
    <xf numFmtId="165" fontId="3" fillId="0" borderId="0" xfId="2" applyNumberFormat="1" applyFont="1"/>
    <xf numFmtId="0" fontId="27" fillId="0" borderId="0" xfId="0" applyFont="1" applyAlignment="1">
      <alignment horizontal="left" vertical="center" indent="5"/>
    </xf>
    <xf numFmtId="0" fontId="20" fillId="13" borderId="0" xfId="0" quotePrefix="1" applyFont="1" applyFill="1" applyAlignment="1">
      <alignment vertical="center"/>
    </xf>
    <xf numFmtId="168" fontId="20" fillId="13" borderId="0" xfId="0" applyNumberFormat="1" applyFont="1" applyFill="1" applyAlignment="1">
      <alignment horizontal="center" vertical="center"/>
    </xf>
    <xf numFmtId="169" fontId="20" fillId="13" borderId="14" xfId="2" applyNumberFormat="1" applyFont="1" applyFill="1" applyBorder="1" applyAlignment="1">
      <alignment vertical="center"/>
    </xf>
    <xf numFmtId="170" fontId="20" fillId="13" borderId="0" xfId="0" applyNumberFormat="1" applyFont="1" applyFill="1" applyAlignment="1">
      <alignment vertical="center"/>
    </xf>
    <xf numFmtId="169" fontId="20" fillId="13" borderId="0" xfId="2" applyNumberFormat="1" applyFont="1" applyFill="1" applyAlignment="1">
      <alignment vertical="center"/>
    </xf>
    <xf numFmtId="169" fontId="30" fillId="13" borderId="0" xfId="2" applyNumberFormat="1" applyFont="1" applyFill="1" applyAlignment="1">
      <alignment horizontal="center" vertical="center"/>
    </xf>
    <xf numFmtId="169" fontId="33" fillId="0" borderId="14" xfId="2" applyNumberFormat="1" applyFont="1" applyBorder="1" applyAlignment="1">
      <alignment vertical="center"/>
    </xf>
    <xf numFmtId="170" fontId="31" fillId="0" borderId="0" xfId="0" applyNumberFormat="1" applyFont="1" applyAlignment="1">
      <alignment vertical="center"/>
    </xf>
    <xf numFmtId="169" fontId="31" fillId="0" borderId="0" xfId="0" applyNumberFormat="1" applyFont="1" applyAlignment="1">
      <alignment vertical="center"/>
    </xf>
    <xf numFmtId="169" fontId="34" fillId="0" borderId="0" xfId="0" applyNumberFormat="1" applyFont="1" applyAlignment="1">
      <alignment horizontal="center" vertical="center"/>
    </xf>
    <xf numFmtId="0" fontId="35" fillId="0" borderId="0" xfId="0" applyFont="1" applyAlignment="1">
      <alignment horizontal="left" vertical="center" indent="2"/>
    </xf>
    <xf numFmtId="0" fontId="35" fillId="0" borderId="0" xfId="0" applyFont="1" applyAlignment="1">
      <alignment vertical="center"/>
    </xf>
    <xf numFmtId="169" fontId="35" fillId="0" borderId="14" xfId="2" applyNumberFormat="1" applyFont="1" applyBorder="1" applyAlignment="1">
      <alignment vertical="center"/>
    </xf>
    <xf numFmtId="170" fontId="35" fillId="0" borderId="0" xfId="2" applyNumberFormat="1" applyFont="1" applyAlignment="1">
      <alignment vertical="center"/>
    </xf>
    <xf numFmtId="169" fontId="35" fillId="0" borderId="0" xfId="2" applyNumberFormat="1" applyFont="1" applyAlignment="1">
      <alignment vertical="center"/>
    </xf>
    <xf numFmtId="169" fontId="36" fillId="0" borderId="0" xfId="2" applyNumberFormat="1" applyFont="1" applyAlignment="1">
      <alignment horizontal="center" vertical="center"/>
    </xf>
    <xf numFmtId="169" fontId="35" fillId="0" borderId="14" xfId="2" applyNumberFormat="1" applyFont="1" applyFill="1" applyBorder="1" applyAlignment="1">
      <alignment vertical="center"/>
    </xf>
    <xf numFmtId="170" fontId="35" fillId="0" borderId="0" xfId="2" applyNumberFormat="1" applyFont="1" applyFill="1" applyAlignment="1">
      <alignment vertical="center"/>
    </xf>
    <xf numFmtId="169" fontId="35" fillId="0" borderId="0" xfId="2" applyNumberFormat="1" applyFont="1" applyFill="1" applyAlignment="1">
      <alignment vertical="center"/>
    </xf>
    <xf numFmtId="169" fontId="36" fillId="0" borderId="0" xfId="2" applyNumberFormat="1" applyFont="1" applyFill="1" applyAlignment="1">
      <alignment horizontal="center" vertical="center"/>
    </xf>
    <xf numFmtId="169" fontId="24" fillId="14" borderId="17" xfId="2" applyNumberFormat="1" applyFont="1" applyFill="1" applyBorder="1" applyAlignment="1">
      <alignment vertical="center"/>
    </xf>
    <xf numFmtId="168" fontId="0" fillId="0" borderId="0" xfId="0" applyNumberFormat="1"/>
    <xf numFmtId="9" fontId="0" fillId="0" borderId="0" xfId="2" applyFont="1"/>
    <xf numFmtId="4" fontId="0" fillId="0" borderId="0" xfId="0" applyNumberFormat="1"/>
    <xf numFmtId="10" fontId="0" fillId="0" borderId="0" xfId="0" applyNumberFormat="1"/>
    <xf numFmtId="171" fontId="0" fillId="0" borderId="0" xfId="0" applyNumberFormat="1"/>
    <xf numFmtId="172" fontId="0" fillId="0" borderId="0" xfId="1" applyNumberFormat="1" applyFont="1"/>
    <xf numFmtId="0" fontId="0" fillId="0" borderId="9" xfId="0" applyBorder="1"/>
    <xf numFmtId="173" fontId="0" fillId="0" borderId="0" xfId="0" applyNumberFormat="1"/>
    <xf numFmtId="172" fontId="0" fillId="0" borderId="9" xfId="1" applyNumberFormat="1" applyFont="1" applyBorder="1"/>
    <xf numFmtId="10" fontId="0" fillId="0" borderId="9" xfId="0" applyNumberFormat="1" applyBorder="1"/>
    <xf numFmtId="170" fontId="0" fillId="0" borderId="0" xfId="0" applyNumberFormat="1"/>
    <xf numFmtId="172" fontId="0" fillId="0" borderId="0" xfId="0" applyNumberFormat="1"/>
    <xf numFmtId="174" fontId="17" fillId="0" borderId="0" xfId="0" applyNumberFormat="1" applyFont="1"/>
    <xf numFmtId="167" fontId="37" fillId="0" borderId="0" xfId="1" applyNumberFormat="1" applyFont="1" applyAlignment="1">
      <alignment horizontal="center"/>
    </xf>
    <xf numFmtId="175" fontId="17" fillId="0" borderId="0" xfId="0" applyNumberFormat="1" applyFont="1"/>
    <xf numFmtId="17" fontId="38" fillId="7" borderId="0" xfId="0" applyNumberFormat="1" applyFont="1" applyFill="1" applyAlignment="1">
      <alignment horizontal="center"/>
    </xf>
    <xf numFmtId="0" fontId="39" fillId="0" borderId="0" xfId="0" applyFont="1"/>
    <xf numFmtId="0" fontId="40" fillId="0" borderId="0" xfId="0" applyFont="1" applyAlignment="1">
      <alignment horizontal="center" vertical="center"/>
    </xf>
    <xf numFmtId="0" fontId="41" fillId="10" borderId="0" xfId="0" applyFont="1" applyFill="1"/>
    <xf numFmtId="0" fontId="2" fillId="11" borderId="0" xfId="0" applyFont="1" applyFill="1" applyAlignment="1">
      <alignment horizontal="centerContinuous"/>
    </xf>
    <xf numFmtId="0" fontId="34" fillId="0" borderId="0" xfId="0" applyFont="1" applyAlignment="1">
      <alignment horizontal="center"/>
    </xf>
    <xf numFmtId="0" fontId="0" fillId="0" borderId="0" xfId="0" applyAlignment="1">
      <alignment vertical="center"/>
    </xf>
    <xf numFmtId="174" fontId="42" fillId="7" borderId="18" xfId="0" quotePrefix="1" applyNumberFormat="1" applyFont="1" applyFill="1" applyBorder="1" applyAlignment="1">
      <alignment horizontal="center" vertical="center"/>
    </xf>
    <xf numFmtId="174" fontId="43" fillId="8" borderId="18" xfId="0" quotePrefix="1" applyNumberFormat="1" applyFont="1" applyFill="1" applyBorder="1" applyAlignment="1">
      <alignment horizontal="center" vertical="center"/>
    </xf>
    <xf numFmtId="174" fontId="3" fillId="10" borderId="0" xfId="0" quotePrefix="1" applyNumberFormat="1" applyFont="1" applyFill="1" applyAlignment="1">
      <alignment horizontal="center" vertical="center"/>
    </xf>
    <xf numFmtId="174" fontId="3" fillId="10" borderId="0" xfId="0" applyNumberFormat="1" applyFont="1" applyFill="1" applyAlignment="1">
      <alignment horizontal="center" vertical="center"/>
    </xf>
    <xf numFmtId="0" fontId="2" fillId="15" borderId="0" xfId="0" applyFont="1" applyFill="1" applyAlignment="1">
      <alignment horizontal="left" vertical="center" wrapText="1"/>
    </xf>
    <xf numFmtId="168" fontId="2" fillId="15" borderId="19" xfId="0" applyNumberFormat="1" applyFont="1" applyFill="1" applyBorder="1" applyAlignment="1">
      <alignment horizontal="center" vertical="center" wrapText="1"/>
    </xf>
    <xf numFmtId="168" fontId="2" fillId="15" borderId="0" xfId="2" applyNumberFormat="1" applyFont="1" applyFill="1" applyAlignment="1">
      <alignment horizontal="center" vertical="center" wrapText="1"/>
    </xf>
    <xf numFmtId="165" fontId="2" fillId="15" borderId="0" xfId="2" applyNumberFormat="1" applyFont="1" applyFill="1" applyAlignment="1">
      <alignment horizontal="center" vertical="center" wrapText="1"/>
    </xf>
    <xf numFmtId="165" fontId="25" fillId="15" borderId="0" xfId="2" applyNumberFormat="1" applyFont="1" applyFill="1" applyAlignment="1">
      <alignment horizontal="center" vertical="center" wrapText="1"/>
    </xf>
    <xf numFmtId="0" fontId="2" fillId="16" borderId="0" xfId="0" applyFont="1" applyFill="1" applyAlignment="1">
      <alignment horizontal="left" vertical="center" wrapText="1"/>
    </xf>
    <xf numFmtId="168" fontId="2" fillId="16" borderId="19" xfId="0" applyNumberFormat="1" applyFont="1" applyFill="1" applyBorder="1" applyAlignment="1">
      <alignment horizontal="center" vertical="center" wrapText="1"/>
    </xf>
    <xf numFmtId="168" fontId="2" fillId="16" borderId="0" xfId="0" applyNumberFormat="1" applyFont="1" applyFill="1" applyAlignment="1">
      <alignment horizontal="center" vertical="center" wrapText="1"/>
    </xf>
    <xf numFmtId="165" fontId="2" fillId="16" borderId="0" xfId="2" applyNumberFormat="1" applyFont="1" applyFill="1" applyAlignment="1">
      <alignment horizontal="center" vertical="center" wrapText="1"/>
    </xf>
    <xf numFmtId="9" fontId="25" fillId="16" borderId="0" xfId="2" applyFont="1" applyFill="1" applyAlignment="1">
      <alignment horizontal="center" vertical="center" wrapText="1"/>
    </xf>
    <xf numFmtId="0" fontId="0" fillId="8" borderId="20" xfId="0" applyFill="1" applyBorder="1" applyAlignment="1">
      <alignment horizontal="left"/>
    </xf>
    <xf numFmtId="168" fontId="0" fillId="8" borderId="21" xfId="0" applyNumberFormat="1" applyFill="1" applyBorder="1" applyAlignment="1">
      <alignment horizontal="center" vertical="center" wrapText="1"/>
    </xf>
    <xf numFmtId="168" fontId="0" fillId="8" borderId="20" xfId="0" applyNumberFormat="1" applyFill="1" applyBorder="1" applyAlignment="1">
      <alignment horizontal="center" vertical="center" wrapText="1"/>
    </xf>
    <xf numFmtId="165" fontId="0" fillId="8" borderId="20" xfId="2" applyNumberFormat="1" applyFont="1" applyFill="1" applyBorder="1" applyAlignment="1">
      <alignment horizontal="center" vertical="center" wrapText="1"/>
    </xf>
    <xf numFmtId="165" fontId="17" fillId="8" borderId="20" xfId="2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left" indent="1"/>
    </xf>
    <xf numFmtId="168" fontId="0" fillId="0" borderId="23" xfId="0" applyNumberFormat="1" applyBorder="1" applyAlignment="1">
      <alignment horizontal="center" vertical="center" wrapText="1"/>
    </xf>
    <xf numFmtId="168" fontId="0" fillId="0" borderId="22" xfId="0" applyNumberFormat="1" applyBorder="1" applyAlignment="1">
      <alignment horizontal="center" vertical="center" wrapText="1"/>
    </xf>
    <xf numFmtId="165" fontId="0" fillId="0" borderId="22" xfId="2" applyNumberFormat="1" applyFont="1" applyBorder="1" applyAlignment="1">
      <alignment horizontal="center" vertical="center" wrapText="1"/>
    </xf>
    <xf numFmtId="165" fontId="17" fillId="0" borderId="22" xfId="2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 indent="2"/>
    </xf>
    <xf numFmtId="168" fontId="0" fillId="0" borderId="19" xfId="0" applyNumberFormat="1" applyBorder="1" applyAlignment="1">
      <alignment horizontal="center" vertical="center" wrapText="1"/>
    </xf>
    <xf numFmtId="168" fontId="0" fillId="0" borderId="0" xfId="2" applyNumberFormat="1" applyFont="1" applyAlignment="1">
      <alignment horizontal="center" vertical="center" wrapText="1"/>
    </xf>
    <xf numFmtId="165" fontId="0" fillId="0" borderId="0" xfId="2" applyNumberFormat="1" applyFont="1" applyAlignment="1">
      <alignment horizontal="center" vertical="center" wrapText="1"/>
    </xf>
    <xf numFmtId="165" fontId="17" fillId="0" borderId="0" xfId="2" applyNumberFormat="1" applyFont="1" applyAlignment="1">
      <alignment horizontal="center" vertical="center" wrapText="1"/>
    </xf>
    <xf numFmtId="168" fontId="0" fillId="0" borderId="19" xfId="0" applyNumberFormat="1" applyBorder="1" applyAlignment="1">
      <alignment horizontal="center" vertical="center"/>
    </xf>
    <xf numFmtId="0" fontId="0" fillId="0" borderId="0" xfId="0" applyAlignment="1">
      <alignment horizontal="left" vertical="center" wrapText="1" indent="1"/>
    </xf>
    <xf numFmtId="0" fontId="0" fillId="0" borderId="24" xfId="0" applyBorder="1" applyAlignment="1">
      <alignment horizontal="left" indent="1"/>
    </xf>
    <xf numFmtId="168" fontId="0" fillId="0" borderId="25" xfId="0" applyNumberFormat="1" applyBorder="1" applyAlignment="1">
      <alignment horizontal="center" vertical="center" wrapText="1"/>
    </xf>
    <xf numFmtId="168" fontId="0" fillId="0" borderId="24" xfId="0" applyNumberFormat="1" applyBorder="1" applyAlignment="1">
      <alignment horizontal="center" vertical="center" wrapText="1"/>
    </xf>
    <xf numFmtId="165" fontId="0" fillId="0" borderId="24" xfId="2" applyNumberFormat="1" applyFont="1" applyFill="1" applyBorder="1" applyAlignment="1">
      <alignment horizontal="center" vertical="center" wrapText="1"/>
    </xf>
    <xf numFmtId="165" fontId="17" fillId="0" borderId="24" xfId="2" applyNumberFormat="1" applyFont="1" applyFill="1" applyBorder="1" applyAlignment="1">
      <alignment horizontal="center" vertical="center" wrapText="1"/>
    </xf>
    <xf numFmtId="173" fontId="0" fillId="0" borderId="19" xfId="0" applyNumberFormat="1" applyBorder="1" applyAlignment="1">
      <alignment horizontal="center" vertical="center" wrapText="1"/>
    </xf>
    <xf numFmtId="168" fontId="0" fillId="0" borderId="26" xfId="0" applyNumberFormat="1" applyBorder="1" applyAlignment="1">
      <alignment horizontal="center" vertical="center" wrapText="1"/>
    </xf>
    <xf numFmtId="165" fontId="0" fillId="0" borderId="0" xfId="2" applyNumberFormat="1" applyFont="1" applyBorder="1" applyAlignment="1">
      <alignment horizontal="center" vertical="center" wrapText="1"/>
    </xf>
    <xf numFmtId="165" fontId="0" fillId="0" borderId="22" xfId="2" applyNumberFormat="1" applyFont="1" applyFill="1" applyBorder="1" applyAlignment="1">
      <alignment horizontal="center" vertical="center" wrapText="1"/>
    </xf>
    <xf numFmtId="165" fontId="17" fillId="0" borderId="22" xfId="2" applyNumberFormat="1" applyFont="1" applyFill="1" applyBorder="1" applyAlignment="1">
      <alignment horizontal="center" vertical="center" wrapText="1"/>
    </xf>
    <xf numFmtId="168" fontId="0" fillId="0" borderId="0" xfId="0" applyNumberFormat="1" applyAlignment="1">
      <alignment horizontal="center" vertical="center" wrapText="1"/>
    </xf>
    <xf numFmtId="0" fontId="23" fillId="0" borderId="0" xfId="0" applyFont="1"/>
    <xf numFmtId="166" fontId="20" fillId="0" borderId="0" xfId="1" applyNumberFormat="1" applyFont="1"/>
    <xf numFmtId="176" fontId="17" fillId="0" borderId="0" xfId="1" applyNumberFormat="1" applyFont="1"/>
    <xf numFmtId="173" fontId="17" fillId="0" borderId="0" xfId="0" applyNumberFormat="1" applyFont="1"/>
    <xf numFmtId="167" fontId="17" fillId="0" borderId="0" xfId="1" applyNumberFormat="1" applyFont="1"/>
    <xf numFmtId="43" fontId="0" fillId="0" borderId="0" xfId="1" applyFont="1"/>
    <xf numFmtId="166" fontId="17" fillId="0" borderId="0" xfId="0" applyNumberFormat="1" applyFont="1"/>
    <xf numFmtId="177" fontId="17" fillId="0" borderId="0" xfId="0" applyNumberFormat="1" applyFont="1"/>
    <xf numFmtId="0" fontId="45" fillId="0" borderId="0" xfId="7" applyFont="1" applyAlignment="1">
      <alignment horizontal="center"/>
    </xf>
    <xf numFmtId="0" fontId="45" fillId="0" borderId="0" xfId="7" applyFont="1"/>
    <xf numFmtId="0" fontId="46" fillId="0" borderId="0" xfId="7" applyFont="1" applyAlignment="1">
      <alignment horizontal="center"/>
    </xf>
    <xf numFmtId="0" fontId="2" fillId="11" borderId="0" xfId="0" applyFont="1" applyFill="1" applyAlignment="1">
      <alignment horizontal="center" vertical="center"/>
    </xf>
    <xf numFmtId="178" fontId="2" fillId="11" borderId="0" xfId="0" applyNumberFormat="1" applyFont="1" applyFill="1" applyAlignment="1">
      <alignment horizontal="center" vertical="center"/>
    </xf>
    <xf numFmtId="167" fontId="47" fillId="0" borderId="0" xfId="1" applyNumberFormat="1" applyFont="1" applyBorder="1" applyAlignment="1">
      <alignment horizontal="center"/>
    </xf>
    <xf numFmtId="167" fontId="47" fillId="0" borderId="0" xfId="1" applyNumberFormat="1" applyFont="1" applyFill="1" applyBorder="1" applyAlignment="1">
      <alignment horizontal="center"/>
    </xf>
    <xf numFmtId="43" fontId="3" fillId="8" borderId="0" xfId="1" applyFont="1" applyFill="1" applyBorder="1" applyAlignment="1">
      <alignment horizontal="left" vertical="center"/>
    </xf>
    <xf numFmtId="43" fontId="0" fillId="8" borderId="0" xfId="1" applyFont="1" applyFill="1" applyBorder="1" applyAlignment="1">
      <alignment horizontal="center" vertical="center"/>
    </xf>
    <xf numFmtId="167" fontId="3" fillId="8" borderId="0" xfId="1" applyNumberFormat="1" applyFont="1" applyFill="1" applyBorder="1" applyAlignment="1">
      <alignment horizontal="center" vertical="center"/>
    </xf>
    <xf numFmtId="167" fontId="45" fillId="0" borderId="0" xfId="1" applyNumberFormat="1" applyFont="1" applyBorder="1" applyAlignment="1">
      <alignment horizontal="left"/>
    </xf>
    <xf numFmtId="0" fontId="45" fillId="0" borderId="0" xfId="7" applyFont="1" applyAlignment="1">
      <alignment horizontal="left" indent="3"/>
    </xf>
    <xf numFmtId="167" fontId="45" fillId="0" borderId="0" xfId="1" applyNumberFormat="1" applyFont="1" applyBorder="1"/>
    <xf numFmtId="167" fontId="45" fillId="0" borderId="0" xfId="1" applyNumberFormat="1" applyFont="1" applyFill="1" applyBorder="1" applyAlignment="1"/>
    <xf numFmtId="167" fontId="45" fillId="10" borderId="0" xfId="1" applyNumberFormat="1" applyFont="1" applyFill="1" applyBorder="1" applyAlignment="1"/>
    <xf numFmtId="167" fontId="45" fillId="0" borderId="0" xfId="1" applyNumberFormat="1" applyFont="1" applyFill="1" applyBorder="1" applyAlignment="1">
      <alignment vertical="center"/>
    </xf>
    <xf numFmtId="167" fontId="45" fillId="0" borderId="0" xfId="1" applyNumberFormat="1" applyFont="1" applyBorder="1" applyAlignment="1"/>
    <xf numFmtId="167" fontId="2" fillId="16" borderId="0" xfId="1" applyNumberFormat="1" applyFont="1" applyFill="1" applyAlignment="1">
      <alignment horizontal="left" vertical="center" wrapText="1"/>
    </xf>
    <xf numFmtId="164" fontId="0" fillId="0" borderId="0" xfId="0" applyNumberFormat="1"/>
    <xf numFmtId="0" fontId="45" fillId="0" borderId="0" xfId="7" applyFont="1" applyAlignment="1">
      <alignment horizontal="left"/>
    </xf>
    <xf numFmtId="167" fontId="45" fillId="0" borderId="0" xfId="1" applyNumberFormat="1" applyFont="1"/>
    <xf numFmtId="167" fontId="45" fillId="0" borderId="0" xfId="1" applyNumberFormat="1" applyFont="1" applyFill="1" applyBorder="1" applyAlignment="1">
      <alignment horizontal="left" vertical="center"/>
    </xf>
    <xf numFmtId="167" fontId="23" fillId="0" borderId="0" xfId="1" applyNumberFormat="1" applyFont="1"/>
    <xf numFmtId="167" fontId="45" fillId="0" borderId="0" xfId="1" applyNumberFormat="1" applyFont="1" applyFill="1" applyBorder="1"/>
    <xf numFmtId="0" fontId="2" fillId="16" borderId="0" xfId="0" applyFont="1" applyFill="1" applyAlignment="1">
      <alignment horizontal="left" vertical="center"/>
    </xf>
    <xf numFmtId="0" fontId="47" fillId="0" borderId="0" xfId="7" applyFont="1"/>
    <xf numFmtId="177" fontId="45" fillId="0" borderId="0" xfId="7" applyNumberFormat="1" applyFont="1"/>
    <xf numFmtId="166" fontId="17" fillId="0" borderId="0" xfId="1" applyNumberFormat="1" applyFont="1"/>
    <xf numFmtId="166" fontId="2" fillId="11" borderId="0" xfId="1" applyNumberFormat="1" applyFont="1" applyFill="1" applyAlignment="1">
      <alignment horizontal="centerContinuous"/>
    </xf>
    <xf numFmtId="166" fontId="18" fillId="0" borderId="0" xfId="1" applyNumberFormat="1" applyFont="1" applyAlignment="1">
      <alignment horizontal="center" vertical="center"/>
    </xf>
    <xf numFmtId="166" fontId="42" fillId="7" borderId="18" xfId="1" quotePrefix="1" applyNumberFormat="1" applyFont="1" applyFill="1" applyBorder="1" applyAlignment="1">
      <alignment horizontal="center" vertical="center"/>
    </xf>
    <xf numFmtId="166" fontId="2" fillId="15" borderId="19" xfId="1" applyNumberFormat="1" applyFont="1" applyFill="1" applyBorder="1" applyAlignment="1">
      <alignment horizontal="center" vertical="center" wrapText="1"/>
    </xf>
    <xf numFmtId="166" fontId="2" fillId="16" borderId="19" xfId="1" applyNumberFormat="1" applyFont="1" applyFill="1" applyBorder="1" applyAlignment="1">
      <alignment horizontal="center" vertical="center" wrapText="1"/>
    </xf>
    <xf numFmtId="166" fontId="0" fillId="8" borderId="21" xfId="1" applyNumberFormat="1" applyFont="1" applyFill="1" applyBorder="1" applyAlignment="1">
      <alignment horizontal="center" vertical="center" wrapText="1"/>
    </xf>
    <xf numFmtId="166" fontId="0" fillId="0" borderId="23" xfId="1" applyNumberFormat="1" applyFont="1" applyBorder="1" applyAlignment="1">
      <alignment horizontal="center" vertical="center" wrapText="1"/>
    </xf>
    <xf numFmtId="166" fontId="0" fillId="0" borderId="19" xfId="1" applyNumberFormat="1" applyFont="1" applyBorder="1" applyAlignment="1">
      <alignment horizontal="center" vertical="center" wrapText="1"/>
    </xf>
    <xf numFmtId="166" fontId="0" fillId="0" borderId="25" xfId="1" applyNumberFormat="1" applyFont="1" applyBorder="1" applyAlignment="1">
      <alignment horizontal="center" vertical="center" wrapText="1"/>
    </xf>
    <xf numFmtId="166" fontId="0" fillId="0" borderId="0" xfId="1" applyNumberFormat="1" applyFont="1" applyAlignment="1">
      <alignment horizontal="center" vertical="center" wrapText="1"/>
    </xf>
    <xf numFmtId="175" fontId="0" fillId="0" borderId="19" xfId="1" applyNumberFormat="1" applyFont="1" applyBorder="1" applyAlignment="1">
      <alignment horizontal="center" vertical="center" wrapText="1"/>
    </xf>
    <xf numFmtId="179" fontId="0" fillId="0" borderId="19" xfId="1" applyNumberFormat="1" applyFont="1" applyBorder="1" applyAlignment="1">
      <alignment horizontal="center" vertical="center" wrapText="1"/>
    </xf>
    <xf numFmtId="179" fontId="0" fillId="8" borderId="21" xfId="1" applyNumberFormat="1" applyFont="1" applyFill="1" applyBorder="1" applyAlignment="1">
      <alignment horizontal="center" vertical="center" wrapText="1"/>
    </xf>
    <xf numFmtId="175" fontId="0" fillId="0" borderId="23" xfId="1" applyNumberFormat="1" applyFont="1" applyBorder="1" applyAlignment="1">
      <alignment horizontal="center" vertical="center" wrapText="1"/>
    </xf>
    <xf numFmtId="177" fontId="0" fillId="0" borderId="0" xfId="0" applyNumberFormat="1"/>
    <xf numFmtId="180" fontId="0" fillId="0" borderId="0" xfId="0" applyNumberFormat="1"/>
    <xf numFmtId="180" fontId="3" fillId="0" borderId="0" xfId="0" applyNumberFormat="1" applyFont="1"/>
    <xf numFmtId="0" fontId="0" fillId="0" borderId="27" xfId="0" applyBorder="1"/>
    <xf numFmtId="0" fontId="3" fillId="0" borderId="0" xfId="0" applyFont="1" applyAlignment="1">
      <alignment horizontal="left"/>
    </xf>
    <xf numFmtId="180" fontId="3" fillId="0" borderId="0" xfId="0" applyNumberFormat="1" applyFont="1" applyAlignment="1">
      <alignment horizontal="left"/>
    </xf>
    <xf numFmtId="0" fontId="20" fillId="10" borderId="0" xfId="0" applyFont="1" applyFill="1" applyAlignment="1">
      <alignment vertical="center" wrapText="1"/>
    </xf>
    <xf numFmtId="0" fontId="48" fillId="0" borderId="0" xfId="0" applyFont="1" applyAlignment="1">
      <alignment horizontal="center"/>
    </xf>
    <xf numFmtId="43" fontId="20" fillId="0" borderId="0" xfId="1" applyFont="1"/>
    <xf numFmtId="43" fontId="17" fillId="0" borderId="0" xfId="1" applyFont="1"/>
    <xf numFmtId="43" fontId="17" fillId="0" borderId="0" xfId="0" applyNumberFormat="1" applyFont="1"/>
    <xf numFmtId="0" fontId="34" fillId="0" borderId="0" xfId="0" applyFont="1" applyAlignment="1">
      <alignment horizontal="center" vertical="center"/>
    </xf>
    <xf numFmtId="168" fontId="17" fillId="0" borderId="0" xfId="0" applyNumberFormat="1" applyFont="1"/>
  </cellXfs>
  <cellStyles count="8">
    <cellStyle name="Normal" xfId="0" builtinId="0"/>
    <cellStyle name="Normal 2" xfId="7" xr:uid="{30D60AD6-479E-4915-9EFC-54B5497724B8}"/>
    <cellStyle name="Normal 2 4" xfId="3" xr:uid="{DAC7F718-04AB-4FF4-A477-67F093C217AA}"/>
    <cellStyle name="Porcentagem" xfId="2" builtinId="5"/>
    <cellStyle name="Porcentagem 2" xfId="5" xr:uid="{D7C72D3C-741B-4FAB-B15A-BCCA2FE08AA5}"/>
    <cellStyle name="Porcentagem 2 2 2" xfId="6" xr:uid="{453CE52D-EC7C-4A08-A6DC-85064F9DC2A7}"/>
    <cellStyle name="Vírgula" xfId="1" builtinId="3"/>
    <cellStyle name="Vírgula 2 3 2" xfId="4" xr:uid="{11223AF2-DF14-426D-B9D5-D61703976C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62</xdr:col>
      <xdr:colOff>111804</xdr:colOff>
      <xdr:row>0</xdr:row>
      <xdr:rowOff>79376</xdr:rowOff>
    </xdr:from>
    <xdr:to>
      <xdr:col>68</xdr:col>
      <xdr:colOff>594041</xdr:colOff>
      <xdr:row>4</xdr:row>
      <xdr:rowOff>218757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ês 1">
              <a:extLst>
                <a:ext uri="{FF2B5EF4-FFF2-40B4-BE49-F238E27FC236}">
                  <a16:creationId xmlns:a16="http://schemas.microsoft.com/office/drawing/2014/main" id="{309F2003-D2DA-4998-88A8-82B10458BD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570879" y="79376"/>
              <a:ext cx="4405267" cy="6562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62</xdr:col>
      <xdr:colOff>111804</xdr:colOff>
      <xdr:row>0</xdr:row>
      <xdr:rowOff>79376</xdr:rowOff>
    </xdr:from>
    <xdr:to>
      <xdr:col>68</xdr:col>
      <xdr:colOff>596581</xdr:colOff>
      <xdr:row>4</xdr:row>
      <xdr:rowOff>214947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ês 2">
              <a:extLst>
                <a:ext uri="{FF2B5EF4-FFF2-40B4-BE49-F238E27FC236}">
                  <a16:creationId xmlns:a16="http://schemas.microsoft.com/office/drawing/2014/main" id="{15D6B5FE-4129-4DD8-A5ED-27E57477CF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289064" y="80646"/>
              <a:ext cx="4398917" cy="6194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aster%20Resultado%20Mai26.xlsx" TargetMode="External"/><Relationship Id="rId2" Type="http://schemas.openxmlformats.org/officeDocument/2006/relationships/externalLinkPath" Target="https://nstechcloud.sharepoint.com/sites/Financeiro-nstech/Documentos%20Compartilhados/General/FP&amp;A/Fechamento%202026/P05%202026/Master%20Resultado%20Mai26.xlsx" TargetMode="External"/><Relationship Id="rId1" Type="http://schemas.openxmlformats.org/officeDocument/2006/relationships/externalLinkPath" Target="/sites/Financeiro-nstech/Documentos%20Compartilhados/General/FP&amp;A/Fechamento%202026/P05%202026/Master%20Resultado%20Mai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o Fechamento"/>
      <sheetName val="Log"/>
      <sheetName val="Painel Resumo"/>
      <sheetName val="Slide Barras"/>
      <sheetName val="Empillhado"/>
      <sheetName val="RFC P&amp;L"/>
      <sheetName val="P&amp;L Contábil"/>
      <sheetName val="Painel Resultado (MTD)"/>
      <sheetName val="Painel Resultado (YTD)"/>
      <sheetName val="De_Para Port.Eng"/>
      <sheetName val="Capex (MTD)"/>
      <sheetName val="Capex (YTD)"/>
      <sheetName val="Não Recorrentes 2025"/>
      <sheetName val="Performance Overview"/>
      <sheetName val="P&amp;L_Abertura"/>
      <sheetName val="Budget mês a mês"/>
      <sheetName val="Quarter_NR"/>
      <sheetName val="Bridge P&amp;L %"/>
      <sheetName val="Flash Sales &gt;&gt;&gt;"/>
      <sheetName val="Empillhado NR"/>
      <sheetName val="Flash Sales Contabil"/>
      <sheetName val="Organic NR Monthly"/>
      <sheetName val="Organic NR FRC"/>
      <sheetName val="Prévia"/>
      <sheetName val="TD Flash Sales"/>
      <sheetName val="Base Dados &gt;&gt;&gt;"/>
      <sheetName val="TD_P&amp;L"/>
      <sheetName val="TD Painel Resultado"/>
      <sheetName val="TD Capex"/>
      <sheetName val="Budget 2026"/>
      <sheetName val="Planilha1"/>
      <sheetName val="Forecast 2026"/>
    </sheetNames>
    <sheetDataSet>
      <sheetData sheetId="0"/>
      <sheetData sheetId="1"/>
      <sheetData sheetId="2"/>
      <sheetData sheetId="3"/>
      <sheetData sheetId="4">
        <row r="155">
          <cell r="J155">
            <v>0.11366858328113877</v>
          </cell>
          <cell r="L155">
            <v>0.12863819704048601</v>
          </cell>
          <cell r="M155">
            <v>0.1187756090589924</v>
          </cell>
          <cell r="N155">
            <v>0.17225193371829978</v>
          </cell>
          <cell r="O155">
            <v>0.17726495131786521</v>
          </cell>
          <cell r="P155">
            <v>0.180372137522048</v>
          </cell>
          <cell r="Q155">
            <v>7.2523011002957466E-2</v>
          </cell>
          <cell r="R155">
            <v>3.6505577058212516E-2</v>
          </cell>
        </row>
      </sheetData>
      <sheetData sheetId="5"/>
      <sheetData sheetId="6">
        <row r="42">
          <cell r="K42">
            <v>21.963356472229414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MERSON TADASHI NAKAMURA" refreshedDate="46195.678765277778" createdVersion="3" refreshedVersion="8" minRefreshableVersion="3" recordCount="0" supportSubquery="1" supportAdvancedDrill="1" xr:uid="{33498346-8D19-46F7-ADD0-40D783D5F766}">
  <cacheSource type="external" connectionId="1">
    <extLst>
      <ext xmlns:x14="http://schemas.microsoft.com/office/spreadsheetml/2009/9/main" uri="{F057638F-6D5F-4e77-A914-E7F072B9BCA8}">
        <x14:sourceConnection name="db_PnL"/>
      </ext>
    </extLst>
  </cacheSource>
  <cacheFields count="0"/>
  <cacheHierarchies count="516">
    <cacheHierarchy uniqueName="[db_Empresas].[Accountfy Company Name]" caption="Accountfy Company Name" attribute="1" defaultMemberUniqueName="[db_Empresas].[Accountfy Company Name].[All]" allUniqueName="[db_Empresas].[Accountfy Company Name].[All]" dimensionUniqueName="[db_Empresas]" displayFolder="" count="0" memberValueDatatype="130" unbalanced="0"/>
    <cacheHierarchy uniqueName="[db_Empresas].[Accountfy Company Name_vs_PnL]" caption="Accountfy Company Name_vs_PnL" attribute="1" defaultMemberUniqueName="[db_Empresas].[Accountfy Company Name_vs_PnL].[All]" allUniqueName="[db_Empresas].[Accountfy Company Name_vs_PnL].[All]" dimensionUniqueName="[db_Empresas]" displayFolder="" count="0" memberValueDatatype="130" unbalanced="0"/>
    <cacheHierarchy uniqueName="[db_Empresas].[AtivoYN]" caption="AtivoYN" attribute="1" defaultMemberUniqueName="[db_Empresas].[AtivoYN].[All]" allUniqueName="[db_Empresas].[AtivoYN].[All]" dimensionUniqueName="[db_Empresas]" displayFolder="" count="0" memberValueDatatype="130" unbalanced="0"/>
    <cacheHierarchy uniqueName="[db_Empresas].[BU]" caption="BU" attribute="1" defaultMemberUniqueName="[db_Empresas].[BU].[All]" allUniqueName="[db_Empresas].[BU].[All]" dimensionUniqueName="[db_Empresas]" displayFolder="" count="0" memberValueDatatype="130" unbalanced="0"/>
    <cacheHierarchy uniqueName="[db_Empresas].[BU2025]" caption="BU2025" attribute="1" defaultMemberUniqueName="[db_Empresas].[BU2025].[All]" allUniqueName="[db_Empresas].[BU2025].[All]" dimensionUniqueName="[db_Empresas]" displayFolder="" count="0" memberValueDatatype="130" unbalanced="0"/>
    <cacheHierarchy uniqueName="[db_Empresas].[CF_FileName]" caption="CF_FileName" attribute="1" defaultMemberUniqueName="[db_Empresas].[CF_FileName].[All]" allUniqueName="[db_Empresas].[CF_FileName].[All]" dimensionUniqueName="[db_Empresas]" displayFolder="Identity" count="0" memberValueDatatype="130" unbalanced="0"/>
    <cacheHierarchy uniqueName="[db_Empresas].[CNPJ]" caption="CNPJ" attribute="1" defaultMemberUniqueName="[db_Empresas].[CNPJ].[All]" allUniqueName="[db_Empresas].[CNPJ].[All]" dimensionUniqueName="[db_Empresas]" displayFolder="" count="0" memberValueDatatype="130" unbalanced="0"/>
    <cacheHierarchy uniqueName="[db_Empresas].[CommonName]" caption="CommonName" attribute="1" defaultMemberUniqueName="[db_Empresas].[CommonName].[All]" allUniqueName="[db_Empresas].[CommonName].[All]" dimensionUniqueName="[db_Empresas]" displayFolder="" count="0" memberValueDatatype="130" unbalanced="0"/>
    <cacheHierarchy uniqueName="[db_Empresas].[Company]" caption="Company" attribute="1" defaultMemberUniqueName="[db_Empresas].[Company].[All]" allUniqueName="[db_Empresas].[Company].[All]" dimensionUniqueName="[db_Empresas]" displayFolder="" count="0" memberValueDatatype="130" unbalanced="0"/>
    <cacheHierarchy uniqueName="[db_Empresas].[Company_AFY_To_PnL]" caption="Company_AFY_To_PnL" attribute="1" defaultMemberUniqueName="[db_Empresas].[Company_AFY_To_PnL].[All]" allUniqueName="[db_Empresas].[Company_AFY_To_PnL].[All]" dimensionUniqueName="[db_Empresas]" displayFolder="" count="0" memberValueDatatype="130" unbalanced="0"/>
    <cacheHierarchy uniqueName="[db_Empresas].[CompanyDatalake]" caption="CompanyDatalake" attribute="1" defaultMemberUniqueName="[db_Empresas].[CompanyDatalake].[All]" allUniqueName="[db_Empresas].[CompanyDatalake].[All]" dimensionUniqueName="[db_Empresas]" displayFolder="" count="0" memberValueDatatype="130" unbalanced="0"/>
    <cacheHierarchy uniqueName="[db_Empresas].[CompanyGastos_vs_PnL]" caption="CompanyGastos_vs_PnL" attribute="1" defaultMemberUniqueName="[db_Empresas].[CompanyGastos_vs_PnL].[All]" allUniqueName="[db_Empresas].[CompanyGastos_vs_PnL].[All]" dimensionUniqueName="[db_Empresas]" displayFolder="" count="0" memberValueDatatype="130" unbalanced="0"/>
    <cacheHierarchy uniqueName="[db_Empresas].[CompanyGroup]" caption="CompanyGroup" attribute="1" defaultMemberUniqueName="[db_Empresas].[CompanyGroup].[All]" allUniqueName="[db_Empresas].[CompanyGroup].[All]" dimensionUniqueName="[db_Empresas]" displayFolder="" count="0" memberValueDatatype="130" unbalanced="0"/>
    <cacheHierarchy uniqueName="[db_Empresas].[CompanyGroupCode]" caption="CompanyGroupCode" attribute="1" defaultMemberUniqueName="[db_Empresas].[CompanyGroupCode].[All]" allUniqueName="[db_Empresas].[CompanyGroupCode].[All]" dimensionUniqueName="[db_Empresas]" displayFolder="" count="0" memberValueDatatype="130" unbalanced="0"/>
    <cacheHierarchy uniqueName="[db_Empresas].[CompanyGroupN1]" caption="CompanyGroupN1" attribute="1" defaultMemberUniqueName="[db_Empresas].[CompanyGroupN1].[All]" allUniqueName="[db_Empresas].[CompanyGroupN1].[All]" dimensionUniqueName="[db_Empresas]" displayFolder="" count="0" memberValueDatatype="130" unbalanced="0"/>
    <cacheHierarchy uniqueName="[db_Empresas].[CompanyGroupN1_Contabilidade]" caption="CompanyGroupN1_Contabilidade" attribute="1" defaultMemberUniqueName="[db_Empresas].[CompanyGroupN1_Contabilidade].[All]" allUniqueName="[db_Empresas].[CompanyGroupN1_Contabilidade].[All]" dimensionUniqueName="[db_Empresas]" displayFolder="" count="0" memberValueDatatype="130" unbalanced="0"/>
    <cacheHierarchy uniqueName="[db_Empresas].[CompanyGroupN2]" caption="CompanyGroupN2" attribute="1" defaultMemberUniqueName="[db_Empresas].[CompanyGroupN2].[All]" allUniqueName="[db_Empresas].[CompanyGroupN2].[All]" dimensionUniqueName="[db_Empresas]" displayFolder="" count="0" memberValueDatatype="130" unbalanced="0"/>
    <cacheHierarchy uniqueName="[db_Empresas].[Data Aquisição]" caption="Data Aquisição" attribute="1" time="1" defaultMemberUniqueName="[db_Empresas].[Data Aquisição].[All]" allUniqueName="[db_Empresas].[Data Aquisição].[All]" dimensionUniqueName="[db_Empresas]" displayFolder="" count="0" memberValueDatatype="7" unbalanced="0"/>
    <cacheHierarchy uniqueName="[db_Empresas].[FS_FileName]" caption="FS_FileName" attribute="1" defaultMemberUniqueName="[db_Empresas].[FS_FileName].[All]" allUniqueName="[db_Empresas].[FS_FileName].[All]" dimensionUniqueName="[db_Empresas]" displayFolder="" count="0" memberValueDatatype="130" unbalanced="0"/>
    <cacheHierarchy uniqueName="[db_Empresas].[FS_FileName_Historico24]" caption="FS_FileName_Historico24" attribute="1" defaultMemberUniqueName="[db_Empresas].[FS_FileName_Historico24].[All]" allUniqueName="[db_Empresas].[FS_FileName_Historico24].[All]" dimensionUniqueName="[db_Empresas]" displayFolder="" count="0" memberValueDatatype="130" unbalanced="0"/>
    <cacheHierarchy uniqueName="[db_Empresas].[ID_Empresa]" caption="ID_Empresa" attribute="1" defaultMemberUniqueName="[db_Empresas].[ID_Empresa].[All]" allUniqueName="[db_Empresas].[ID_Empresa].[All]" dimensionUniqueName="[db_Empresas]" displayFolder="" count="0" memberValueDatatype="130" unbalanced="0"/>
    <cacheHierarchy uniqueName="[db_Empresas].[Origin]" caption="Origin" attribute="1" defaultMemberUniqueName="[db_Empresas].[Origin].[All]" allUniqueName="[db_Empresas].[Origin].[All]" dimensionUniqueName="[db_Empresas]" displayFolder="" count="0" memberValueDatatype="130" unbalanced="0"/>
    <cacheHierarchy uniqueName="[db_Empresas].[PnL_FileName]" caption="PnL_FileName" attribute="1" defaultMemberUniqueName="[db_Empresas].[PnL_FileName].[All]" allUniqueName="[db_Empresas].[PnL_FileName].[All]" dimensionUniqueName="[db_Empresas]" displayFolder="" count="0" memberValueDatatype="130" unbalanced="0"/>
    <cacheHierarchy uniqueName="[db_Empresas].[PnL_FileName_Historico2024]" caption="PnL_FileName_Historico2024" attribute="1" defaultMemberUniqueName="[db_Empresas].[PnL_FileName_Historico2024].[All]" allUniqueName="[db_Empresas].[PnL_FileName_Historico2024].[All]" dimensionUniqueName="[db_Empresas]" displayFolder="" count="0" memberValueDatatype="130" unbalanced="0"/>
    <cacheHierarchy uniqueName="[db_Empresas].[RegraRateio_OrigemPai]" caption="RegraRateio_OrigemPai" attribute="1" defaultMemberUniqueName="[db_Empresas].[RegraRateio_OrigemPai].[All]" allUniqueName="[db_Empresas].[RegraRateio_OrigemPai].[All]" dimensionUniqueName="[db_Empresas]" displayFolder="" count="0" memberValueDatatype="130" unbalanced="0"/>
    <cacheHierarchy uniqueName="[db_Empresas].[RegraRateioConsYN]" caption="RegraRateioConsYN" attribute="1" defaultMemberUniqueName="[db_Empresas].[RegraRateioConsYN].[All]" allUniqueName="[db_Empresas].[RegraRateioConsYN].[All]" dimensionUniqueName="[db_Empresas]" displayFolder="" count="0" memberValueDatatype="130" unbalanced="0"/>
    <cacheHierarchy uniqueName="[db_Empresas].[RegraRateioYN]" caption="RegraRateioYN" attribute="1" defaultMemberUniqueName="[db_Empresas].[RegraRateioYN].[All]" allUniqueName="[db_Empresas].[RegraRateioYN].[All]" dimensionUniqueName="[db_Empresas]" displayFolder="" count="0" memberValueDatatype="130" unbalanced="0"/>
    <cacheHierarchy uniqueName="[db_Empresas].[SocietarioName]" caption="SocietarioName" attribute="1" defaultMemberUniqueName="[db_Empresas].[SocietarioName].[All]" allUniqueName="[db_Empresas].[SocietarioName].[All]" dimensionUniqueName="[db_Empresas]" displayFolder="" count="0" memberValueDatatype="130" unbalanced="0"/>
    <cacheHierarchy uniqueName="[db_Empresas].[Torre]" caption="Torre" attribute="1" defaultMemberUniqueName="[db_Empresas].[Torre].[All]" allUniqueName="[db_Empresas].[Torre].[All]" dimensionUniqueName="[db_Empresas]" displayFolder="" count="0" memberValueDatatype="130" unbalanced="0"/>
    <cacheHierarchy uniqueName="[db_Empresas].[Torre2025]" caption="Torre2025" attribute="1" defaultMemberUniqueName="[db_Empresas].[Torre2025].[All]" allUniqueName="[db_Empresas].[Torre2025].[All]" dimensionUniqueName="[db_Empresas]" displayFolder="" count="0" memberValueDatatype="130" unbalanced="0"/>
    <cacheHierarchy uniqueName="[db_Empresas].[Torre2025_Sub_STO]" caption="Torre2025_Sub_STO" attribute="1" defaultMemberUniqueName="[db_Empresas].[Torre2025_Sub_STO].[All]" allUniqueName="[db_Empresas].[Torre2025_Sub_STO].[All]" dimensionUniqueName="[db_Empresas]" displayFolder="" count="0" memberValueDatatype="130" unbalanced="0"/>
    <cacheHierarchy uniqueName="[db_PnL].[Centro de Custo]" caption="Centro de Custo" attribute="1" defaultMemberUniqueName="[db_PnL].[Centro de Custo].[All]" allUniqueName="[db_PnL].[Centro de Custo].[All]" dimensionUniqueName="[db_PnL]" displayFolder="" count="0" memberValueDatatype="130" unbalanced="0"/>
    <cacheHierarchy uniqueName="[db_PnL].[Classificação]" caption="Classificação" attribute="1" defaultMemberUniqueName="[db_PnL].[Classificação].[All]" allUniqueName="[db_PnL].[Classificação].[All]" dimensionUniqueName="[db_PnL]" displayFolder="" count="0" memberValueDatatype="130" unbalanced="0"/>
    <cacheHierarchy uniqueName="[db_PnL].[Cod. Ajuste]" caption="Cod. Ajuste" attribute="1" defaultMemberUniqueName="[db_PnL].[Cod. Ajuste].[All]" allUniqueName="[db_PnL].[Cod. Ajuste].[All]" dimensionUniqueName="[db_PnL]" displayFolder="" count="0" memberValueDatatype="130" unbalanced="0"/>
    <cacheHierarchy uniqueName="[db_PnL].[Column19]" caption="Column19" attribute="1" defaultMemberUniqueName="[db_PnL].[Column19].[All]" allUniqueName="[db_PnL].[Column19].[All]" dimensionUniqueName="[db_PnL]" displayFolder="" count="0" memberValueDatatype="130" unbalanced="0"/>
    <cacheHierarchy uniqueName="[db_PnL].[CompanyGroupN1]" caption="CompanyGroupN1" attribute="1" defaultMemberUniqueName="[db_PnL].[CompanyGroupN1].[All]" allUniqueName="[db_PnL].[CompanyGroupN1].[All]" dimensionUniqueName="[db_PnL]" displayFolder="" count="0" memberValueDatatype="130" unbalanced="0"/>
    <cacheHierarchy uniqueName="[db_PnL].[CompanyGroupN2]" caption="CompanyGroupN2" attribute="1" defaultMemberUniqueName="[db_PnL].[CompanyGroupN2].[All]" allUniqueName="[db_PnL].[CompanyGroupN2].[All]" dimensionUniqueName="[db_PnL]" displayFolder="" count="0" memberValueDatatype="130" unbalanced="0"/>
    <cacheHierarchy uniqueName="[db_PnL].[ContaContabil_SemPonto]" caption="ContaContabil_SemPonto" attribute="1" defaultMemberUniqueName="[db_PnL].[ContaContabil_SemPonto].[All]" allUniqueName="[db_PnL].[ContaContabil_SemPonto].[All]" dimensionUniqueName="[db_PnL]" displayFolder="" count="0" memberValueDatatype="130" unbalanced="0"/>
    <cacheHierarchy uniqueName="[db_PnL].[ContaSemPonto]" caption="ContaSemPonto" attribute="1" defaultMemberUniqueName="[db_PnL].[ContaSemPonto].[All]" allUniqueName="[db_PnL].[ContaSemPonto].[All]" dimensionUniqueName="[db_PnL]" displayFolder="" count="0" memberValueDatatype="130" unbalanced="0"/>
    <cacheHierarchy uniqueName="[db_PnL].[Descrição Conta]" caption="Descrição Conta" attribute="1" defaultMemberUniqueName="[db_PnL].[Descrição Conta].[All]" allUniqueName="[db_PnL].[Descrição Conta].[All]" dimensionUniqueName="[db_PnL]" displayFolder="" count="0" memberValueDatatype="130" unbalanced="0"/>
    <cacheHierarchy uniqueName="[db_PnL].[DescricaoConta]" caption="DescricaoConta" attribute="1" defaultMemberUniqueName="[db_PnL].[DescricaoConta].[All]" allUniqueName="[db_PnL].[DescricaoConta].[All]" dimensionUniqueName="[db_PnL]" displayFolder="" count="0" memberValueDatatype="130" unbalanced="0"/>
    <cacheHierarchy uniqueName="[db_PnL].[Detalhamento]" caption="Detalhamento" attribute="1" defaultMemberUniqueName="[db_PnL].[Detalhamento].[All]" allUniqueName="[db_PnL].[Detalhamento].[All]" dimensionUniqueName="[db_PnL]" displayFolder="" count="0" memberValueDatatype="130" unbalanced="0"/>
    <cacheHierarchy uniqueName="[db_PnL].[Empresa PnL]" caption="Empresa PnL" attribute="1" defaultMemberUniqueName="[db_PnL].[Empresa PnL].[All]" allUniqueName="[db_PnL].[Empresa PnL].[All]" dimensionUniqueName="[db_PnL]" displayFolder="" count="0" memberValueDatatype="130" unbalanced="0"/>
    <cacheHierarchy uniqueName="[db_PnL].[EmpresaAjustada]" caption="EmpresaAjustada" attribute="1" defaultMemberUniqueName="[db_PnL].[EmpresaAjustada].[All]" allUniqueName="[db_PnL].[EmpresaAjustada].[All]" dimensionUniqueName="[db_PnL]" displayFolder="" count="0" memberValueDatatype="130" unbalanced="0"/>
    <cacheHierarchy uniqueName="[db_PnL].[Fornecedor]" caption="Fornecedor" attribute="1" defaultMemberUniqueName="[db_PnL].[Fornecedor].[All]" allUniqueName="[db_PnL].[Fornecedor].[All]" dimensionUniqueName="[db_PnL]" displayFolder="" count="0" memberValueDatatype="130" unbalanced="0"/>
    <cacheHierarchy uniqueName="[db_PnL].[FPA_Pacote]" caption="FPA_Pacote" attribute="1" defaultMemberUniqueName="[db_PnL].[FPA_Pacote].[All]" allUniqueName="[db_PnL].[FPA_Pacote].[All]" dimensionUniqueName="[db_PnL]" displayFolder="" count="0" memberValueDatatype="130" unbalanced="0"/>
    <cacheHierarchy uniqueName="[db_PnL].[FPA_Subpacote]" caption="FPA_Subpacote" attribute="1" defaultMemberUniqueName="[db_PnL].[FPA_Subpacote].[All]" allUniqueName="[db_PnL].[FPA_Subpacote].[All]" dimensionUniqueName="[db_PnL]" displayFolder="" count="0" memberValueDatatype="130" unbalanced="0"/>
    <cacheHierarchy uniqueName="[db_PnL].[KEY_PreReclass]" caption="KEY_PreReclass" attribute="1" defaultMemberUniqueName="[db_PnL].[KEY_PreReclass].[All]" allUniqueName="[db_PnL].[KEY_PreReclass].[All]" dimensionUniqueName="[db_PnL]" displayFolder="" count="0" memberValueDatatype="130" unbalanced="0"/>
    <cacheHierarchy uniqueName="[db_PnL].[Nome Ajuste]" caption="Nome Ajuste" attribute="1" defaultMemberUniqueName="[db_PnL].[Nome Ajuste].[All]" allUniqueName="[db_PnL].[Nome Ajuste].[All]" dimensionUniqueName="[db_PnL]" displayFolder="" count="0" memberValueDatatype="130" unbalanced="0"/>
    <cacheHierarchy uniqueName="[db_PnL].[Nome Centro de Custo]" caption="Nome Centro de Custo" attribute="1" defaultMemberUniqueName="[db_PnL].[Nome Centro de Custo].[All]" allUniqueName="[db_PnL].[Nome Centro de Custo].[All]" dimensionUniqueName="[db_PnL]" displayFolder="" count="0" memberValueDatatype="130" unbalanced="0"/>
    <cacheHierarchy uniqueName="[db_PnL].[Nome da conta contábil]" caption="Nome da conta contábil" attribute="1" defaultMemberUniqueName="[db_PnL].[Nome da conta contábil].[All]" allUniqueName="[db_PnL].[Nome da conta contábil].[All]" dimensionUniqueName="[db_PnL]" displayFolder="" count="0" memberValueDatatype="130" unbalanced="0"/>
    <cacheHierarchy uniqueName="[db_PnL].[Nome da Origem]" caption="Nome da Origem" attribute="1" defaultMemberUniqueName="[db_PnL].[Nome da Origem].[All]" allUniqueName="[db_PnL].[Nome da Origem].[All]" dimensionUniqueName="[db_PnL]" displayFolder="" count="0" memberValueDatatype="130" unbalanced="0"/>
    <cacheHierarchy uniqueName="[db_PnL].[NomeDoAjuste]" caption="NomeDoAjuste" attribute="1" defaultMemberUniqueName="[db_PnL].[NomeDoAjuste].[All]" allUniqueName="[db_PnL].[NomeDoAjuste].[All]" dimensionUniqueName="[db_PnL]" displayFolder="" count="0" memberValueDatatype="130" unbalanced="0"/>
    <cacheHierarchy uniqueName="[db_PnL].[Número da Conta]" caption="Número da Conta" attribute="1" defaultMemberUniqueName="[db_PnL].[Número da Conta].[All]" allUniqueName="[db_PnL].[Número da Conta].[All]" dimensionUniqueName="[db_PnL]" displayFolder="" count="0" memberValueDatatype="130" unbalanced="0"/>
    <cacheHierarchy uniqueName="[db_PnL].[Origem_tabela]" caption="Origem_tabela" attribute="1" defaultMemberUniqueName="[db_PnL].[Origem_tabela].[All]" allUniqueName="[db_PnL].[Origem_tabela].[All]" dimensionUniqueName="[db_PnL]" displayFolder="" count="0" memberValueDatatype="130" unbalanced="0"/>
    <cacheHierarchy uniqueName="[db_PnL].[OrigemDoAjuste]" caption="OrigemDoAjuste" attribute="1" defaultMemberUniqueName="[db_PnL].[OrigemDoAjuste].[All]" allUniqueName="[db_PnL].[OrigemDoAjuste].[All]" dimensionUniqueName="[db_PnL]" displayFolder="" count="0" memberValueDatatype="130" unbalanced="0"/>
    <cacheHierarchy uniqueName="[db_PnL].[Pre_PnL_Category]" caption="Pre_PnL_Category" attribute="1" defaultMemberUniqueName="[db_PnL].[Pre_PnL_Category].[All]" allUniqueName="[db_PnL].[Pre_PnL_Category].[All]" dimensionUniqueName="[db_PnL]" displayFolder="" count="0" memberValueDatatype="130" unbalanced="0"/>
    <cacheHierarchy uniqueName="[db_PnL].[Pre_PnL_LineName]" caption="Pre_PnL_LineName" attribute="1" defaultMemberUniqueName="[db_PnL].[Pre_PnL_LineName].[All]" allUniqueName="[db_PnL].[Pre_PnL_LineName].[All]" dimensionUniqueName="[db_PnL]" displayFolder="" count="0" memberValueDatatype="130" unbalanced="0"/>
    <cacheHierarchy uniqueName="[db_PnL].[ProContabil]" caption="ProContabil" attribute="1" defaultMemberUniqueName="[db_PnL].[ProContabil].[All]" allUniqueName="[db_PnL].[ProContabil].[All]" dimensionUniqueName="[db_PnL]" displayFolder="" count="0" memberValueDatatype="130" unbalanced="0"/>
    <cacheHierarchy uniqueName="[db_PnL].[ReadYN]" caption="ReadYN" attribute="1" defaultMemberUniqueName="[db_PnL].[ReadYN].[All]" allUniqueName="[db_PnL].[ReadYN].[All]" dimensionUniqueName="[db_PnL]" displayFolder="" count="0" memberValueDatatype="130" unbalanced="0"/>
    <cacheHierarchy uniqueName="[db_PnL].[TipoAjuste]" caption="TipoAjuste" attribute="1" defaultMemberUniqueName="[db_PnL].[TipoAjuste].[All]" allUniqueName="[db_PnL].[TipoAjuste].[All]" dimensionUniqueName="[db_PnL]" displayFolder="" count="0" memberValueDatatype="130" unbalanced="0"/>
    <cacheHierarchy uniqueName="[db_PnL].[Torre]" caption="Torre" attribute="1" defaultMemberUniqueName="[db_PnL].[Torre].[All]" allUniqueName="[db_PnL].[Torre].[All]" dimensionUniqueName="[db_PnL]" displayFolder="" count="0" memberValueDatatype="130" unbalanced="0"/>
    <cacheHierarchy uniqueName="[db_PnL].[Valor]" caption="Valor" attribute="1" defaultMemberUniqueName="[db_PnL].[Valor].[All]" allUniqueName="[db_PnL].[Valor].[All]" dimensionUniqueName="[db_PnL]" displayFolder="" count="0" memberValueDatatype="5" unbalanced="0"/>
    <cacheHierarchy uniqueName="[dCalendario].[Ano]" caption="Ano" attribute="1" defaultMemberUniqueName="[dCalendario].[Ano].[All]" allUniqueName="[dCalendario].[Ano].[All]" dimensionUniqueName="[dCalendario]" displayFolder="" count="0" memberValueDatatype="20" unbalanced="0"/>
    <cacheHierarchy uniqueName="[dCalendario].[Bimestre]" caption="Bimestre" attribute="1" defaultMemberUniqueName="[dCalendario].[Bimestre].[All]" allUniqueName="[dCalendario].[Bimestre].[All]" dimensionUniqueName="[dCalendario]" displayFolder="" count="0" memberValueDatatype="130" unbalanced="0"/>
    <cacheHierarchy uniqueName="[dCalendario].[Bimestre_Ano]" caption="Bimestre_Ano" attribute="1" defaultMemberUniqueName="[dCalendario].[Bimestre_Ano].[All]" allUniqueName="[dCalendario].[Bimestre_Ano].[All]" dimensionUniqueName="[dCalendario]" displayFolder="" count="0" memberValueDatatype="130" unbalanced="0"/>
    <cacheHierarchy uniqueName="[dCalendario].[Date]" caption="Date" attribute="1" time="1" defaultMemberUniqueName="[dCalendario].[Date].[All]" allUniqueName="[dCalendario].[Date].[All]" dimensionUniqueName="[dCalendario]" displayFolder="" count="0" memberValueDatatype="7" unbalanced="0"/>
    <cacheHierarchy uniqueName="[dCalendario].[Mês]" caption="Mês" attribute="1" defaultMemberUniqueName="[dCalendario].[Mês].[All]" allUniqueName="[dCalendario].[Mês].[All]" dimensionUniqueName="[dCalendario]" displayFolder="" count="2" memberValueDatatype="20" unbalanced="0"/>
    <cacheHierarchy uniqueName="[dCalendario].[Mês - Copiar]" caption="Mês - Copiar" attribute="1" defaultMemberUniqueName="[dCalendario].[Mês - Copiar].[All]" allUniqueName="[dCalendario].[Mês - Copiar].[All]" dimensionUniqueName="[dCalendario]" displayFolder="" count="0" memberValueDatatype="130" unbalanced="0"/>
    <cacheHierarchy uniqueName="[dCalendario].[Nome do Mês]" caption="Nome do Mês" attribute="1" defaultMemberUniqueName="[dCalendario].[Nome do Mês].[All]" allUniqueName="[dCalendario].[Nome do Mês].[All]" dimensionUniqueName="[dCalendario]" displayFolder="" count="0" memberValueDatatype="130" unbalanced="0"/>
    <cacheHierarchy uniqueName="[dCalendario].[Period]" caption="Period" attribute="1" defaultMemberUniqueName="[dCalendario].[Period].[All]" allUniqueName="[dCalendario].[Period].[All]" dimensionUniqueName="[dCalendario]" displayFolder="" count="0" memberValueDatatype="130" unbalanced="0"/>
    <cacheHierarchy uniqueName="[dCalendario].[Quarter]" caption="Quarter" attribute="1" defaultMemberUniqueName="[dCalendario].[Quarter].[All]" allUniqueName="[dCalendario].[Quarter].[All]" dimensionUniqueName="[dCalendario]" displayFolder="" count="0" memberValueDatatype="130" unbalanced="0"/>
    <cacheHierarchy uniqueName="[dCalendario].[Quarter_Year]" caption="Quarter_Year" attribute="1" defaultMemberUniqueName="[dCalendario].[Quarter_Year].[All]" allUniqueName="[dCalendario].[Quarter_Year].[All]" dimensionUniqueName="[dCalendario]" displayFolder="" count="0" memberValueDatatype="130" unbalanced="0"/>
    <cacheHierarchy uniqueName="[dContas_AFY].[AFY_Categoria]" caption="AFY_Categoria" attribute="1" defaultMemberUniqueName="[dContas_AFY].[AFY_Categoria].[All]" allUniqueName="[dContas_AFY].[AFY_Categoria].[All]" dimensionUniqueName="[dContas_AFY]" displayFolder="" count="0" memberValueDatatype="130" unbalanced="0"/>
    <cacheHierarchy uniqueName="[dContas_AFY].[AFY_Divisao]" caption="AFY_Divisao" attribute="1" defaultMemberUniqueName="[dContas_AFY].[AFY_Divisao].[All]" allUniqueName="[dContas_AFY].[AFY_Divisao].[All]" dimensionUniqueName="[dContas_AFY]" displayFolder="" count="0" memberValueDatatype="130" unbalanced="0"/>
    <cacheHierarchy uniqueName="[dContas_AFY].[AFY_Linha]" caption="AFY_Linha" attribute="1" defaultMemberUniqueName="[dContas_AFY].[AFY_Linha].[All]" allUniqueName="[dContas_AFY].[AFY_Linha].[All]" dimensionUniqueName="[dContas_AFY]" displayFolder="" count="0" memberValueDatatype="130" unbalanced="0"/>
    <cacheHierarchy uniqueName="[dContas_AFY].[Categoria_FPA]" caption="Categoria_FPA" attribute="1" defaultMemberUniqueName="[dContas_AFY].[Categoria_FPA].[All]" allUniqueName="[dContas_AFY].[Categoria_FPA].[All]" dimensionUniqueName="[dContas_AFY]" displayFolder="" count="0" memberValueDatatype="130" unbalanced="0"/>
    <cacheHierarchy uniqueName="[dContas_AFY].[Conta contábil]" caption="Conta contábil" attribute="1" defaultMemberUniqueName="[dContas_AFY].[Conta contábil].[All]" allUniqueName="[dContas_AFY].[Conta contábil].[All]" dimensionUniqueName="[dContas_AFY]" displayFolder="" count="0" memberValueDatatype="130" unbalanced="0"/>
    <cacheHierarchy uniqueName="[dContas_AFY].[Conta_Categoria_Linha]" caption="Conta_Categoria_Linha" attribute="1" defaultMemberUniqueName="[dContas_AFY].[Conta_Categoria_Linha].[All]" allUniqueName="[dContas_AFY].[Conta_Categoria_Linha].[All]" dimensionUniqueName="[dContas_AFY]" displayFolder="" count="0" memberValueDatatype="130" unbalanced="0"/>
    <cacheHierarchy uniqueName="[dContas_AFY].[ORDR_AFY]" caption="ORDR_AFY" attribute="1" defaultMemberUniqueName="[dContas_AFY].[ORDR_AFY].[All]" allUniqueName="[dContas_AFY].[ORDR_AFY].[All]" dimensionUniqueName="[dContas_AFY]" displayFolder="" count="0" memberValueDatatype="20" unbalanced="0"/>
    <cacheHierarchy uniqueName="[dEmpresas].[Accountfy Company Name]" caption="Accountfy Company Name" attribute="1" defaultMemberUniqueName="[dEmpresas].[Accountfy Company Name].[All]" allUniqueName="[dEmpresas].[Accountfy Company Name].[All]" dimensionUniqueName="[dEmpresas]" displayFolder="" count="0" memberValueDatatype="130" unbalanced="0"/>
    <cacheHierarchy uniqueName="[dEmpresas].[Accountfy Company Name_vs_PnL]" caption="Accountfy Company Name_vs_PnL" attribute="1" defaultMemberUniqueName="[dEmpresas].[Accountfy Company Name_vs_PnL].[All]" allUniqueName="[dEmpresas].[Accountfy Company Name_vs_PnL].[All]" dimensionUniqueName="[dEmpresas]" displayFolder="" count="0" memberValueDatatype="130" unbalanced="0"/>
    <cacheHierarchy uniqueName="[dEmpresas].[AtivoYN]" caption="AtivoYN" attribute="1" defaultMemberUniqueName="[dEmpresas].[AtivoYN].[All]" allUniqueName="[dEmpresas].[AtivoYN].[All]" dimensionUniqueName="[dEmpresas]" displayFolder="" count="0" memberValueDatatype="130" unbalanced="0"/>
    <cacheHierarchy uniqueName="[dEmpresas].[BU]" caption="BU" attribute="1" defaultMemberUniqueName="[dEmpresas].[BU].[All]" allUniqueName="[dEmpresas].[BU].[All]" dimensionUniqueName="[dEmpresas]" displayFolder="" count="0" memberValueDatatype="130" unbalanced="0"/>
    <cacheHierarchy uniqueName="[dEmpresas].[BU2025]" caption="BU2025" attribute="1" defaultMemberUniqueName="[dEmpresas].[BU2025].[All]" allUniqueName="[dEmpresas].[BU2025].[All]" dimensionUniqueName="[dEmpresas]" displayFolder="" count="0" memberValueDatatype="130" unbalanced="0"/>
    <cacheHierarchy uniqueName="[dEmpresas].[CF_FileName]" caption="CF_FileName" attribute="1" defaultMemberUniqueName="[dEmpresas].[CF_FileName].[All]" allUniqueName="[dEmpresas].[CF_FileName].[All]" dimensionUniqueName="[dEmpresas]" displayFolder="" count="0" memberValueDatatype="130" unbalanced="0"/>
    <cacheHierarchy uniqueName="[dEmpresas].[CNPJ]" caption="CNPJ" attribute="1" defaultMemberUniqueName="[dEmpresas].[CNPJ].[All]" allUniqueName="[dEmpresas].[CNPJ].[All]" dimensionUniqueName="[dEmpresas]" displayFolder="" count="0" memberValueDatatype="130" unbalanced="0"/>
    <cacheHierarchy uniqueName="[dEmpresas].[CommonName]" caption="CommonName" attribute="1" defaultMemberUniqueName="[dEmpresas].[CommonName].[All]" allUniqueName="[dEmpresas].[CommonName].[All]" dimensionUniqueName="[dEmpresas]" displayFolder="" count="0" memberValueDatatype="130" unbalanced="0"/>
    <cacheHierarchy uniqueName="[dEmpresas].[Company]" caption="Company" attribute="1" defaultMemberUniqueName="[dEmpresas].[Company].[All]" allUniqueName="[dEmpresas].[Company].[All]" dimensionUniqueName="[dEmpresas]" displayFolder="" count="0" memberValueDatatype="130" unbalanced="0"/>
    <cacheHierarchy uniqueName="[dEmpresas].[Company_AFY_To_PnL]" caption="Company_AFY_To_PnL" attribute="1" defaultMemberUniqueName="[dEmpresas].[Company_AFY_To_PnL].[All]" allUniqueName="[dEmpresas].[Company_AFY_To_PnL].[All]" dimensionUniqueName="[dEmpresas]" displayFolder="" count="0" memberValueDatatype="130" unbalanced="0"/>
    <cacheHierarchy uniqueName="[dEmpresas].[CompanyDatalake]" caption="CompanyDatalake" attribute="1" defaultMemberUniqueName="[dEmpresas].[CompanyDatalake].[All]" allUniqueName="[dEmpresas].[CompanyDatalake].[All]" dimensionUniqueName="[dEmpresas]" displayFolder="" count="0" memberValueDatatype="130" unbalanced="0"/>
    <cacheHierarchy uniqueName="[dEmpresas].[CompanyGastos_vs_PnL]" caption="CompanyGastos_vs_PnL" attribute="1" defaultMemberUniqueName="[dEmpresas].[CompanyGastos_vs_PnL].[All]" allUniqueName="[dEmpresas].[CompanyGastos_vs_PnL].[All]" dimensionUniqueName="[dEmpresas]" displayFolder="" count="0" memberValueDatatype="130" unbalanced="0"/>
    <cacheHierarchy uniqueName="[dEmpresas].[CompanyGroup]" caption="CompanyGroup" attribute="1" defaultMemberUniqueName="[dEmpresas].[CompanyGroup].[All]" allUniqueName="[dEmpresas].[CompanyGroup].[All]" dimensionUniqueName="[dEmpresas]" displayFolder="" count="0" memberValueDatatype="130" unbalanced="0"/>
    <cacheHierarchy uniqueName="[dEmpresas].[CompanyGroupCode]" caption="CompanyGroupCode" attribute="1" defaultMemberUniqueName="[dEmpresas].[CompanyGroupCode].[All]" allUniqueName="[dEmpresas].[CompanyGroupCode].[All]" dimensionUniqueName="[dEmpresas]" displayFolder="" count="0" memberValueDatatype="130" unbalanced="0"/>
    <cacheHierarchy uniqueName="[dEmpresas].[CompanyGroupN1]" caption="CompanyGroupN1" attribute="1" defaultMemberUniqueName="[dEmpresas].[CompanyGroupN1].[All]" allUniqueName="[dEmpresas].[CompanyGroupN1].[All]" dimensionUniqueName="[dEmpresas]" displayFolder="" count="0" memberValueDatatype="130" unbalanced="0"/>
    <cacheHierarchy uniqueName="[dEmpresas].[CompanyGroupN1_Contabilidade]" caption="CompanyGroupN1_Contabilidade" attribute="1" defaultMemberUniqueName="[dEmpresas].[CompanyGroupN1_Contabilidade].[All]" allUniqueName="[dEmpresas].[CompanyGroupN1_Contabilidade].[All]" dimensionUniqueName="[dEmpresas]" displayFolder="" count="0" memberValueDatatype="130" unbalanced="0"/>
    <cacheHierarchy uniqueName="[dEmpresas].[CompanyGroupN2]" caption="CompanyGroupN2" attribute="1" defaultMemberUniqueName="[dEmpresas].[CompanyGroupN2].[All]" allUniqueName="[dEmpresas].[CompanyGroupN2].[All]" dimensionUniqueName="[dEmpresas]" displayFolder="" count="0" memberValueDatatype="130" unbalanced="0"/>
    <cacheHierarchy uniqueName="[dEmpresas].[Data Aquisição]" caption="Data Aquisição" attribute="1" time="1" defaultMemberUniqueName="[dEmpresas].[Data Aquisição].[All]" allUniqueName="[dEmpresas].[Data Aquisição].[All]" dimensionUniqueName="[dEmpresas]" displayFolder="" count="0" memberValueDatatype="7" unbalanced="0"/>
    <cacheHierarchy uniqueName="[dEmpresas].[FS_FileName]" caption="FS_FileName" attribute="1" defaultMemberUniqueName="[dEmpresas].[FS_FileName].[All]" allUniqueName="[dEmpresas].[FS_FileName].[All]" dimensionUniqueName="[dEmpresas]" displayFolder="" count="0" memberValueDatatype="130" unbalanced="0"/>
    <cacheHierarchy uniqueName="[dEmpresas].[FS_FileName_Historico24]" caption="FS_FileName_Historico24" attribute="1" defaultMemberUniqueName="[dEmpresas].[FS_FileName_Historico24].[All]" allUniqueName="[dEmpresas].[FS_FileName_Historico24].[All]" dimensionUniqueName="[dEmpresas]" displayFolder="" count="0" memberValueDatatype="130" unbalanced="0"/>
    <cacheHierarchy uniqueName="[dEmpresas].[ID_Empresa]" caption="ID_Empresa" attribute="1" defaultMemberUniqueName="[dEmpresas].[ID_Empresa].[All]" allUniqueName="[dEmpresas].[ID_Empresa].[All]" dimensionUniqueName="[dEmpresas]" displayFolder="" count="0" memberValueDatatype="130" unbalanced="0"/>
    <cacheHierarchy uniqueName="[dEmpresas].[Origin]" caption="Origin" attribute="1" defaultMemberUniqueName="[dEmpresas].[Origin].[All]" allUniqueName="[dEmpresas].[Origin].[All]" dimensionUniqueName="[dEmpresas]" displayFolder="" count="0" memberValueDatatype="130" unbalanced="0"/>
    <cacheHierarchy uniqueName="[dEmpresas].[PnL_FileName]" caption="PnL_FileName" attribute="1" defaultMemberUniqueName="[dEmpresas].[PnL_FileName].[All]" allUniqueName="[dEmpresas].[PnL_FileName].[All]" dimensionUniqueName="[dEmpresas]" displayFolder="" count="0" memberValueDatatype="130" unbalanced="0"/>
    <cacheHierarchy uniqueName="[dEmpresas].[PnL_FileName_Historico2024]" caption="PnL_FileName_Historico2024" attribute="1" defaultMemberUniqueName="[dEmpresas].[PnL_FileName_Historico2024].[All]" allUniqueName="[dEmpresas].[PnL_FileName_Historico2024].[All]" dimensionUniqueName="[dEmpresas]" displayFolder="" count="0" memberValueDatatype="130" unbalanced="0"/>
    <cacheHierarchy uniqueName="[dEmpresas].[RegraRateio_OrigemPai]" caption="RegraRateio_OrigemPai" attribute="1" defaultMemberUniqueName="[dEmpresas].[RegraRateio_OrigemPai].[All]" allUniqueName="[dEmpresas].[RegraRateio_OrigemPai].[All]" dimensionUniqueName="[dEmpresas]" displayFolder="" count="0" memberValueDatatype="130" unbalanced="0"/>
    <cacheHierarchy uniqueName="[dEmpresas].[RegraRateioConsYN]" caption="RegraRateioConsYN" attribute="1" defaultMemberUniqueName="[dEmpresas].[RegraRateioConsYN].[All]" allUniqueName="[dEmpresas].[RegraRateioConsYN].[All]" dimensionUniqueName="[dEmpresas]" displayFolder="" count="0" memberValueDatatype="130" unbalanced="0"/>
    <cacheHierarchy uniqueName="[dEmpresas].[RegraRateioYN]" caption="RegraRateioYN" attribute="1" defaultMemberUniqueName="[dEmpresas].[RegraRateioYN].[All]" allUniqueName="[dEmpresas].[RegraRateioYN].[All]" dimensionUniqueName="[dEmpresas]" displayFolder="" count="0" memberValueDatatype="130" unbalanced="0"/>
    <cacheHierarchy uniqueName="[dEmpresas].[SocietarioName]" caption="SocietarioName" attribute="1" defaultMemberUniqueName="[dEmpresas].[SocietarioName].[All]" allUniqueName="[dEmpresas].[SocietarioName].[All]" dimensionUniqueName="[dEmpresas]" displayFolder="" count="0" memberValueDatatype="130" unbalanced="0"/>
    <cacheHierarchy uniqueName="[dEmpresas].[Torre]" caption="Torre" attribute="1" defaultMemberUniqueName="[dEmpresas].[Torre].[All]" allUniqueName="[dEmpresas].[Torre].[All]" dimensionUniqueName="[dEmpresas]" displayFolder="" count="0" memberValueDatatype="130" unbalanced="0"/>
    <cacheHierarchy uniqueName="[dEmpresas].[Torre2025]" caption="Torre2025" attribute="1" defaultMemberUniqueName="[dEmpresas].[Torre2025].[All]" allUniqueName="[dEmpresas].[Torre2025].[All]" dimensionUniqueName="[dEmpresas]" displayFolder="" count="0" memberValueDatatype="130" unbalanced="0"/>
    <cacheHierarchy uniqueName="[dEmpresas].[Torre2025_Sub_STO]" caption="Torre2025_Sub_STO" attribute="1" defaultMemberUniqueName="[dEmpresas].[Torre2025_Sub_STO].[All]" allUniqueName="[dEmpresas].[Torre2025_Sub_STO].[All]" dimensionUniqueName="[dEmpresas]" displayFolder="" count="0" memberValueDatatype="130" unbalanced="0"/>
    <cacheHierarchy uniqueName="[dOrigemAjuste].[OrigemDoAjuste]" caption="OrigemDoAjuste" attribute="1" defaultMemberUniqueName="[dOrigemAjuste].[OrigemDoAjuste].[All]" allUniqueName="[dOrigemAjuste].[OrigemDoAjuste].[All]" dimensionUniqueName="[dOrigemAjuste]" displayFolder="" count="0" memberValueDatatype="130" unbalanced="0"/>
    <cacheHierarchy uniqueName="[dOrigemAjuste].[TipoAjuste]" caption="TipoAjuste" attribute="1" defaultMemberUniqueName="[dOrigemAjuste].[TipoAjuste].[All]" allUniqueName="[dOrigemAjuste].[TipoAjuste].[All]" dimensionUniqueName="[dOrigemAjuste]" displayFolder="" count="0" memberValueDatatype="130" unbalanced="0"/>
    <cacheHierarchy uniqueName="[dProContabil].[ProContabil]" caption="ProContabil" attribute="1" defaultMemberUniqueName="[dProContabil].[ProContabil].[All]" allUniqueName="[dProContabil].[ProContabil].[All]" dimensionUniqueName="[dProContabil]" displayFolder="" count="0" memberValueDatatype="130" unbalanced="0"/>
    <cacheHierarchy uniqueName="[dTypeAB_Conection].[TypeAB]" caption="TypeAB" attribute="1" defaultMemberUniqueName="[dTypeAB_Conection].[TypeAB].[All]" allUniqueName="[dTypeAB_Conection].[TypeAB].[All]" dimensionUniqueName="[dTypeAB_Conection]" displayFolder="" count="0" memberValueDatatype="130" unbalanced="0"/>
    <cacheHierarchy uniqueName="[fBase_AFY].[AFY_Categoria]" caption="AFY_Categoria" attribute="1" defaultMemberUniqueName="[fBase_AFY].[AFY_Categoria].[All]" allUniqueName="[fBase_AFY].[AFY_Categoria].[All]" dimensionUniqueName="[fBase_AFY]" displayFolder="" count="0" memberValueDatatype="130" unbalanced="0"/>
    <cacheHierarchy uniqueName="[fBase_AFY].[AFY_CategoriaN2]" caption="AFY_CategoriaN2" attribute="1" defaultMemberUniqueName="[fBase_AFY].[AFY_CategoriaN2].[All]" allUniqueName="[fBase_AFY].[AFY_CategoriaN2].[All]" dimensionUniqueName="[fBase_AFY]" displayFolder="" count="0" memberValueDatatype="130" unbalanced="0"/>
    <cacheHierarchy uniqueName="[fBase_AFY].[AFY_CompanyName]" caption="AFY_CompanyName" attribute="1" defaultMemberUniqueName="[fBase_AFY].[AFY_CompanyName].[All]" allUniqueName="[fBase_AFY].[AFY_CompanyName].[All]" dimensionUniqueName="[fBase_AFY]" displayFolder="" count="0" memberValueDatatype="130" unbalanced="0"/>
    <cacheHierarchy uniqueName="[fBase_AFY].[AFY_Divisao]" caption="AFY_Divisao" attribute="1" defaultMemberUniqueName="[fBase_AFY].[AFY_Divisao].[All]" allUniqueName="[fBase_AFY].[AFY_Divisao].[All]" dimensionUniqueName="[fBase_AFY]" displayFolder="" count="0" memberValueDatatype="130" unbalanced="0"/>
    <cacheHierarchy uniqueName="[fBase_AFY].[AFY_LinhaCabecalho]" caption="AFY_LinhaCabecalho" attribute="1" defaultMemberUniqueName="[fBase_AFY].[AFY_LinhaCabecalho].[All]" allUniqueName="[fBase_AFY].[AFY_LinhaCabecalho].[All]" dimensionUniqueName="[fBase_AFY]" displayFolder="" count="0" memberValueDatatype="130" unbalanced="0"/>
    <cacheHierarchy uniqueName="[fBase_AFY].[BU]" caption="BU" attribute="1" defaultMemberUniqueName="[fBase_AFY].[BU].[All]" allUniqueName="[fBase_AFY].[BU].[All]" dimensionUniqueName="[fBase_AFY]" displayFolder="" count="0" memberValueDatatype="130" unbalanced="0"/>
    <cacheHierarchy uniqueName="[fBase_AFY].[Categoria_FPA]" caption="Categoria_FPA" attribute="1" defaultMemberUniqueName="[fBase_AFY].[Categoria_FPA].[All]" allUniqueName="[fBase_AFY].[Categoria_FPA].[All]" dimensionUniqueName="[fBase_AFY]" displayFolder="" count="0" memberValueDatatype="130" unbalanced="0"/>
    <cacheHierarchy uniqueName="[fBase_AFY].[Categoria_GB]" caption="Categoria_GB" attribute="1" defaultMemberUniqueName="[fBase_AFY].[Categoria_GB].[All]" allUniqueName="[fBase_AFY].[Categoria_GB].[All]" dimensionUniqueName="[fBase_AFY]" displayFolder="" count="0" memberValueDatatype="130" unbalanced="0"/>
    <cacheHierarchy uniqueName="[fBase_AFY].[CompanyGroup]" caption="CompanyGroup" attribute="1" defaultMemberUniqueName="[fBase_AFY].[CompanyGroup].[All]" allUniqueName="[fBase_AFY].[CompanyGroup].[All]" dimensionUniqueName="[fBase_AFY]" displayFolder="" count="0" memberValueDatatype="130" unbalanced="0"/>
    <cacheHierarchy uniqueName="[fBase_AFY].[CompanyGroupN1]" caption="CompanyGroupN1" attribute="1" defaultMemberUniqueName="[fBase_AFY].[CompanyGroupN1].[All]" allUniqueName="[fBase_AFY].[CompanyGroupN1].[All]" dimensionUniqueName="[fBase_AFY]" displayFolder="" count="0" memberValueDatatype="130" unbalanced="0"/>
    <cacheHierarchy uniqueName="[fBase_AFY].[Conta_Ini]" caption="Conta_Ini" attribute="1" defaultMemberUniqueName="[fBase_AFY].[Conta_Ini].[All]" allUniqueName="[fBase_AFY].[Conta_Ini].[All]" dimensionUniqueName="[fBase_AFY]" displayFolder="" count="0" memberValueDatatype="130" unbalanced="0"/>
    <cacheHierarchy uniqueName="[fBase_AFY].[ContaContabil]" caption="ContaContabil" attribute="1" defaultMemberUniqueName="[fBase_AFY].[ContaContabil].[All]" allUniqueName="[fBase_AFY].[ContaContabil].[All]" dimensionUniqueName="[fBase_AFY]" displayFolder="" count="0" memberValueDatatype="130" unbalanced="0"/>
    <cacheHierarchy uniqueName="[fBase_AFY].[ContaContabil_Descricao]" caption="ContaContabil_Descricao" attribute="1" defaultMemberUniqueName="[fBase_AFY].[ContaContabil_Descricao].[All]" allUniqueName="[fBase_AFY].[ContaContabil_Descricao].[All]" dimensionUniqueName="[fBase_AFY]" displayFolder="" count="0" memberValueDatatype="130" unbalanced="0"/>
    <cacheHierarchy uniqueName="[fBase_AFY].[ContegoriaN2_FPA]" caption="ContegoriaN2_FPA" attribute="1" defaultMemberUniqueName="[fBase_AFY].[ContegoriaN2_FPA].[All]" allUniqueName="[fBase_AFY].[ContegoriaN2_FPA].[All]" dimensionUniqueName="[fBase_AFY]" displayFolder="" count="0" memberValueDatatype="130" unbalanced="0"/>
    <cacheHierarchy uniqueName="[fBase_AFY].[CrossCheck_Category]" caption="CrossCheck_Category" attribute="1" defaultMemberUniqueName="[fBase_AFY].[CrossCheck_Category].[All]" allUniqueName="[fBase_AFY].[CrossCheck_Category].[All]" dimensionUniqueName="[fBase_AFY]" displayFolder="" count="0" memberValueDatatype="130" unbalanced="0"/>
    <cacheHierarchy uniqueName="[fBase_AFY].[Data Aquisição]" caption="Data Aquisição" attribute="1" time="1" defaultMemberUniqueName="[fBase_AFY].[Data Aquisição].[All]" allUniqueName="[fBase_AFY].[Data Aquisição].[All]" dimensionUniqueName="[fBase_AFY]" displayFolder="" count="0" memberValueDatatype="7" unbalanced="0"/>
    <cacheHierarchy uniqueName="[fBase_AFY].[Date]" caption="Date" attribute="1" time="1" defaultMemberUniqueName="[fBase_AFY].[Date].[All]" allUniqueName="[fBase_AFY].[Date].[All]" dimensionUniqueName="[fBase_AFY]" displayFolder="" count="0" memberValueDatatype="7" unbalanced="0"/>
    <cacheHierarchy uniqueName="[fBase_AFY].[EquivalenciaYN]" caption="EquivalenciaYN" attribute="1" defaultMemberUniqueName="[fBase_AFY].[EquivalenciaYN].[All]" allUniqueName="[fBase_AFY].[EquivalenciaYN].[All]" dimensionUniqueName="[fBase_AFY]" displayFolder="" count="0" memberValueDatatype="130" unbalanced="0"/>
    <cacheHierarchy uniqueName="[fBase_AFY].[ID_Empresa]" caption="ID_Empresa" attribute="1" defaultMemberUniqueName="[fBase_AFY].[ID_Empresa].[All]" allUniqueName="[fBase_AFY].[ID_Empresa].[All]" dimensionUniqueName="[fBase_AFY]" displayFolder="" count="0" memberValueDatatype="130" unbalanced="0"/>
    <cacheHierarchy uniqueName="[fBase_AFY].[IncluirYN]" caption="IncluirYN" attribute="1" defaultMemberUniqueName="[fBase_AFY].[IncluirYN].[All]" allUniqueName="[fBase_AFY].[IncluirYN].[All]" dimensionUniqueName="[fBase_AFY]" displayFolder="" count="0" memberValueDatatype="130" unbalanced="0"/>
    <cacheHierarchy uniqueName="[fBase_AFY].[KEY_Conta_Categoria_Linha]" caption="KEY_Conta_Categoria_Linha" attribute="1" defaultMemberUniqueName="[fBase_AFY].[KEY_Conta_Categoria_Linha].[All]" allUniqueName="[fBase_AFY].[KEY_Conta_Categoria_Linha].[All]" dimensionUniqueName="[fBase_AFY]" displayFolder="" count="0" memberValueDatatype="130" unbalanced="0"/>
    <cacheHierarchy uniqueName="[fBase_AFY].[KEY_Divisao_Categoria]" caption="KEY_Divisao_Categoria" attribute="1" defaultMemberUniqueName="[fBase_AFY].[KEY_Divisao_Categoria].[All]" allUniqueName="[fBase_AFY].[KEY_Divisao_Categoria].[All]" dimensionUniqueName="[fBase_AFY]" displayFolder="" count="0" memberValueDatatype="130" unbalanced="0"/>
    <cacheHierarchy uniqueName="[fBase_AFY].[ProContabil]" caption="ProContabil" attribute="1" defaultMemberUniqueName="[fBase_AFY].[ProContabil].[All]" allUniqueName="[fBase_AFY].[ProContabil].[All]" dimensionUniqueName="[fBase_AFY]" displayFolder="" count="0" memberValueDatatype="130" unbalanced="0"/>
    <cacheHierarchy uniqueName="[fBase_AFY].[Torre]" caption="Torre" attribute="1" defaultMemberUniqueName="[fBase_AFY].[Torre].[All]" allUniqueName="[fBase_AFY].[Torre].[All]" dimensionUniqueName="[fBase_AFY]" displayFolder="" count="0" memberValueDatatype="130" unbalanced="0"/>
    <cacheHierarchy uniqueName="[fBase_AFY].[Valor]" caption="Valor" attribute="1" defaultMemberUniqueName="[fBase_AFY].[Valor].[All]" allUniqueName="[fBase_AFY].[Valor].[All]" dimensionUniqueName="[fBase_AFY]" displayFolder="" count="0" memberValueDatatype="5" unbalanced="0"/>
    <cacheHierarchy uniqueName="[Layout_GB].[Categoria_FP&amp;A]" caption="Categoria_FP&amp;A" attribute="1" defaultMemberUniqueName="[Layout_GB].[Categoria_FP&amp;A].[All]" allUniqueName="[Layout_GB].[Categoria_FP&amp;A].[All]" dimensionUniqueName="[Layout_GB]" displayFolder="" count="0" memberValueDatatype="130" unbalanced="0"/>
    <cacheHierarchy uniqueName="[Layout_GB].[Categoria_GB]" caption="Categoria_GB" attribute="1" defaultMemberUniqueName="[Layout_GB].[Categoria_GB].[All]" allUniqueName="[Layout_GB].[Categoria_GB].[All]" dimensionUniqueName="[Layout_GB]" displayFolder="" count="0" memberValueDatatype="130" unbalanced="0"/>
    <cacheHierarchy uniqueName="[Layout_GB].[Cross_Category]" caption="Cross_Category" attribute="1" defaultMemberUniqueName="[Layout_GB].[Cross_Category].[All]" allUniqueName="[Layout_GB].[Cross_Category].[All]" dimensionUniqueName="[Layout_GB]" displayFolder="" count="0" memberValueDatatype="130" unbalanced="0"/>
    <cacheHierarchy uniqueName="[Layout_GB].[EBITDA]" caption="EBITDA" attribute="1" defaultMemberUniqueName="[Layout_GB].[EBITDA].[All]" allUniqueName="[Layout_GB].[EBITDA].[All]" dimensionUniqueName="[Layout_GB]" displayFolder="" count="0" memberValueDatatype="130" unbalanced="0"/>
    <cacheHierarchy uniqueName="[Layout_GB].[Fonte]" caption="Fonte" attribute="1" defaultMemberUniqueName="[Layout_GB].[Fonte].[All]" allUniqueName="[Layout_GB].[Fonte].[All]" dimensionUniqueName="[Layout_GB]" displayFolder="" count="0" memberValueDatatype="130" unbalanced="0"/>
    <cacheHierarchy uniqueName="[Layout_MasterResultado].[BU]" caption="BU" attribute="1" defaultMemberUniqueName="[Layout_MasterResultado].[BU].[All]" allUniqueName="[Layout_MasterResultado].[BU].[All]" dimensionUniqueName="[Layout_MasterResultado]" displayFolder="" count="0" memberValueDatatype="130" unbalanced="0"/>
    <cacheHierarchy uniqueName="[Layout_MasterResultado].[CompanyGroupN2]" caption="CompanyGroupN2" attribute="1" defaultMemberUniqueName="[Layout_MasterResultado].[CompanyGroupN2].[All]" allUniqueName="[Layout_MasterResultado].[CompanyGroupN2].[All]" dimensionUniqueName="[Layout_MasterResultado]" displayFolder="" count="0" memberValueDatatype="130" unbalanced="0"/>
    <cacheHierarchy uniqueName="[Layout_MasterResultado].[LinhaYN]" caption="LinhaYN" attribute="1" defaultMemberUniqueName="[Layout_MasterResultado].[LinhaYN].[All]" allUniqueName="[Layout_MasterResultado].[LinhaYN].[All]" dimensionUniqueName="[Layout_MasterResultado]" displayFolder="" count="0" memberValueDatatype="130" unbalanced="0"/>
    <cacheHierarchy uniqueName="[Layout_MasterResultado].[ORDR_BU]" caption="ORDR_BU" attribute="1" defaultMemberUniqueName="[Layout_MasterResultado].[ORDR_BU].[All]" allUniqueName="[Layout_MasterResultado].[ORDR_BU].[All]" dimensionUniqueName="[Layout_MasterResultado]" displayFolder="" count="0" memberValueDatatype="20" unbalanced="0"/>
    <cacheHierarchy uniqueName="[Layout_MasterResultado].[ORDR_Company]" caption="ORDR_Company" attribute="1" defaultMemberUniqueName="[Layout_MasterResultado].[ORDR_Company].[All]" allUniqueName="[Layout_MasterResultado].[ORDR_Company].[All]" dimensionUniqueName="[Layout_MasterResultado]" displayFolder="" count="0" memberValueDatatype="20" unbalanced="0"/>
    <cacheHierarchy uniqueName="[Layout_MasterResultado].[ORDR_Torre]" caption="ORDR_Torre" attribute="1" defaultMemberUniqueName="[Layout_MasterResultado].[ORDR_Torre].[All]" allUniqueName="[Layout_MasterResultado].[ORDR_Torre].[All]" dimensionUniqueName="[Layout_MasterResultado]" displayFolder="" count="0" memberValueDatatype="20" unbalanced="0"/>
    <cacheHierarchy uniqueName="[Layout_MasterResultado].[ORDR_Torre_STO]" caption="ORDR_Torre_STO" attribute="1" defaultMemberUniqueName="[Layout_MasterResultado].[ORDR_Torre_STO].[All]" allUniqueName="[Layout_MasterResultado].[ORDR_Torre_STO].[All]" dimensionUniqueName="[Layout_MasterResultado]" displayFolder="" count="0" memberValueDatatype="20" unbalanced="0"/>
    <cacheHierarchy uniqueName="[Layout_MasterResultado].[Torre]" caption="Torre" attribute="1" defaultMemberUniqueName="[Layout_MasterResultado].[Torre].[All]" allUniqueName="[Layout_MasterResultado].[Torre].[All]" dimensionUniqueName="[Layout_MasterResultado]" displayFolder="" count="0" memberValueDatatype="130" unbalanced="0"/>
    <cacheHierarchy uniqueName="[Layout_MasterResultado].[Torre_STO]" caption="Torre_STO" attribute="1" defaultMemberUniqueName="[Layout_MasterResultado].[Torre_STO].[All]" allUniqueName="[Layout_MasterResultado].[Torre_STO].[All]" dimensionUniqueName="[Layout_MasterResultado]" displayFolder="" count="0" memberValueDatatype="130" unbalanced="0"/>
    <cacheHierarchy uniqueName="[Layout_PnL].[DrillDownYN]" caption="DrillDownYN" attribute="1" defaultMemberUniqueName="[Layout_PnL].[DrillDownYN].[All]" allUniqueName="[Layout_PnL].[DrillDownYN].[All]" dimensionUniqueName="[Layout_PnL]" displayFolder="" count="0" memberValueDatatype="130" unbalanced="0"/>
    <cacheHierarchy uniqueName="[Layout_PnL].[EBITDAYN]" caption="EBITDAYN" attribute="1" defaultMemberUniqueName="[Layout_PnL].[EBITDAYN].[All]" allUniqueName="[Layout_PnL].[EBITDAYN].[All]" dimensionUniqueName="[Layout_PnL]" displayFolder="" count="0" memberValueDatatype="130" unbalanced="0"/>
    <cacheHierarchy uniqueName="[Layout_PnL].[KEY_Category_LaborNonLabor]" caption="KEY_Category_LaborNonLabor" attribute="1" defaultMemberUniqueName="[Layout_PnL].[KEY_Category_LaborNonLabor].[All]" allUniqueName="[Layout_PnL].[KEY_Category_LaborNonLabor].[All]" dimensionUniqueName="[Layout_PnL]" displayFolder="" count="0" memberValueDatatype="130" unbalanced="0"/>
    <cacheHierarchy uniqueName="[Layout_PnL].[N1/N2]" caption="N1/N2" attribute="1" defaultMemberUniqueName="[Layout_PnL].[N1/N2].[All]" allUniqueName="[Layout_PnL].[N1/N2].[All]" dimensionUniqueName="[Layout_PnL]" displayFolder="" count="0" memberValueDatatype="130" unbalanced="0"/>
    <cacheHierarchy uniqueName="[Layout_PnL].[nPnL_Category]" caption="nPnL_Category" attribute="1" defaultMemberUniqueName="[Layout_PnL].[nPnL_Category].[All]" allUniqueName="[Layout_PnL].[nPnL_Category].[All]" dimensionUniqueName="[Layout_PnL]" displayFolder="" count="0" memberValueDatatype="130" unbalanced="0"/>
    <cacheHierarchy uniqueName="[Layout_PnL].[nPnL_Category_LineName]" caption="nPnL_Category_LineName" attribute="1" defaultMemberUniqueName="[Layout_PnL].[nPnL_Category_LineName].[All]" allUniqueName="[Layout_PnL].[nPnL_Category_LineName].[All]" dimensionUniqueName="[Layout_PnL]" displayFolder="" count="0" memberValueDatatype="130" unbalanced="0"/>
    <cacheHierarchy uniqueName="[Layout_PnL].[nPnL_LineName]" caption="nPnL_LineName" attribute="1" defaultMemberUniqueName="[Layout_PnL].[nPnL_LineName].[All]" allUniqueName="[Layout_PnL].[nPnL_LineName].[All]" dimensionUniqueName="[Layout_PnL]" displayFolder="" count="0" memberValueDatatype="130" unbalanced="0"/>
    <cacheHierarchy uniqueName="[Layout_PnL].[ORDR_Category]" caption="ORDR_Category" attribute="1" defaultMemberUniqueName="[Layout_PnL].[ORDR_Category].[All]" allUniqueName="[Layout_PnL].[ORDR_Category].[All]" dimensionUniqueName="[Layout_PnL]" displayFolder="" count="0" memberValueDatatype="20" unbalanced="0"/>
    <cacheHierarchy uniqueName="[Layout_PnL].[ORDR_Default]" caption="ORDR_Default" attribute="1" defaultMemberUniqueName="[Layout_PnL].[ORDR_Default].[All]" allUniqueName="[Layout_PnL].[ORDR_Default].[All]" dimensionUniqueName="[Layout_PnL]" displayFolder="" count="0" memberValueDatatype="20" unbalanced="0"/>
    <cacheHierarchy uniqueName="[Layout_PnL].[ORDR_Res_Category]" caption="ORDR_Res_Category" attribute="1" defaultMemberUniqueName="[Layout_PnL].[ORDR_Res_Category].[All]" allUniqueName="[Layout_PnL].[ORDR_Res_Category].[All]" dimensionUniqueName="[Layout_PnL]" displayFolder="" count="0" memberValueDatatype="20" unbalanced="0"/>
    <cacheHierarchy uniqueName="[Layout_PnL].[PnL_CategoryName]" caption="PnL_CategoryName" attribute="1" defaultMemberUniqueName="[Layout_PnL].[PnL_CategoryName].[All]" allUniqueName="[Layout_PnL].[PnL_CategoryName].[All]" dimensionUniqueName="[Layout_PnL]" displayFolder="" count="0" memberValueDatatype="130" unbalanced="0"/>
    <cacheHierarchy uniqueName="[Layout_PnL].[PnL_LineName]" caption="PnL_LineName" attribute="1" defaultMemberUniqueName="[Layout_PnL].[PnL_LineName].[All]" allUniqueName="[Layout_PnL].[PnL_LineName].[All]" dimensionUniqueName="[Layout_PnL]" displayFolder="" count="0" memberValueDatatype="130" unbalanced="0"/>
    <cacheHierarchy uniqueName="[Layout_PnL].[PnL_LineName_Labor]" caption="PnL_LineName_Labor" attribute="1" defaultMemberUniqueName="[Layout_PnL].[PnL_LineName_Labor].[All]" allUniqueName="[Layout_PnL].[PnL_LineName_Labor].[All]" dimensionUniqueName="[Layout_PnL]" displayFolder="" count="0" memberValueDatatype="130" unbalanced="0"/>
    <cacheHierarchy uniqueName="[Layout_PnL].[PnL_LineTotal]" caption="PnL_LineTotal" attribute="1" defaultMemberUniqueName="[Layout_PnL].[PnL_LineTotal].[All]" allUniqueName="[Layout_PnL].[PnL_LineTotal].[All]" dimensionUniqueName="[Layout_PnL]" displayFolder="" count="0" memberValueDatatype="130" unbalanced="0"/>
    <cacheHierarchy uniqueName="[Layout_PnL].[PnL_Res_Category]" caption="PnL_Res_Category" attribute="1" defaultMemberUniqueName="[Layout_PnL].[PnL_Res_Category].[All]" allUniqueName="[Layout_PnL].[PnL_Res_Category].[All]" dimensionUniqueName="[Layout_PnL]" displayFolder="" count="0" memberValueDatatype="130" unbalanced="0"/>
    <cacheHierarchy uniqueName="[Layout_PnL].[PnL_SubCategoryName]" caption="PnL_SubCategoryName" attribute="1" defaultMemberUniqueName="[Layout_PnL].[PnL_SubCategoryName].[All]" allUniqueName="[Layout_PnL].[PnL_SubCategoryName].[All]" dimensionUniqueName="[Layout_PnL]" displayFolder="" count="0" memberValueDatatype="130" unbalanced="0"/>
    <cacheHierarchy uniqueName="[Layout_PnL].[SubtotalYN]" caption="SubtotalYN" attribute="1" defaultMemberUniqueName="[Layout_PnL].[SubtotalYN].[All]" allUniqueName="[Layout_PnL].[SubtotalYN].[All]" dimensionUniqueName="[Layout_PnL]" displayFolder="" count="0" memberValueDatatype="130" unbalanced="0"/>
    <cacheHierarchy uniqueName="[db_PnL].[Alocacao]" caption="Alocacao" attribute="1" defaultMemberUniqueName="[db_PnL].[Alocacao].[All]" allUniqueName="[db_PnL].[Alocacao].[All]" dimensionUniqueName="[db_PnL]" displayFolder="" count="0" memberValueDatatype="130" unbalanced="0" hidden="1"/>
    <cacheHierarchy uniqueName="[db_PnL].[Ano]" caption="Ano" attribute="1" defaultMemberUniqueName="[db_PnL].[Ano].[All]" allUniqueName="[db_PnL].[Ano].[All]" dimensionUniqueName="[db_PnL]" displayFolder="" count="0" memberValueDatatype="130" unbalanced="0" hidden="1"/>
    <cacheHierarchy uniqueName="[db_PnL].[CHK_Ano]" caption="CHK_Ano" attribute="1" defaultMemberUniqueName="[db_PnL].[CHK_Ano].[All]" allUniqueName="[db_PnL].[CHK_Ano].[All]" dimensionUniqueName="[db_PnL]" displayFolder="" count="0" memberValueDatatype="130" unbalanced="0" hidden="1"/>
    <cacheHierarchy uniqueName="[db_PnL].[CHK_categoria_linha]" caption="CHK_categoria_linha" attribute="1" defaultMemberUniqueName="[db_PnL].[CHK_categoria_linha].[All]" allUniqueName="[db_PnL].[CHK_categoria_linha].[All]" dimensionUniqueName="[db_PnL]" displayFolder="" count="0" memberValueDatatype="130" unbalanced="0" hidden="1"/>
    <cacheHierarchy uniqueName="[db_PnL].[Column17]" caption="Column17" attribute="1" defaultMemberUniqueName="[db_PnL].[Column17].[All]" allUniqueName="[db_PnL].[Column17].[All]" dimensionUniqueName="[db_PnL]" displayFolder="" count="0" memberValueDatatype="130" unbalanced="0" hidden="1"/>
    <cacheHierarchy uniqueName="[db_PnL].[Column18]" caption="Column18" attribute="1" defaultMemberUniqueName="[db_PnL].[Column18].[All]" allUniqueName="[db_PnL].[Column18].[All]" dimensionUniqueName="[db_PnL]" displayFolder="" count="0" memberValueDatatype="130" unbalanced="0" hidden="1"/>
    <cacheHierarchy uniqueName="[db_PnL].[Data Aquisição]" caption="Data Aquisição" attribute="1" time="1" defaultMemberUniqueName="[db_PnL].[Data Aquisição].[All]" allUniqueName="[db_PnL].[Data Aquisição].[All]" dimensionUniqueName="[db_PnL]" displayFolder="" count="0" memberValueDatatype="7" unbalanced="0" hidden="1"/>
    <cacheHierarchy uniqueName="[db_PnL].[Date]" caption="Date" attribute="1" time="1" defaultMemberUniqueName="[db_PnL].[Date].[All]" allUniqueName="[db_PnL].[Date].[All]" dimensionUniqueName="[db_PnL]" displayFolder="" count="0" memberValueDatatype="7" unbalanced="0" hidden="1"/>
    <cacheHierarchy uniqueName="[db_PnL].[Empresa]" caption="Empresa" attribute="1" defaultMemberUniqueName="[db_PnL].[Empresa].[All]" allUniqueName="[db_PnL].[Empresa].[All]" dimensionUniqueName="[db_PnL]" displayFolder="" count="0" memberValueDatatype="130" unbalanced="0" hidden="1"/>
    <cacheHierarchy uniqueName="[db_PnL].[EmpresaN1]" caption="EmpresaN1" attribute="1" defaultMemberUniqueName="[db_PnL].[EmpresaN1].[All]" allUniqueName="[db_PnL].[EmpresaN1].[All]" dimensionUniqueName="[db_PnL]" displayFolder="" count="0" memberValueDatatype="130" unbalanced="0" hidden="1"/>
    <cacheHierarchy uniqueName="[db_PnL].[EmpresaN2]" caption="EmpresaN2" attribute="1" defaultMemberUniqueName="[db_PnL].[EmpresaN2].[All]" allUniqueName="[db_PnL].[EmpresaN2].[All]" dimensionUniqueName="[db_PnL]" displayFolder="" count="0" memberValueDatatype="130" unbalanced="0" hidden="1"/>
    <cacheHierarchy uniqueName="[db_PnL].[ID_Empresa]" caption="ID_Empresa" attribute="1" defaultMemberUniqueName="[db_PnL].[ID_Empresa].[All]" allUniqueName="[db_PnL].[ID_Empresa].[All]" dimensionUniqueName="[db_PnL]" displayFolder="" count="0" memberValueDatatype="130" unbalanced="0" hidden="1"/>
    <cacheHierarchy uniqueName="[db_PnL].[KEY_File_Date]" caption="KEY_File_Date" attribute="1" defaultMemberUniqueName="[db_PnL].[KEY_File_Date].[All]" allUniqueName="[db_PnL].[KEY_File_Date].[All]" dimensionUniqueName="[db_PnL]" displayFolder="" count="0" memberValueDatatype="130" unbalanced="0" hidden="1"/>
    <cacheHierarchy uniqueName="[db_PnL].[KEY_File_Year]" caption="KEY_File_Year" attribute="1" defaultMemberUniqueName="[db_PnL].[KEY_File_Year].[All]" allUniqueName="[db_PnL].[KEY_File_Year].[All]" dimensionUniqueName="[db_PnL]" displayFolder="" count="0" memberValueDatatype="130" unbalanced="0" hidden="1"/>
    <cacheHierarchy uniqueName="[db_PnL].[KEY_FonteTemplateYN]" caption="KEY_FonteTemplateYN" attribute="1" defaultMemberUniqueName="[db_PnL].[KEY_FonteTemplateYN].[All]" allUniqueName="[db_PnL].[KEY_FonteTemplateYN].[All]" dimensionUniqueName="[db_PnL]" displayFolder="" count="0" memberValueDatatype="130" unbalanced="0" hidden="1"/>
    <cacheHierarchy uniqueName="[db_PnL].[Mês]" caption="Mês" attribute="1" defaultMemberUniqueName="[db_PnL].[Mês].[All]" allUniqueName="[db_PnL].[Mês].[All]" dimensionUniqueName="[db_PnL]" displayFolder="" count="0" memberValueDatatype="130" unbalanced="0" hidden="1"/>
    <cacheHierarchy uniqueName="[db_PnL].[N1]" caption="N1" attribute="1" defaultMemberUniqueName="[db_PnL].[N1].[All]" allUniqueName="[db_PnL].[N1].[All]" dimensionUniqueName="[db_PnL]" displayFolder="" count="0" memberValueDatatype="130" unbalanced="0" hidden="1"/>
    <cacheHierarchy uniqueName="[db_PnL].[nPnL_Category]" caption="nPnL_Category" attribute="1" defaultMemberUniqueName="[db_PnL].[nPnL_Category].[All]" allUniqueName="[db_PnL].[nPnL_Category].[All]" dimensionUniqueName="[db_PnL]" displayFolder="" count="0" memberValueDatatype="130" unbalanced="0" hidden="1"/>
    <cacheHierarchy uniqueName="[db_PnL].[ORDR_Default]" caption="ORDR_Default" attribute="1" defaultMemberUniqueName="[db_PnL].[ORDR_Default].[All]" allUniqueName="[db_PnL].[ORDR_Default].[All]" dimensionUniqueName="[db_PnL]" displayFolder="" count="0" memberValueDatatype="20" unbalanced="0" hidden="1"/>
    <cacheHierarchy uniqueName="[db_PnL].[PnL_Category]" caption="PnL_Category" attribute="1" defaultMemberUniqueName="[db_PnL].[PnL_Category].[All]" allUniqueName="[db_PnL].[PnL_Category].[All]" dimensionUniqueName="[db_PnL]" displayFolder="" count="0" memberValueDatatype="130" unbalanced="0" hidden="1"/>
    <cacheHierarchy uniqueName="[db_PnL].[PnL_FileName]" caption="PnL_FileName" attribute="1" defaultMemberUniqueName="[db_PnL].[PnL_FileName].[All]" allUniqueName="[db_PnL].[PnL_FileName].[All]" dimensionUniqueName="[db_PnL]" displayFolder="" count="0" memberValueDatatype="130" unbalanced="0" hidden="1"/>
    <cacheHierarchy uniqueName="[db_PnL].[PnL_LineName]" caption="PnL_LineName" attribute="1" defaultMemberUniqueName="[db_PnL].[PnL_LineName].[All]" allUniqueName="[db_PnL].[PnL_LineName].[All]" dimensionUniqueName="[db_PnL]" displayFolder="" count="0" memberValueDatatype="130" unbalanced="0" hidden="1"/>
    <cacheHierarchy uniqueName="[db_PnL].[Rateio]" caption="Rateio" attribute="1" defaultMemberUniqueName="[db_PnL].[Rateio].[All]" allUniqueName="[db_PnL].[Rateio].[All]" dimensionUniqueName="[db_PnL]" displayFolder="" count="0" memberValueDatatype="130" unbalanced="0" hidden="1"/>
    <cacheHierarchy uniqueName="[db_PnL].[TypeAB]" caption="TypeAB" attribute="1" defaultMemberUniqueName="[db_PnL].[TypeAB].[All]" allUniqueName="[db_PnL].[TypeAB].[All]" dimensionUniqueName="[db_PnL]" displayFolder="" count="0" memberValueDatatype="130" unbalanced="0" hidden="1"/>
    <cacheHierarchy uniqueName="[dFilter_ValuesRoL].[ID_Filter]" caption="ID_Filter" attribute="1" defaultMemberUniqueName="[dFilter_ValuesRoL].[ID_Filter].[All]" allUniqueName="[dFilter_ValuesRoL].[ID_Filter].[All]" dimensionUniqueName="[dFilter_ValuesRoL]" displayFolder="" count="0" memberValueDatatype="20" unbalanced="0" hidden="1"/>
    <cacheHierarchy uniqueName="[dFilter_ValuesRoL].[View]" caption="View" attribute="1" defaultMemberUniqueName="[dFilter_ValuesRoL].[View].[All]" allUniqueName="[dFilter_ValuesRoL].[View].[All]" dimensionUniqueName="[dFilter_ValuesRoL]" displayFolder="" count="0" memberValueDatatype="130" unbalanced="0" hidden="1"/>
    <cacheHierarchy uniqueName="[dProContabil].[Select]" caption="Select" attribute="1" defaultMemberUniqueName="[dProContabil].[Select].[All]" allUniqueName="[dProContabil].[Select].[All]" dimensionUniqueName="[dProContabil]" displayFolder="" count="0" memberValueDatatype="20" unbalanced="0" hidden="1"/>
    <cacheHierarchy uniqueName="[dTypeAB_Conection].[CF_TypeAB]" caption="CF_TypeAB" attribute="1" defaultMemberUniqueName="[dTypeAB_Conection].[CF_TypeAB].[All]" allUniqueName="[dTypeAB_Conection].[CF_TypeAB].[All]" dimensionUniqueName="[dTypeAB_Conection]" displayFolder="" count="0" memberValueDatatype="130" unbalanced="0" hidden="1"/>
    <cacheHierarchy uniqueName="[dTypeAB_Conection].[PnL_TypeAB]" caption="PnL_TypeAB" attribute="1" defaultMemberUniqueName="[dTypeAB_Conection].[PnL_TypeAB].[All]" allUniqueName="[dTypeAB_Conection].[PnL_TypeAB].[All]" dimensionUniqueName="[dTypeAB_Conection]" displayFolder="" count="0" memberValueDatatype="130" unbalanced="0" hidden="1"/>
    <cacheHierarchy uniqueName="[fCapex].[CHK_Ano]" caption="CHK_Ano" attribute="1" defaultMemberUniqueName="[fCapex].[CHK_Ano].[All]" allUniqueName="[fCapex].[CHK_Ano].[All]" dimensionUniqueName="[fCapex]" displayFolder="" count="0" memberValueDatatype="130" unbalanced="0" hidden="1"/>
    <cacheHierarchy uniqueName="[fCapex].[Column17]" caption="Column17" attribute="1" defaultMemberUniqueName="[fCapex].[Column17].[All]" allUniqueName="[fCapex].[Column17].[All]" dimensionUniqueName="[fCapex]" displayFolder="" count="0" memberValueDatatype="130" unbalanced="0" hidden="1"/>
    <cacheHierarchy uniqueName="[fCapex].[Column18]" caption="Column18" attribute="1" defaultMemberUniqueName="[fCapex].[Column18].[All]" allUniqueName="[fCapex].[Column18].[All]" dimensionUniqueName="[fCapex]" displayFolder="" count="0" memberValueDatatype="130" unbalanced="0" hidden="1"/>
    <cacheHierarchy uniqueName="[fCapex].[Column19]" caption="Column19" attribute="1" defaultMemberUniqueName="[fCapex].[Column19].[All]" allUniqueName="[fCapex].[Column19].[All]" dimensionUniqueName="[fCapex]" displayFolder="" count="0" memberValueDatatype="130" unbalanced="0" hidden="1"/>
    <cacheHierarchy uniqueName="[fCapex].[Data Aquisição]" caption="Data Aquisição" attribute="1" time="1" defaultMemberUniqueName="[fCapex].[Data Aquisição].[All]" allUniqueName="[fCapex].[Data Aquisição].[All]" dimensionUniqueName="[fCapex]" displayFolder="" count="0" memberValueDatatype="7" unbalanced="0" hidden="1"/>
    <cacheHierarchy uniqueName="[fCapex].[Date]" caption="Date" attribute="1" time="1" defaultMemberUniqueName="[fCapex].[Date].[All]" allUniqueName="[fCapex].[Date].[All]" dimensionUniqueName="[fCapex]" displayFolder="" count="0" memberValueDatatype="7" unbalanced="0" hidden="1"/>
    <cacheHierarchy uniqueName="[fCapex].[ID_Empresa]" caption="ID_Empresa" attribute="1" defaultMemberUniqueName="[fCapex].[ID_Empresa].[All]" allUniqueName="[fCapex].[ID_Empresa].[All]" dimensionUniqueName="[fCapex]" displayFolder="" count="0" memberValueDatatype="130" unbalanced="0" hidden="1"/>
    <cacheHierarchy uniqueName="[fCapex].[Mês]" caption="Mês" attribute="1" defaultMemberUniqueName="[fCapex].[Mês].[All]" allUniqueName="[fCapex].[Mês].[All]" dimensionUniqueName="[fCapex]" displayFolder="" count="0" memberValueDatatype="130" unbalanced="0" hidden="1"/>
    <cacheHierarchy uniqueName="[fCapex].[N1]" caption="N1" attribute="1" defaultMemberUniqueName="[fCapex].[N1].[All]" allUniqueName="[fCapex].[N1].[All]" dimensionUniqueName="[fCapex]" displayFolder="" count="0" memberValueDatatype="130" unbalanced="0" hidden="1"/>
    <cacheHierarchy uniqueName="[fCapex].[ORDR_Default]" caption="ORDR_Default" attribute="1" defaultMemberUniqueName="[fCapex].[ORDR_Default].[All]" allUniqueName="[fCapex].[ORDR_Default].[All]" dimensionUniqueName="[fCapex]" displayFolder="" count="0" memberValueDatatype="20" unbalanced="0" hidden="1"/>
    <cacheHierarchy uniqueName="[fCapex].[Origem_tabela]" caption="Origem_tabela" attribute="1" defaultMemberUniqueName="[fCapex].[Origem_tabela].[All]" allUniqueName="[fCapex].[Origem_tabela].[All]" dimensionUniqueName="[fCapex]" displayFolder="" count="0" memberValueDatatype="130" unbalanced="0" hidden="1"/>
    <cacheHierarchy uniqueName="[fCapex].[OrigemDoAjuste]" caption="OrigemDoAjuste" attribute="1" defaultMemberUniqueName="[fCapex].[OrigemDoAjuste].[All]" allUniqueName="[fCapex].[OrigemDoAjuste].[All]" dimensionUniqueName="[fCapex]" displayFolder="" count="0" memberValueDatatype="130" unbalanced="0" hidden="1"/>
    <cacheHierarchy uniqueName="[fCapex].[PnL_Category]" caption="PnL_Category" attribute="1" defaultMemberUniqueName="[fCapex].[PnL_Category].[All]" allUniqueName="[fCapex].[PnL_Category].[All]" dimensionUniqueName="[fCapex]" displayFolder="" count="0" memberValueDatatype="130" unbalanced="0" hidden="1"/>
    <cacheHierarchy uniqueName="[fCapex].[PnL_FileName]" caption="PnL_FileName" attribute="1" defaultMemberUniqueName="[fCapex].[PnL_FileName].[All]" allUniqueName="[fCapex].[PnL_FileName].[All]" dimensionUniqueName="[fCapex]" displayFolder="" count="0" memberValueDatatype="130" unbalanced="0" hidden="1"/>
    <cacheHierarchy uniqueName="[fCapex].[PnL_LineName]" caption="PnL_LineName" attribute="1" defaultMemberUniqueName="[fCapex].[PnL_LineName].[All]" allUniqueName="[fCapex].[PnL_LineName].[All]" dimensionUniqueName="[fCapex]" displayFolder="" count="0" memberValueDatatype="130" unbalanced="0" hidden="1"/>
    <cacheHierarchy uniqueName="[fCapex].[ProContabil]" caption="ProContabil" attribute="1" defaultMemberUniqueName="[fCapex].[ProContabil].[All]" allUniqueName="[fCapex].[ProContabil].[All]" dimensionUniqueName="[fCapex]" displayFolder="" count="0" memberValueDatatype="130" unbalanced="0" hidden="1"/>
    <cacheHierarchy uniqueName="[fCapex].[TypeAB]" caption="TypeAB" attribute="1" defaultMemberUniqueName="[fCapex].[TypeAB].[All]" allUniqueName="[fCapex].[TypeAB].[All]" dimensionUniqueName="[fCapex]" displayFolder="" count="0" memberValueDatatype="130" unbalanced="0" hidden="1"/>
    <cacheHierarchy uniqueName="[fCapex].[Valor]" caption="Valor" attribute="1" defaultMemberUniqueName="[fCapex].[Valor].[All]" allUniqueName="[fCapex].[Valor].[All]" dimensionUniqueName="[fCapex]" displayFolder="" count="0" memberValueDatatype="5" unbalanced="0" hidden="1"/>
    <cacheHierarchy uniqueName="[Layout_GNR].[GNR_Category]" caption="GNR_Category" attribute="1" defaultMemberUniqueName="[Layout_GNR].[GNR_Category].[All]" allUniqueName="[Layout_GNR].[GNR_Category].[All]" dimensionUniqueName="[Layout_GNR]" displayFolder="" count="0" memberValueDatatype="130" unbalanced="0" hidden="1"/>
    <cacheHierarchy uniqueName="[Layout_GNR].[ORDR_GNR]" caption="ORDR_GNR" attribute="1" defaultMemberUniqueName="[Layout_GNR].[ORDR_GNR].[All]" allUniqueName="[Layout_GNR].[ORDR_GNR].[All]" dimensionUniqueName="[Layout_GNR]" displayFolder="" count="0" memberValueDatatype="20" unbalanced="0" hidden="1"/>
    <cacheHierarchy uniqueName="[Layout_GNR].[PnL_CategoryName]" caption="PnL_CategoryName" attribute="1" defaultMemberUniqueName="[Layout_GNR].[PnL_CategoryName].[All]" allUniqueName="[Layout_GNR].[PnL_CategoryName].[All]" dimensionUniqueName="[Layout_GNR]" displayFolder="" count="0" memberValueDatatype="130" unbalanced="0" hidden="1"/>
    <cacheHierarchy uniqueName="[Layout_GNR_Sub].[ORDR_Display]" caption="ORDR_Display" attribute="1" defaultMemberUniqueName="[Layout_GNR_Sub].[ORDR_Display].[All]" allUniqueName="[Layout_GNR_Sub].[ORDR_Display].[All]" dimensionUniqueName="[Layout_GNR_Sub]" displayFolder="" count="0" memberValueDatatype="130" unbalanced="0" hidden="1"/>
    <cacheHierarchy uniqueName="[Layout_GNR_Sub].[ORDR_GNR]" caption="ORDR_GNR" attribute="1" defaultMemberUniqueName="[Layout_GNR_Sub].[ORDR_GNR].[All]" allUniqueName="[Layout_GNR_Sub].[ORDR_GNR].[All]" dimensionUniqueName="[Layout_GNR_Sub]" displayFolder="" count="0" memberValueDatatype="130" unbalanced="0" hidden="1"/>
    <cacheHierarchy uniqueName="[Layout_KPI].[Benchmark]" caption="Benchmark" attribute="1" defaultMemberUniqueName="[Layout_KPI].[Benchmark].[All]" allUniqueName="[Layout_KPI].[Benchmark].[All]" dimensionUniqueName="[Layout_KPI]" displayFolder="" count="0" memberValueDatatype="130" unbalanced="0" hidden="1"/>
    <cacheHierarchy uniqueName="[Layout_KPI].[DrillDownYN]" caption="DrillDownYN" attribute="1" defaultMemberUniqueName="[Layout_KPI].[DrillDownYN].[All]" allUniqueName="[Layout_KPI].[DrillDownYN].[All]" dimensionUniqueName="[Layout_KPI]" displayFolder="" count="0" memberValueDatatype="130" unbalanced="0" hidden="1"/>
    <cacheHierarchy uniqueName="[Layout_KPI].[N1]" caption="N1" attribute="1" defaultMemberUniqueName="[Layout_KPI].[N1].[All]" allUniqueName="[Layout_KPI].[N1].[All]" dimensionUniqueName="[Layout_KPI]" displayFolder="" count="0" memberValueDatatype="130" unbalanced="0" hidden="1"/>
    <cacheHierarchy uniqueName="[Layout_KPI].[N2]" caption="N2" attribute="1" defaultMemberUniqueName="[Layout_KPI].[N2].[All]" allUniqueName="[Layout_KPI].[N2].[All]" dimensionUniqueName="[Layout_KPI]" displayFolder="" count="0" memberValueDatatype="130" unbalanced="0" hidden="1"/>
    <cacheHierarchy uniqueName="[Layout_KPI].[ORDR_Default]" caption="ORDR_Default" attribute="1" defaultMemberUniqueName="[Layout_KPI].[ORDR_Default].[All]" allUniqueName="[Layout_KPI].[ORDR_Default].[All]" dimensionUniqueName="[Layout_KPI]" displayFolder="" count="0" memberValueDatatype="20" unbalanced="0" hidden="1"/>
    <cacheHierarchy uniqueName="[Layout_KPI].[ORDR_Default_CF]" caption="ORDR_Default_CF" attribute="1" defaultMemberUniqueName="[Layout_KPI].[ORDR_Default_CF].[All]" allUniqueName="[Layout_KPI].[ORDR_Default_CF].[All]" dimensionUniqueName="[Layout_KPI]" displayFolder="" count="0" memberValueDatatype="20" unbalanced="0" hidden="1"/>
    <cacheHierarchy uniqueName="[Layout_KPI].[ORDR_KPI]" caption="ORDR_KPI" attribute="1" defaultMemberUniqueName="[Layout_KPI].[ORDR_KPI].[All]" allUniqueName="[Layout_KPI].[ORDR_KPI].[All]" dimensionUniqueName="[Layout_KPI]" displayFolder="" count="0" memberValueDatatype="20" unbalanced="0" hidden="1"/>
    <cacheHierarchy uniqueName="[Layout_KPI].[PKI_Category]" caption="PKI_Category" attribute="1" defaultMemberUniqueName="[Layout_KPI].[PKI_Category].[All]" allUniqueName="[Layout_KPI].[PKI_Category].[All]" dimensionUniqueName="[Layout_KPI]" displayFolder="" count="0" memberValueDatatype="130" unbalanced="0" hidden="1"/>
    <cacheHierarchy uniqueName="[Layout_KPI].[PlanoDeContasSubpacote]" caption="PlanoDeContasSubpacote" attribute="1" defaultMemberUniqueName="[Layout_KPI].[PlanoDeContasSubpacote].[All]" allUniqueName="[Layout_KPI].[PlanoDeContasSubpacote].[All]" dimensionUniqueName="[Layout_KPI]" displayFolder="" count="0" memberValueDatatype="130" unbalanced="0" hidden="1"/>
    <cacheHierarchy uniqueName="[Layout_KPI].[PnL_LineTotal]" caption="PnL_LineTotal" attribute="1" defaultMemberUniqueName="[Layout_KPI].[PnL_LineTotal].[All]" allUniqueName="[Layout_KPI].[PnL_LineTotal].[All]" dimensionUniqueName="[Layout_KPI]" displayFolder="" count="0" memberValueDatatype="130" unbalanced="0" hidden="1"/>
    <cacheHierarchy uniqueName="[zdUnidadeMedida].[ID_Unidade]" caption="ID_Unidade" attribute="1" defaultMemberUniqueName="[zdUnidadeMedida].[ID_Unidade].[All]" allUniqueName="[zdUnidadeMedida].[ID_Unidade].[All]" dimensionUniqueName="[zdUnidadeMedida]" displayFolder="" count="0" memberValueDatatype="20" unbalanced="0" hidden="1"/>
    <cacheHierarchy uniqueName="[zdUnidadeMedida].[UnidadeMedida]" caption="UnidadeMedida" attribute="1" defaultMemberUniqueName="[zdUnidadeMedida].[UnidadeMedida].[All]" allUniqueName="[zdUnidadeMedida].[UnidadeMedida].[All]" dimensionUniqueName="[zdUnidadeMedida]" displayFolder="" count="0" memberValueDatatype="130" unbalanced="0" hidden="1"/>
    <cacheHierarchy uniqueName="[zdView_BU].[BU]" caption="BU" attribute="1" defaultMemberUniqueName="[zdView_BU].[BU].[All]" allUniqueName="[zdView_BU].[BU].[All]" dimensionUniqueName="[zdView_BU]" displayFolder="" count="0" memberValueDatatype="130" unbalanced="0" hidden="1"/>
    <cacheHierarchy uniqueName="[zdView_BU].[ORDR_BU]" caption="ORDR_BU" attribute="1" defaultMemberUniqueName="[zdView_BU].[ORDR_BU].[All]" allUniqueName="[zdView_BU].[ORDR_BU].[All]" dimensionUniqueName="[zdView_BU]" displayFolder="" count="0" memberValueDatatype="20" unbalanced="0" hidden="1"/>
    <cacheHierarchy uniqueName="[zdView_Lines].[ORDR_Default]" caption="ORDR_Default" attribute="1" defaultMemberUniqueName="[zdView_Lines].[ORDR_Default].[All]" allUniqueName="[zdView_Lines].[ORDR_Default].[All]" dimensionUniqueName="[zdView_Lines]" displayFolder="" count="0" memberValueDatatype="20" unbalanced="0" hidden="1"/>
    <cacheHierarchy uniqueName="[zdView_Lines].[PnL_Category]" caption="PnL_Category" attribute="1" defaultMemberUniqueName="[zdView_Lines].[PnL_Category].[All]" allUniqueName="[zdView_Lines].[PnL_Category].[All]" dimensionUniqueName="[zdView_Lines]" displayFolder="" count="0" memberValueDatatype="130" unbalanced="0" hidden="1"/>
    <cacheHierarchy uniqueName="[zdView_Lines].[PnL_LineName]" caption="PnL_LineName" attribute="1" defaultMemberUniqueName="[zdView_Lines].[PnL_LineName].[All]" allUniqueName="[zdView_Lines].[PnL_LineName].[All]" dimensionUniqueName="[zdView_Lines]" displayFolder="" count="0" memberValueDatatype="130" unbalanced="0" hidden="1"/>
    <cacheHierarchy uniqueName="[Measures].[_PNL_ValorTotal_A]" caption="_PNL_ValorTotal_A" measure="1" displayFolder="01 - Actual" measureGroup="_measures_P&amp;L" count="0"/>
    <cacheHierarchy uniqueName="[Measures].[GrossRevenue_A]" caption="GrossRevenue_A" measure="1" displayFolder="01 - Actual" measureGroup="_measures_P&amp;L" count="0"/>
    <cacheHierarchy uniqueName="[Measures].[Deductions_A]" caption="Deductions_A" measure="1" displayFolder="01 - Actual" measureGroup="_measures_P&amp;L" count="0"/>
    <cacheHierarchy uniqueName="[Measures].[Cogs_A]" caption="Cogs_A" measure="1" displayFolder="01 - Actual" measureGroup="_measures_P&amp;L" count="0"/>
    <cacheHierarchy uniqueName="[Measures].[G&amp;A_A]" caption="G&amp;A_A" measure="1" displayFolder="01 - Actual" measureGroup="_measures_P&amp;L" count="0"/>
    <cacheHierarchy uniqueName="[Measures].[S&amp;M_A]" caption="S&amp;M_A" measure="1" displayFolder="01 - Actual" measureGroup="_measures_P&amp;L" count="0"/>
    <cacheHierarchy uniqueName="[Measures].[BadDebitsProvision_A]" caption="BadDebitsProvision_A" measure="1" displayFolder="01 - Actual" measureGroup="_measures_P&amp;L" count="0"/>
    <cacheHierarchy uniqueName="[Measures].[R&amp;D_A]" caption="R&amp;D_A" measure="1" displayFolder="01 - Actual" measureGroup="_measures_P&amp;L" count="0"/>
    <cacheHierarchy uniqueName="[Measures].[OtherIncomeAndExpenses_A]" caption="OtherIncomeAndExpenses_A" measure="1" displayFolder="01 - Actual" measureGroup="_measures_P&amp;L" count="0"/>
    <cacheHierarchy uniqueName="[Measures].[BUAllocation_A]" caption="BUAllocation_A" measure="1" displayFolder="01 - Actual" measureGroup="_measures_P&amp;L" count="0"/>
    <cacheHierarchy uniqueName="[Measures].[HoldingCostSharing_A]" caption="HoldingCostSharing_A" measure="1" displayFolder="01 - Actual" measureGroup="_measures_P&amp;L" count="0"/>
    <cacheHierarchy uniqueName="[Measures].[SharedServicess_A]" caption="SharedServicess_A" measure="1" displayFolder="01 - Actual" measureGroup="_measures_P&amp;L" count="0"/>
    <cacheHierarchy uniqueName="[Measures].[AdjustmentsToEBITDA_A]" caption="AdjustmentsToEBITDA_A" measure="1" displayFolder="01 - Actual" measureGroup="_measures_P&amp;L" count="0"/>
    <cacheHierarchy uniqueName="[Measures].[D&amp;A_A]" caption="D&amp;A_A" measure="1" displayFolder="01 - Actual" measureGroup="_measures_P&amp;L" count="0"/>
    <cacheHierarchy uniqueName="[Measures].[M&amp;A_A]" caption="M&amp;A_A" measure="1" displayFolder="01 - Actual" measureGroup="_measures_P&amp;L" count="0"/>
    <cacheHierarchy uniqueName="[Measures].[IncomeTax_A]" caption="IncomeTax_A" measure="1" displayFolder="01 - Actual" measureGroup="_measures_P&amp;L" count="0"/>
    <cacheHierarchy uniqueName="[Measures].[DeferredTax_A]" caption="DeferredTax_A" measure="1" displayFolder="01 - Actual" measureGroup="_measures_P&amp;L" count="0"/>
    <cacheHierarchy uniqueName="[Measures].[Adjustments_A]" caption="Adjustments_A" measure="1" displayFolder="01 - Actual" measureGroup="_measures_P&amp;L" count="0"/>
    <cacheHierarchy uniqueName="[Measures].[NetSales_A]" caption="NetSales_A" measure="1" displayFolder="01 - Actual" measureGroup="_measures_P&amp;L" count="0"/>
    <cacheHierarchy uniqueName="[Measures].[GrossMargin_A]" caption="GrossMargin_A" measure="1" displayFolder="01 - Actual" measureGroup="_measures_P&amp;L" count="0"/>
    <cacheHierarchy uniqueName="[Measures].[Expenses_A]" caption="Expenses_A" measure="1" displayFolder="01 - Actual" measureGroup="_measures_P&amp;L" count="0"/>
    <cacheHierarchy uniqueName="[Measures].[AdjustedEBITDA_A]" caption="AdjustedEBITDA_A" measure="1" displayFolder="01 - Actual" measureGroup="_measures_P&amp;L" count="0"/>
    <cacheHierarchy uniqueName="[Measures].[_PNL_ValorTotal_B]" caption="_PNL_ValorTotal_B" measure="1" displayFolder="02 - Budget" measureGroup="_measures_P&amp;L" count="0"/>
    <cacheHierarchy uniqueName="[Measures].[AdjustedEBITDA_B]" caption="AdjustedEBITDA_B" measure="1" displayFolder="02 - Budget" measureGroup="_measures_P&amp;L" count="0"/>
    <cacheHierarchy uniqueName="[Measures].[Adjustments_B]" caption="Adjustments_B" measure="1" displayFolder="02 - Budget" measureGroup="_measures_P&amp;L" count="0"/>
    <cacheHierarchy uniqueName="[Measures].[AdjustmentsToEBITDA_B]" caption="AdjustmentsToEBITDA_B" measure="1" displayFolder="02 - Budget" measureGroup="_measures_P&amp;L" count="0"/>
    <cacheHierarchy uniqueName="[Measures].[BadDebitsProvision_B]" caption="BadDebitsProvision_B" measure="1" displayFolder="02 - Budget" measureGroup="_measures_P&amp;L" count="0"/>
    <cacheHierarchy uniqueName="[Measures].[BUAllocation_B]" caption="BUAllocation_B" measure="1" displayFolder="02 - Budget" measureGroup="_measures_P&amp;L" count="0"/>
    <cacheHierarchy uniqueName="[Measures].[Cogs_B]" caption="Cogs_B" measure="1" displayFolder="02 - Budget" measureGroup="_measures_P&amp;L" count="0"/>
    <cacheHierarchy uniqueName="[Measures].[D&amp;A_B]" caption="D&amp;A_B" measure="1" displayFolder="02 - Budget" measureGroup="_measures_P&amp;L" count="0"/>
    <cacheHierarchy uniqueName="[Measures].[Deductions_B]" caption="Deductions_B" measure="1" displayFolder="02 - Budget" measureGroup="_measures_P&amp;L" count="0"/>
    <cacheHierarchy uniqueName="[Measures].[DeferredTax_B]" caption="DeferredTax_B" measure="1" displayFolder="02 - Budget" measureGroup="_measures_P&amp;L" count="0"/>
    <cacheHierarchy uniqueName="[Measures].[Expenses_B]" caption="Expenses_B" measure="1" displayFolder="02 - Budget" measureGroup="_measures_P&amp;L" count="0"/>
    <cacheHierarchy uniqueName="[Measures].[G&amp;A_B]" caption="G&amp;A_B" measure="1" displayFolder="02 - Budget" measureGroup="_measures_P&amp;L" count="0"/>
    <cacheHierarchy uniqueName="[Measures].[GrossMargin_B]" caption="GrossMargin_B" measure="1" displayFolder="02 - Budget" measureGroup="_measures_P&amp;L" count="0"/>
    <cacheHierarchy uniqueName="[Measures].[GrossRevenue_B]" caption="GrossRevenue_B" measure="1" displayFolder="02 - Budget" measureGroup="_measures_P&amp;L" count="0"/>
    <cacheHierarchy uniqueName="[Measures].[HoldingCostSharing_B]" caption="HoldingCostSharing_B" measure="1" displayFolder="02 - Budget" measureGroup="_measures_P&amp;L" count="0"/>
    <cacheHierarchy uniqueName="[Measures].[IncomeTax_B]" caption="IncomeTax_B" measure="1" displayFolder="02 - Budget" measureGroup="_measures_P&amp;L" count="0"/>
    <cacheHierarchy uniqueName="[Measures].[M&amp;A_B]" caption="M&amp;A_B" measure="1" displayFolder="02 - Budget" measureGroup="_measures_P&amp;L" count="0"/>
    <cacheHierarchy uniqueName="[Measures].[NetSales_B]" caption="NetSales_B" measure="1" displayFolder="02 - Budget" measureGroup="_measures_P&amp;L" count="0"/>
    <cacheHierarchy uniqueName="[Measures].[OtherIncomeAndExpenses_B]" caption="OtherIncomeAndExpenses_B" measure="1" displayFolder="02 - Budget" measureGroup="_measures_P&amp;L" count="0"/>
    <cacheHierarchy uniqueName="[Measures].[R&amp;D_B]" caption="R&amp;D_B" measure="1" displayFolder="02 - Budget" measureGroup="_measures_P&amp;L" count="0"/>
    <cacheHierarchy uniqueName="[Measures].[S&amp;M_B]" caption="S&amp;M_B" measure="1" displayFolder="02 - Budget" measureGroup="_measures_P&amp;L" count="0"/>
    <cacheHierarchy uniqueName="[Measures].[SharedServicess_B]" caption="SharedServicess_B" measure="1" displayFolder="02 - Budget" measureGroup="_measures_P&amp;L" count="0"/>
    <cacheHierarchy uniqueName="[Measures].[Capex_A]" caption="Capex_A" measure="1" displayFolder="03 - Capex" measureGroup="_measures_P&amp;L" count="0"/>
    <cacheHierarchy uniqueName="[Measures].[Capex_B]" caption="Capex_B" measure="1" displayFolder="03 - Capex" measureGroup="_measures_P&amp;L" count="0"/>
    <cacheHierarchy uniqueName="[Measures].[Capex_RoL%_A]" caption="Capex_RoL%_A" measure="1" displayFolder="RoL" measureGroup="_measures_P&amp;L" count="0"/>
    <cacheHierarchy uniqueName="[Measures].[Capex_RoL%_B]" caption="Capex_RoL%_B" measure="1" displayFolder="RoL" measureGroup="_measures_P&amp;L" count="0"/>
    <cacheHierarchy uniqueName="[Measures].[Capex_A-B]" caption="Capex_A-B" measure="1" displayFolder="03 - Capex" measureGroup="_measures_P&amp;L" count="0"/>
    <cacheHierarchy uniqueName="[Measures].[Capex_A/B]" caption="Capex_A/B" measure="1" displayFolder="03 - Capex" measureGroup="_measures_P&amp;L" count="0"/>
    <cacheHierarchy uniqueName="[Measures].[AdjustedEBITDA_A_SMLY]" caption="AdjustedEBITDA_A_SMLY" measure="1" displayFolder="LY" measureGroup="_measures_P&amp;L" count="0"/>
    <cacheHierarchy uniqueName="[Measures].[CashGen_A]" caption="CashGen_A" measure="1" displayFolder="04 - CashFlow" measureGroup="_measures_P&amp;L" count="0"/>
    <cacheHierarchy uniqueName="[Measures].[CashGen_B]" caption="CashGen_B" measure="1" displayFolder="04 - CashFlow" measureGroup="_measures_P&amp;L" count="0"/>
    <cacheHierarchy uniqueName="[Measures].[CashGen_A-B]" caption="CashGen_A-B" measure="1" displayFolder="04 - CashFlow" measureGroup="_measures_P&amp;L" count="0"/>
    <cacheHierarchy uniqueName="[Measures].[CashGen_A/B]" caption="CashGen_A/B" measure="1" displayFolder="04 - CashFlow" measureGroup="_measures_P&amp;L" count="0"/>
    <cacheHierarchy uniqueName="[Measures].[CashFlow_B]" caption="CashFlow_B" measure="1" displayFolder="04 - CashFlow" measureGroup="_measures_P&amp;L" count="0"/>
    <cacheHierarchy uniqueName="[Measures].[CashFlow_A-B]" caption="CashFlow_A-B" measure="1" displayFolder="04 - CashFlow" measureGroup="_measures_P&amp;L" count="0"/>
    <cacheHierarchy uniqueName="[Measures].[CashFlow_A/B]" caption="CashFlow_A/B" measure="1" displayFolder="04 - CashFlow" measureGroup="_measures_P&amp;L" count="0"/>
    <cacheHierarchy uniqueName="[Measures].[NetSalesForRoL_A]" caption="NetSalesForRoL_A" measure="1" displayFolder="01 - Actual" measureGroup="_measures_P&amp;L" count="0"/>
    <cacheHierarchy uniqueName="[Measures].[NetSalesForRoL_B]" caption="NetSalesForRoL_B" measure="1" displayFolder="02 - Budget" measureGroup="_measures_P&amp;L" count="0"/>
    <cacheHierarchy uniqueName="[Measures].[Capex_A_LY]" caption="Capex_A_LY" measure="1" displayFolder="03 - Capex" measureGroup="_measures_P&amp;L" count="0"/>
    <cacheHierarchy uniqueName="[Measures].[Capex_A-LY]" caption="Capex_A-LY" measure="1" displayFolder="03 - Capex" measureGroup="_measures_P&amp;L" count="0"/>
    <cacheHierarchy uniqueName="[Measures].[Capex_A/LY]" caption="Capex_A/LY" measure="1" displayFolder="03 - Capex" measureGroup="_measures_P&amp;L" count="0"/>
    <cacheHierarchy uniqueName="[Measures].[CFCapex_A]" caption="CFCapex_A" measure="1" displayFolder="04 - CashFlow" measureGroup="_measures_P&amp;L" count="0"/>
    <cacheHierarchy uniqueName="[Measures].[OpCF_ACapex_A]" caption="OpCF_ACapex_A" measure="1" displayFolder="04 - CashFlow" measureGroup="_measures_P&amp;L" count="0"/>
    <cacheHierarchy uniqueName="[Measures].[CFCapex_B]" caption="CFCapex_B" measure="1" displayFolder="04 - CashFlow" measureGroup="_measures_P&amp;L" count="0"/>
    <cacheHierarchy uniqueName="[Measures].[OpCF_ACapex_B]" caption="OpCF_ACapex_B" measure="1" displayFolder="04 - CashFlow" measureGroup="_measures_P&amp;L" count="0"/>
    <cacheHierarchy uniqueName="[Measures].[_PNL_ValorTotal_A_LY]" caption="_PNL_ValorTotal_A_LY" measure="1" displayFolder="LY" measureGroup="_measures_P&amp;L" count="0"/>
    <cacheHierarchy uniqueName="[Measures].[_PNL_ValorTotal_B_LY]" caption="_PNL_ValorTotal_B_LY" measure="1" displayFolder="LY" measureGroup="_measures_P&amp;L" count="0"/>
    <cacheHierarchy uniqueName="[Measures].[_PNL_ValorTotal_B_YTD]" caption="_PNL_ValorTotal_B_YTD" measure="1" displayFolder="YTD" measureGroup="_measures_P&amp;L" count="0"/>
    <cacheHierarchy uniqueName="[Measures].[_PNL_ValorTotal_A_YTD]" caption="_PNL_ValorTotal_A_YTD" measure="1" displayFolder="YTD" measureGroup="_measures_P&amp;L" count="0"/>
    <cacheHierarchy uniqueName="[Measures].[NetSalesForRoL_A_YTD]" caption="NetSalesForRoL_A_YTD" measure="1" displayFolder="YTD" measureGroup="_measures_P&amp;L" count="0"/>
    <cacheHierarchy uniqueName="[Measures].[NetSalesForRoL_B_YTD]" caption="NetSalesForRoL_B_YTD" measure="1" displayFolder="YTD" measureGroup="_measures_P&amp;L" count="0"/>
    <cacheHierarchy uniqueName="[Measures].[NetSales_A_SMLY]" caption="NetSales_A_SMLY" measure="1" displayFolder="LY" measureGroup="_measures_P&amp;L" count="0"/>
    <cacheHierarchy uniqueName="[Measures].[NS_YTD_A]" caption="NS_YTD_A" measure="1" displayFolder="YTD" measureGroup="_measures_P&amp;L" count="0"/>
    <cacheHierarchy uniqueName="[Measures].[NetSales_B_YTD]" caption="NetSales_B_YTD" measure="1" displayFolder="YTD" measureGroup="_measures_P&amp;L" count="0"/>
    <cacheHierarchy uniqueName="[Measures].[NetSales_A_LYTD]" caption="NetSales_A_LYTD" measure="1" displayFolder="LY" measureGroup="_measures_P&amp;L" count="0"/>
    <cacheHierarchy uniqueName="[Measures].[AdjustedEBITDA_A_YTD]" caption="AdjustedEBITDA_A_YTD" measure="1" displayFolder="YTD" measureGroup="_measures_P&amp;L" count="0"/>
    <cacheHierarchy uniqueName="[Measures].[AdjustedEBITDA_A_LYTD]" caption="AdjustedEBITDA_A_LYTD" measure="1" displayFolder="LY" measureGroup="_measures_P&amp;L" count="0"/>
    <cacheHierarchy uniqueName="[Measures].[AdjustedEBITDA_B_YTD]" caption="AdjustedEBITDA_B_YTD" measure="1" displayFolder="YTD" measureGroup="_measures_P&amp;L" count="0"/>
    <cacheHierarchy uniqueName="[Measures].[P&amp;L_Sub_A]" caption="P&amp;L_Sub_A" measure="1" displayFolder="zPNL_Estructure" measureGroup="_measures_P&amp;L" count="0"/>
    <cacheHierarchy uniqueName="[Measures].[P&amp;L_Sub_LY_A]" caption="P&amp;L_Sub_LY_A" measure="1" displayFolder="zPNL_Estructure" measureGroup="_measures_P&amp;L" count="0"/>
    <cacheHierarchy uniqueName="[Measures].[P&amp;L_Sub_YTD_A]" caption="P&amp;L_Sub_YTD_A" measure="1" displayFolder="zPNL_Estructure" measureGroup="_measures_P&amp;L" count="0"/>
    <cacheHierarchy uniqueName="[Measures].[P&amp;L_Sub_B]" caption="P&amp;L_Sub_B" measure="1" displayFolder="zPNL_Estructure" measureGroup="_measures_P&amp;L" count="0"/>
    <cacheHierarchy uniqueName="[Measures].[P&amp;L_Total_A]" caption="P&amp;L_Total_A" measure="1" displayFolder="zPNL_Estructure" measureGroup="_measures_P&amp;L" count="0"/>
    <cacheHierarchy uniqueName="[Measures].[P&amp;L_Total_LY_A]" caption="P&amp;L_Total_LY_A" measure="1" displayFolder="zPNL_Estructure" measureGroup="_measures_P&amp;L" count="0"/>
    <cacheHierarchy uniqueName="[Measures].[P&amp;L_Total_LYTD_A]" caption="P&amp;L_Total_LYTD_A" measure="1" displayFolder="zPNL_Estructure" measureGroup="_measures_P&amp;L" count="0"/>
    <cacheHierarchy uniqueName="[Measures].[P&amp;L_Total_RoL_A]" caption="P&amp;L_Total_RoL_A" measure="1" displayFolder="zPNL_Estructure" measureGroup="_measures_P&amp;L" count="0"/>
    <cacheHierarchy uniqueName="[Measures].[P&amp;L_Total_YTD_A]" caption="P&amp;L_Total_YTD_A" measure="1" displayFolder="zPNL_Estructure" measureGroup="_measures_P&amp;L" count="0"/>
    <cacheHierarchy uniqueName="[Measures].[P&amp;L_Total_YTD/LYTD_A]" caption="P&amp;L_Total_YTD/LYTD_A" measure="1" displayFolder="zPNL_Estructure" measureGroup="_measures_P&amp;L" count="0"/>
    <cacheHierarchy uniqueName="[Measures].[P&amp;L_Total_A/B]" caption="P&amp;L_Total_A/B" measure="1" displayFolder="zPNL_Estructure" measureGroup="_measures_P&amp;L" count="0"/>
    <cacheHierarchy uniqueName="[Measures].[P&amp;L_Total_A/LY]" caption="P&amp;L_Total_A/LY" measure="1" displayFolder="zPNL_Estructure" measureGroup="_measures_P&amp;L" count="0"/>
    <cacheHierarchy uniqueName="[Measures].[P&amp;L_Total_B]" caption="P&amp;L_Total_B" measure="1" displayFolder="zPNL_Estructure" measureGroup="_measures_P&amp;L" count="0"/>
    <cacheHierarchy uniqueName="[Measures].[P&amp;L_Total_RoL_B]" caption="P&amp;L_Total_RoL_B" measure="1" displayFolder="zPNL_Estructure" measureGroup="_measures_P&amp;L" count="0"/>
    <cacheHierarchy uniqueName="[Measures].[OpCF_A_LY]" caption="OpCF_A_LY" measure="1" displayFolder="LY" measureGroup="_measures_P&amp;L" count="0"/>
    <cacheHierarchy uniqueName="[Measures].[OpCashFlow_A_YTD]" caption="OpCashFlow_A_YTD" measure="1" displayFolder="YTD" measureGroup="_measures_P&amp;L" count="0"/>
    <cacheHierarchy uniqueName="[Measures].[OpCashFlow_B_YTD]" caption="OpCashFlow_B_YTD" measure="1" displayFolder="YTD" measureGroup="_measures_P&amp;L" count="0"/>
    <cacheHierarchy uniqueName="[Measures].[OpCashFlow_A_LYTD]" caption="OpCashFlow_A_LYTD" measure="1" displayFolder="YTD" measureGroup="_measures_P&amp;L" count="0"/>
    <cacheHierarchy uniqueName="[Measures].[OpCashFlow_FY]" caption="OpCashFlow_FY" measure="1" displayFolder="FY" measureGroup="_measures_P&amp;L" count="0"/>
    <cacheHierarchy uniqueName="[Measures].[OpCashFlow_LFY]" caption="OpCashFlow_LFY" measure="1" displayFolder="FY" measureGroup="_measures_P&amp;L" count="0"/>
    <cacheHierarchy uniqueName="[Measures].[AdjustedEBITDA_FY]" caption="AdjustedEBITDA_FY" measure="1" displayFolder="FY" measureGroup="_measures_P&amp;L" count="0"/>
    <cacheHierarchy uniqueName="[Measures].[NetSales_FY]" caption="NetSales_FY" measure="1" displayFolder="FY" measureGroup="_measures_P&amp;L" count="0"/>
    <cacheHierarchy uniqueName="[Measures].[CFACapex_RoL_A_YTD]" caption="CFACapex_RoL_A_YTD" measure="1" displayFolder="Crescimento" measureGroup="_measures_P&amp;L" count="0"/>
    <cacheHierarchy uniqueName="[Measures].[CFACapex_RoL_A]" caption="CFACapex_RoL_A" measure="1" displayFolder="Crescimento" measureGroup="_measures_P&amp;L" count="0"/>
    <cacheHierarchy uniqueName="[Measures].[CFACapex_RoL_B_YTD]" caption="CFACapex_RoL_B_YTD" measure="1" displayFolder="Crescimento" measureGroup="_measures_P&amp;L" count="0"/>
    <cacheHierarchy uniqueName="[Measures].[GrossMargin_RoL_A]" caption="GrossMargin_RoL_A" measure="1" displayFolder="Crescimento" measureGroup="_measures_P&amp;L" count="0"/>
    <cacheHierarchy uniqueName="[Measures].[GrossMargin_RoL_A_YTD]" caption="GrossMargin_RoL_A_YTD" measure="1" displayFolder="Crescimento" measureGroup="_measures_P&amp;L" count="0"/>
    <cacheHierarchy uniqueName="[Measures].[GrossMargin_RoL_B_YTD]" caption="GrossMargin_RoL_B_YTD" measure="1" displayFolder="Crescimento" measureGroup="_measures_P&amp;L" count="0"/>
    <cacheHierarchy uniqueName="[Measures].[S&amp;M_RoL_A]" caption="S&amp;M_RoL_A" measure="1" displayFolder="CrescimentoBaseGastos" measureGroup="_measures_P&amp;L" count="0"/>
    <cacheHierarchy uniqueName="[Measures].[S&amp;M_RoL_A_YTD]" caption="S&amp;M_RoL_A_YTD" measure="1" displayFolder="CrescimentoBaseGastos" measureGroup="_measures_P&amp;L" count="0"/>
    <cacheHierarchy uniqueName="[Measures].[S&amp;M_RoL_B_YTD]" caption="S&amp;M_RoL_B_YTD" measure="1" displayFolder="CrescimentoBaseGastos" measureGroup="_measures_P&amp;L" count="0"/>
    <cacheHierarchy uniqueName="[Measures].[R&amp;D_RoL_A]" caption="R&amp;D_RoL_A" measure="1" displayFolder="CrescimentoBaseGastos" measureGroup="_measures_P&amp;L" count="0"/>
    <cacheHierarchy uniqueName="[Measures].[G&amp;A_RoL_A]" caption="G&amp;A_RoL_A" measure="1" displayFolder="CrescimentoBaseGastos" measureGroup="_measures_P&amp;L" count="0"/>
    <cacheHierarchy uniqueName="[Measures].[R&amp;D_RoL_A_YTD]" caption="R&amp;D_RoL_A_YTD" measure="1" displayFolder="CrescimentoBaseGastos" measureGroup="_measures_P&amp;L" count="0"/>
    <cacheHierarchy uniqueName="[Measures].[G&amp;A_RoL_A_YTD]" caption="G&amp;A_RoL_A_YTD" measure="1" displayFolder="CrescimentoBaseGastos" measureGroup="_measures_P&amp;L" count="0"/>
    <cacheHierarchy uniqueName="[Measures].[R&amp;D_RoL_B_YTD]" caption="R&amp;D_RoL_B_YTD" measure="1" displayFolder="CrescimentoBaseGastos" measureGroup="_measures_P&amp;L" count="0"/>
    <cacheHierarchy uniqueName="[Measures].[G&amp;A_RoL_B_YTD]" caption="G&amp;A_RoL_B_YTD" measure="1" displayFolder="CrescimentoBaseGastos" measureGroup="_measures_P&amp;L" count="0"/>
    <cacheHierarchy uniqueName="[Measures].[AdjEBITDA_RoL_A]" caption="AdjEBITDA_RoL_A" measure="1" displayFolder="Crescimento" measureGroup="_measures_P&amp;L" count="0"/>
    <cacheHierarchy uniqueName="[Measures].[AdjEBITDA_RoL_A_YTD]" caption="AdjEBITDA_RoL_A_YTD" measure="1" displayFolder="Crescimento" measureGroup="_measures_P&amp;L" count="0"/>
    <cacheHierarchy uniqueName="[Measures].[AdjEBITDA_RoL_B_YTD]" caption="AdjEBITDA_RoL_B_YTD" measure="1" displayFolder="Crescimento" measureGroup="_measures_P&amp;L" count="0"/>
    <cacheHierarchy uniqueName="[Measures].[Capex_RoL_A]" caption="Capex_RoL_A" measure="1" displayFolder="Crescimento" measureGroup="_measures_P&amp;L" count="0"/>
    <cacheHierarchy uniqueName="[Measures].[Capex_RoL_A_YTD]" caption="Capex_RoL_A_YTD" measure="1" displayFolder="Crescimento" measureGroup="_measures_P&amp;L" count="0"/>
    <cacheHierarchy uniqueName="[Measures].[Capex_RoL_B_YTD]" caption="Capex_RoL_B_YTD" measure="1" displayFolder="Crescimento" measureGroup="_measures_P&amp;L" count="0"/>
    <cacheHierarchy uniqueName="[Measures].[PersonnelCost_RoL_A]" caption="PersonnelCost_RoL_A" measure="1" displayFolder="CrescimentoBaseGastos" measureGroup="_measures_P&amp;L" count="0"/>
    <cacheHierarchy uniqueName="[Measures].[PersonnelCost_RoL_A_YTD]" caption="PersonnelCost_RoL_A_YTD" measure="1" displayFolder="CrescimentoBaseGastos" measureGroup="_measures_P&amp;L" count="0"/>
    <cacheHierarchy uniqueName="[Measures].[PersonnelCost_RoL_B_YTD]" caption="PersonnelCost_RoL_B_YTD" measure="1" displayFolder="CrescimentoBaseGastos" measureGroup="_measures_P&amp;L" count="0"/>
    <cacheHierarchy uniqueName="[Measures].[Cloud_RoL_A]" caption="Cloud_RoL_A" measure="1" displayFolder="CrescimentoBaseGastos" measureGroup="_measures_P&amp;L" count="0"/>
    <cacheHierarchy uniqueName="[Measures].[Cloud_RoL_A_YTD]" caption="Cloud_RoL_A_YTD" measure="1" displayFolder="CrescimentoBaseGastos" measureGroup="_measures_P&amp;L" count="0"/>
    <cacheHierarchy uniqueName="[Measures].[Cloud_RoL_B_YTD]" caption="Cloud_RoL_B_YTD" measure="1" displayFolder="CrescimentoBaseGastos" measureGroup="_measures_P&amp;L" count="0"/>
    <cacheHierarchy uniqueName="[Measures].[Cloud_YTD_B]" caption="Cloud_YTD_B" measure="1" displayFolder="CrescimentoBaseGastos" measureGroup="_measures_P&amp;L" count="0"/>
    <cacheHierarchy uniqueName="[Measures].[Travels_RoL_A]" caption="Travels_RoL_A" measure="1" displayFolder="CrescimentoBaseGastos" measureGroup="_measures_P&amp;L" count="0"/>
    <cacheHierarchy uniqueName="[Measures].[Travels_RoL_A_YTD]" caption="Travels_RoL_A_YTD" measure="1" displayFolder="CrescimentoBaseGastos" measureGroup="_measures_P&amp;L" count="0"/>
    <cacheHierarchy uniqueName="[Measures].[Cloud_RoL_B]" caption="Cloud_RoL_B" measure="1" displayFolder="CrescimentoBaseGastos" measureGroup="_measures_P&amp;L" count="0"/>
    <cacheHierarchy uniqueName="[Measures].[Travels_RoL_B_YTD]" caption="Travels_RoL_B_YTD" measure="1" displayFolder="CrescimentoBaseGastos" measureGroup="_measures_P&amp;L" count="0"/>
    <cacheHierarchy uniqueName="[Measures].[Travels_RoL_B]" caption="Travels_RoL_B" measure="1" displayFolder="CrescimentoBaseGastos" measureGroup="_measures_P&amp;L" count="0"/>
    <cacheHierarchy uniqueName="[Measures].[P&amp;L_Total_RoL_YTD_A]" caption="P&amp;L_Total_RoL_YTD_A" measure="1" displayFolder="zPNL_Estructure" measureGroup="_measures_P&amp;L" count="0"/>
    <cacheHierarchy uniqueName="[Measures].[%EBITDA/NetSales_S]" caption="%EBITDA/NetSales_S" measure="1" displayFolder="FY" measureGroup="_measures_P&amp;L" count="0"/>
    <cacheHierarchy uniqueName="[Measures].[AdjustedEBITDA_NetSales_B_FY]" caption="AdjustedEBITDA_NetSales_B_FY" measure="1" displayFolder="FY" measureGroup="_measures_P&amp;L" count="0"/>
    <cacheHierarchy uniqueName="[Measures].[EBITDA/NS%_A]" caption="EBITDA/NS%_A" measure="1" displayFolder="FY" measureGroup="_measures_P&amp;L" count="0"/>
    <cacheHierarchy uniqueName="[Measures].[EBITDA/NS%_B]" caption="EBITDA/NS%_B" measure="1" displayFolder="FY" measureGroup="_measures_P&amp;L" count="0"/>
    <cacheHierarchy uniqueName="[Measures].[OpCF_A_LYTD]" caption="OpCF_A_LYTD" measure="1" displayFolder="LY" measureGroup="_measures_P&amp;L" count="0"/>
    <cacheHierarchy uniqueName="[Measures].[OpCF/Acoes_A]" caption="OpCF/Acoes_A" measure="1" displayFolder="04 - CashFlow" measureGroup="_measures_P&amp;L" count="0"/>
    <cacheHierarchy uniqueName="[Measures].[OpCF/Acoes_A_YTD]" caption="OpCF/Acoes_A_YTD" measure="1" displayFolder="04 - CashFlow" measureGroup="_measures_P&amp;L" count="0"/>
    <cacheHierarchy uniqueName="[Measures].[OpCF/Acoes_B]" caption="OpCF/Acoes_B" measure="1" displayFolder="04 - CashFlow" measureGroup="_measures_P&amp;L" count="0"/>
    <cacheHierarchy uniqueName="[Measures].[OpCF/Acoes_B_YTD]" caption="OpCF/Acoes_B_YTD" measure="1" displayFolder="04 - CashFlow" measureGroup="_measures_P&amp;L" count="0"/>
    <cacheHierarchy uniqueName="[Measures].[GrossMargin_RoL_B]" caption="GrossMargin_RoL_B" measure="1" displayFolder="Crescimento" measureGroup="_measures_P&amp;L" count="0"/>
    <cacheHierarchy uniqueName="[Measures].[PersonnelCost_RoL_B]" caption="PersonnelCost_RoL_B" measure="1" displayFolder="CrescimentoBaseGastos" measureGroup="_measures_P&amp;L" count="0"/>
    <cacheHierarchy uniqueName="[Measures].[AdjEBITDA_RoL_B]" caption="AdjEBITDA_RoL_B" measure="1" displayFolder="Crescimento" measureGroup="_measures_P&amp;L" count="0"/>
    <cacheHierarchy uniqueName="[Measures].[CFACapex_RoL_B]" caption="CFACapex_RoL_B" measure="1" displayFolder="Crescimento" measureGroup="_measures_P&amp;L" count="0"/>
    <cacheHierarchy uniqueName="[Measures].[HeatMap_Layout_A]" caption="HeatMap_Layout_A" measure="1" displayFolder="HeatMap" measureGroup="_measures_P&amp;L" count="0"/>
    <cacheHierarchy uniqueName="[Measures].[HeatMap_Layout_A-B]" caption="HeatMap_Layout_A-B" measure="1" displayFolder="HeatMap" measureGroup="_measures_P&amp;L" count="0"/>
    <cacheHierarchy uniqueName="[Measures].[HeatMap_Layout_A/B]" caption="HeatMap_Layout_A/B" measure="1" displayFolder="HeatMap" measureGroup="_measures_P&amp;L" count="0"/>
    <cacheHierarchy uniqueName="[Measures].[HeatMap_Layout_B]" caption="HeatMap_Layout_B" measure="1" displayFolder="HeatMap" measureGroup="_measures_P&amp;L" count="0"/>
    <cacheHierarchy uniqueName="[Measures].[HeatMap_Layout_A+B]" caption="HeatMap_Layout_A+B" measure="1" displayFolder="HeatMap" measureGroup="_measures_P&amp;L" count="0"/>
    <cacheHierarchy uniqueName="[Measures].[HeatMap_layout_B_NoZero]" caption="HeatMap_layout_B_NoZero" measure="1" displayFolder="HeatMap" measureGroup="_measures_P&amp;L" count="0"/>
    <cacheHierarchy uniqueName="[Measures].[S&amp;M_RoL_B]" caption="S&amp;M_RoL_B" measure="1" displayFolder="CrescimentoBaseGastos" measureGroup="_measures_P&amp;L" count="0"/>
    <cacheHierarchy uniqueName="[Measures].[R&amp;D_RoL_B]" caption="R&amp;D_RoL_B" measure="1" displayFolder="CrescimentoBaseGastos" measureGroup="_measures_P&amp;L" count="0"/>
    <cacheHierarchy uniqueName="[Measures].[G&amp;A_RoL_B]" caption="G&amp;A_RoL_B" measure="1" displayFolder="CrescimentoBaseGastos" measureGroup="_measures_P&amp;L" count="0"/>
    <cacheHierarchy uniqueName="[Measures].[Capex_RoL_B]" caption="Capex_RoL_B" measure="1" displayFolder="Crescimento" measureGroup="_measures_P&amp;L" count="0"/>
    <cacheHierarchy uniqueName="[Measures].[Heatmap_Layout_RoL_A]" caption="Heatmap_Layout_RoL_A" measure="1" displayFolder="HeatMap" measureGroup="_measures_P&amp;L" count="0"/>
    <cacheHierarchy uniqueName="[Measures].[HeatMap_Layout_RoL_B]" caption="HeatMap_Layout_RoL_B" measure="1" displayFolder="HeatMap" measureGroup="_measures_P&amp;L" count="0"/>
    <cacheHierarchy uniqueName="[Measures].[HeatMap_Layout_RoL_A+B]" caption="HeatMap_Layout_RoL_A+B" measure="1" displayFolder="HeatMap" measureGroup="_measures_P&amp;L" count="0"/>
    <cacheHierarchy uniqueName="[Measures].[HeatMap_Layout_ValuesRoL]" caption="HeatMap_Layout_ValuesRoL" measure="1" displayFolder="HeatMap" measureGroup="_measures_P&amp;L" count="0"/>
    <cacheHierarchy uniqueName="[Measures].[sum_maaax]" caption="sum_maaax" measure="1" displayFolder="FY" measureGroup="_measures_P&amp;L" count="0"/>
    <cacheHierarchy uniqueName="[Measures].[NetSales_A_FY]" caption="NetSales_A_FY" measure="1" displayFolder="LY" measureGroup="_measures_P&amp;L" count="0"/>
    <cacheHierarchy uniqueName="[Measures].[P&amp;L_Sub_YTD_B]" caption="P&amp;L_Sub_YTD_B" measure="1" displayFolder="zPNL_Estructure" measureGroup="_measures_P&amp;L" count="0"/>
    <cacheHierarchy uniqueName="[Measures].[P&amp;L_Total_YTD_B]" caption="P&amp;L_Total_YTD_B" measure="1" displayFolder="zPNL_Estructure" measureGroup="_measures_P&amp;L" count="0"/>
    <cacheHierarchy uniqueName="[Measures].[P&amp;L_Total_RoL_YTD_B]" caption="P&amp;L_Total_RoL_YTD_B" measure="1" displayFolder="zPNL_Estructure" measureGroup="_measures_P&amp;L" count="0"/>
    <cacheHierarchy uniqueName="[Measures].[P&amp;L_Total_LYTD_B]" caption="P&amp;L_Total_LYTD_B" measure="1" displayFolder="zPNL_Estructure" measureGroup="_measures_P&amp;L" count="0"/>
    <cacheHierarchy uniqueName="[Measures].[P&amp;L_Total_RoL_SMLY_A]" caption="P&amp;L_Total_RoL_SMLY_A" measure="1" displayFolder="zPNL_Estructure" measureGroup="_measures_P&amp;L" count="0"/>
    <cacheHierarchy uniqueName="[Measures].[P&amp;L_Total_RoL_LYTD_A]" caption="P&amp;L_Total_RoL_LYTD_A" measure="1" displayFolder="zPNL_Estructure" measureGroup="_measures_P&amp;L" count="0"/>
    <cacheHierarchy uniqueName="[Measures].[P&amp;L_Total_YTD_A-B]" caption="P&amp;L_Total_YTD_A-B" measure="1" displayFolder="zPNL_Estructure" measureGroup="_measures_P&amp;L" count="0"/>
    <cacheHierarchy uniqueName="[Measures].[P&amp;L_Total_S]" caption="P&amp;L_Total_S" measure="1" displayFolder="zPNL_Estructure_ExcelFY" measureGroup="_measures_P&amp;L" count="0"/>
    <cacheHierarchy uniqueName="[Measures].[P&amp;L_Total_FY]" caption="P&amp;L_Total_FY" measure="1" displayFolder="zPNL_Estructure_ExcelFY" measureGroup="_measures_P&amp;L" count="0"/>
    <cacheHierarchy uniqueName="[Measures].[P&amp;L_Total_YTD_A/B]" caption="P&amp;L_Total_YTD_A/B" measure="1" displayFolder="zPNL_Estructure" measureGroup="_measures_P&amp;L" count="0"/>
    <cacheHierarchy uniqueName="[Measures].[P&amp;L_Total_YTD-LYTD_A]" caption="P&amp;L_Total_YTD-LYTD_A" measure="1" displayFolder="zPNL_Estructure" measureGroup="_measures_P&amp;L" count="0"/>
    <cacheHierarchy uniqueName="[Measures].[CashFlow_S]" caption="CashFlow_S" measure="1" displayFolder="04 - NewCashFlow" measureGroup="_measures_P&amp;L" count="0"/>
    <cacheHierarchy uniqueName="[Measures].[nCashFlow_A]" caption="nCashFlow_A" measure="1" displayFolder="04 - NewCashFlow" measureGroup="_measures_P&amp;L" count="0"/>
    <cacheHierarchy uniqueName="[Measures].[nCashFlow_B]" caption="nCashFlow_B" measure="1" displayFolder="04 - NewCashFlow" measureGroup="_measures_P&amp;L" count="0"/>
    <cacheHierarchy uniqueName="[Measures].[nCashFlow_YTD_A]" caption="nCashFlow_YTD_A" measure="1" displayFolder="04 - NewCashFlow" measureGroup="_measures_P&amp;L" count="0"/>
    <cacheHierarchy uniqueName="[Measures].[nCashFlow_YTD_B]" caption="nCashFlow_YTD_B" measure="1" displayFolder="04 - NewCashFlow" measureGroup="_measures_P&amp;L" count="0"/>
    <cacheHierarchy uniqueName="[Measures].[Capex_S]" caption="Capex_S" measure="1" displayFolder="03 - Capex" measureGroup="_measures_P&amp;L" count="0"/>
    <cacheHierarchy uniqueName="[Measures].[nCashFlow_SMLY_A]" caption="nCashFlow_SMLY_A" measure="1" displayFolder="04 - NewCashFlow" measureGroup="_measures_P&amp;L" count="0"/>
    <cacheHierarchy uniqueName="[Measures].[nCashFlow_SMLY_B]" caption="nCashFlow_SMLY_B" measure="1" displayFolder="04 - NewCashFlow" measureGroup="_measures_P&amp;L" count="0"/>
    <cacheHierarchy uniqueName="[Measures].[nCashFlow_C_A-B]" caption="nCashFlow_C_A-B" measure="1" displayFolder="04 - NewCashFlow" measureGroup="_measures_P&amp;L" count="0"/>
    <cacheHierarchy uniqueName="[Measures].[nCashFlow_C_A/B]" caption="nCashFlow_C_A/B" measure="1" displayFolder="04 - NewCashFlow" measureGroup="_measures_P&amp;L" count="0"/>
    <cacheHierarchy uniqueName="[Measures].[nCashFlow_C_S]" caption="nCashFlow_C_S" measure="1" displayFolder="04 - NewCashFlow" measureGroup="_measures_P&amp;L" count="0"/>
    <cacheHierarchy uniqueName="[Measures].[nCashFlow_YTD_C_A/B]" caption="nCashFlow_YTD_C_A/B" measure="1" displayFolder="04 - NewCashFlow" measureGroup="_measures_P&amp;L" count="0"/>
    <cacheHierarchy uniqueName="[Measures].[nCashFlow_YTD_C_A-B]" caption="nCashFlow_YTD_C_A-B" measure="1" displayFolder="04 - NewCashFlow" measureGroup="_measures_P&amp;L" count="0"/>
    <cacheHierarchy uniqueName="[Measures].[nCashFlow_YTD_C_S]" caption="nCashFlow_YTD_C_S" measure="1" displayFolder="04 - NewCashFlow" measureGroup="_measures_P&amp;L" count="0"/>
    <cacheHierarchy uniqueName="[Measures].[nCashFlow_SMLY_C_A-B]" caption="nCashFlow_SMLY_C_A-B" measure="1" displayFolder="04 - NewCashFlow" measureGroup="_measures_P&amp;L" count="0"/>
    <cacheHierarchy uniqueName="[Measures].[nCashFlow_SMLY_C_A/B]" caption="nCashFlow_SMLY_C_A/B" measure="1" displayFolder="04 - NewCashFlow" measureGroup="_measures_P&amp;L" count="0"/>
    <cacheHierarchy uniqueName="[Measures].[nCashFlow_SMLY_C_S]" caption="nCashFlow_SMLY_C_S" measure="1" displayFolder="04 - NewCashFlow" measureGroup="_measures_P&amp;L" count="0"/>
    <cacheHierarchy uniqueName="[Measures].[isInscop]" caption="isInscop" measure="1" displayFolder="zPNL_Estructure" measureGroup="_measures_P&amp;L" count="0"/>
    <cacheHierarchy uniqueName="[Measures].[drillDownYN]" caption="drillDownYN" measure="1" displayFolder="zPNL_Estructure" measureGroup="_measures_P&amp;L" count="0"/>
    <cacheHierarchy uniqueName="[Measures].[ebvitda]" caption="ebvitda" measure="1" displayFolder="zPNL_Estructure" measureGroup="_measures_P&amp;L" count="0"/>
    <cacheHierarchy uniqueName="[Measures].[NS_YTD_A_Sub]" caption="NS_YTD_A_Sub" measure="1" displayFolder="YTD" measureGroup="_measures_P&amp;L" count="0"/>
    <cacheHierarchy uniqueName="[Measures].[NS_YTD_A_SX]" caption="NS_YTD_A_SX" measure="1" displayFolder="YTD" measureGroup="_measures_P&amp;L" count="0"/>
    <cacheHierarchy uniqueName="[Measures].[ValorCalculadoAB]" caption="ValorCalculadoAB" measure="1" displayFolder="" measureGroup="db_PnL" count="0"/>
    <cacheHierarchy uniqueName="[Measures].[ValorCalculadoAB_N1N2]" caption="ValorCalculadoAB_N1N2" measure="1" displayFolder="" measureGroup="db_PnL" count="0"/>
    <cacheHierarchy uniqueName="[Measures].[version]" caption="version" measure="1" displayFolder="" measureGroup="z_ui" count="0" hidden="1"/>
    <cacheHierarchy uniqueName="[Measures].[void]" caption="void" measure="1" displayFolder="" measureGroup="z_ui" count="0" hidden="1"/>
    <cacheHierarchy uniqueName="[Measures].[unitySelected]" caption="unitySelected" measure="1" displayFolder="" measureGroup="z_ui" count="0" hidden="1"/>
    <cacheHierarchy uniqueName="[Measures].[ProContabilSelected]" caption="ProContabilSelected" measure="1" displayFolder="" measureGroup="z_ui" count="0" hidden="1"/>
    <cacheHierarchy uniqueName="[Measures].[Benchmark]" caption="Benchmark" measure="1" displayFolder="" measureGroup="z_ui" count="0" hidden="1"/>
    <cacheHierarchy uniqueName="[Measures].[MonthYear]" caption="MonthYear" measure="1" displayFolder="" measureGroup="z_ui" count="0" hidden="1"/>
    <cacheHierarchy uniqueName="[Measures].[QtdAcoes]" caption="QtdAcoes" measure="1" displayFolder="" measureGroup="z_ui" count="0" hidden="1"/>
    <cacheHierarchy uniqueName="[Measures].[zero]" caption="zero" measure="1" displayFolder="" measureGroup="z_ui" count="0" hidden="1"/>
    <cacheHierarchy uniqueName="[Measures].[ultimoDiaMesDadosMenu]" caption="ultimoDiaMesDadosMenu" measure="1" displayFolder="" measureGroup="z_ui" count="0" hidden="1"/>
    <cacheHierarchy uniqueName="[Measures].[Month_Calendar]" caption="Month_Calendar" measure="1" displayFolder="" measureGroup="z_ui" count="0" hidden="1"/>
    <cacheHierarchy uniqueName="[Measures].[FechamentoMesMenu]" caption="FechamentoMesMenu" measure="1" displayFolder="" measureGroup="z_ui" count="0" hidden="1"/>
    <cacheHierarchy uniqueName="[Measures].[Mil]" caption="Mil" measure="1" displayFolder="" measureGroup="zdUnidadeMedida" count="0" hidden="1"/>
    <cacheHierarchy uniqueName="[Measures].[Milhar]" caption="Milhar" measure="1" displayFolder="" measureGroup="zdUnidadeMedida" count="0" hidden="1"/>
    <cacheHierarchy uniqueName="[Measures].[BookingTotal]" caption="BookingTotal" measure="1" displayFolder="Booking_Panel" measureGroup="_measures_Panels" count="0" hidden="1"/>
    <cacheHierarchy uniqueName="[Measures].[EACapex_LY_A]" caption="EACapex_LY_A" measure="1" displayFolder="EACapex" measureGroup="_measures_Panels" count="0" hidden="1"/>
    <cacheHierarchy uniqueName="[Measures].[EACapex_C_RoL_A]" caption="EACapex_C_RoL_A" measure="1" displayFolder="EACapex" measureGroup="_measures_Panels" count="0" hidden="1"/>
    <cacheHierarchy uniqueName="[Measures].[EACapex_C_A-B]" caption="EACapex_C_A-B" measure="1" displayFolder="EACapex" measureGroup="_measures_Panels" count="0" hidden="1"/>
    <cacheHierarchy uniqueName="[Measures].[EACapex_C_A-LY_A]" caption="EACapex_C_A-LY_A" measure="1" displayFolder="EACapex" measureGroup="_measures_Panels" count="0" hidden="1"/>
    <cacheHierarchy uniqueName="[Measures].[EACapex_C_A/B]" caption="EACapex_C_A/B" measure="1" displayFolder="EACapex" measureGroup="_measures_Panels" count="0" hidden="1"/>
    <cacheHierarchy uniqueName="[Measures].[EACapex_C_A/LY_A]" caption="EACapex_C_A/LY_A" measure="1" displayFolder="EACapex" measureGroup="_measures_Panels" count="0" hidden="1"/>
    <cacheHierarchy uniqueName="[Measures].[EACapex_B]" caption="EACapex_B" measure="1" displayFolder="EACapex" measureGroup="_measures_Panels" count="0" hidden="1"/>
    <cacheHierarchy uniqueName="[Measures].[EACapex_C_RoL_B]" caption="EACapex_C_RoL_B" measure="1" displayFolder="EACapex" measureGroup="_measures_Panels" count="0" hidden="1"/>
    <cacheHierarchy uniqueName="[Measures].[EACapex_Sub_A]" caption="EACapex_Sub_A" measure="1" displayFolder="EACapex" measureGroup="_measures_Panels" count="0" hidden="1"/>
    <cacheHierarchy uniqueName="[Measures].[EACapex_Sub_B]" caption="EACapex_Sub_B" measure="1" displayFolder="EACapex" measureGroup="_measures_Panels" count="0" hidden="1"/>
    <cacheHierarchy uniqueName="[Measures].[EACapex_Total_A]" caption="EACapex_Total_A" measure="1" displayFolder="EACapex" measureGroup="_measures_Panels" count="0" hidden="1"/>
    <cacheHierarchy uniqueName="[Measures].[EACapex_Total_C_A-B]" caption="EACapex_Total_C_A-B" measure="1" displayFolder="EACapex" measureGroup="_measures_Panels" count="0" hidden="1"/>
    <cacheHierarchy uniqueName="[Measures].[EACapex_Total_B]" caption="EACapex_Total_B" measure="1" displayFolder="EACapex" measureGroup="_measures_Panels" count="0" hidden="1"/>
    <cacheHierarchy uniqueName="[Measures].[EACapex_LYTD_A]" caption="EACapex_LYTD_A" measure="1" displayFolder="EACapex_YTD" measureGroup="_measures_Panels" count="0" hidden="1"/>
    <cacheHierarchy uniqueName="[Measures].[EACapex_YTD_C_RoL_A]" caption="EACapex_YTD_C_RoL_A" measure="1" displayFolder="EACapex_YTD" measureGroup="_measures_Panels" count="0" hidden="1"/>
    <cacheHierarchy uniqueName="[Measures].[EACapex_YTD_A]" caption="EACapex_YTD_A" measure="1" displayFolder="EACapex_YTD" measureGroup="_measures_Panels" count="0" hidden="1"/>
    <cacheHierarchy uniqueName="[Measures].[EACapex_YTD_C_YTD/LYTD_A]" caption="EACapex_YTD_C_YTD/LYTD_A" measure="1" displayFolder="EACapex_YTD" measureGroup="_measures_Panels" count="0" hidden="1"/>
    <cacheHierarchy uniqueName="[Measures].[EACapex_YTD_C_A-B]" caption="EACapex_YTD_C_A-B" measure="1" displayFolder="EACapex_YTD" measureGroup="_measures_Panels" count="0" hidden="1"/>
    <cacheHierarchy uniqueName="[Measures].[EACapex_YTD_C_A/B]" caption="EACapex_YTD_C_A/B" measure="1" displayFolder="EACapex_YTD" measureGroup="_measures_Panels" count="0" hidden="1"/>
    <cacheHierarchy uniqueName="[Measures].[EACapex_YTD_C_RoL_B]" caption="EACapex_YTD_C_RoL_B" measure="1" displayFolder="EACapex_YTD" measureGroup="_measures_Panels" count="0" hidden="1"/>
    <cacheHierarchy uniqueName="[Measures].[EACapex_YTD_B]" caption="EACapex_YTD_B" measure="1" displayFolder="EACapex_YTD" measureGroup="_measures_Panels" count="0" hidden="1"/>
    <cacheHierarchy uniqueName="[Measures].[EACapex_YTD_Sub_A]" caption="EACapex_YTD_Sub_A" measure="1" displayFolder="EACapex_YTD" measureGroup="_measures_Panels" count="0" hidden="1"/>
    <cacheHierarchy uniqueName="[Measures].[EACapex_YTD_Sub_B]" caption="EACapex_YTD_Sub_B" measure="1" displayFolder="EACapex_YTD" measureGroup="_measures_Panels" count="0" hidden="1"/>
    <cacheHierarchy uniqueName="[Measures].[EACapex_YTD_Total_A]" caption="EACapex_YTD_Total_A" measure="1" displayFolder="EACapex_YTD" measureGroup="_measures_Panels" count="0" hidden="1"/>
    <cacheHierarchy uniqueName="[Measures].[EACapex_YTD_Total_B]" caption="EACapex_YTD_Total_B" measure="1" displayFolder="EACapex_YTD" measureGroup="_measures_Panels" count="0" hidden="1"/>
    <cacheHierarchy uniqueName="[Measures].[EBITDA_A]" caption="EBITDA_A" measure="1" displayFolder="EBITDA_Panel" measureGroup="_measures_Panels" count="0" hidden="1"/>
    <cacheHierarchy uniqueName="[Measures].[EBITDA_A_LY]" caption="EBITDA_A_LY" measure="1" displayFolder="EBITDA_Panel" measureGroup="_measures_Panels" count="0" hidden="1"/>
    <cacheHierarchy uniqueName="[Measures].[EBITDA_A_RoL]" caption="EBITDA_A_RoL" measure="1" displayFolder="EBITDA_Panel" measureGroup="_measures_Panels" count="0" hidden="1"/>
    <cacheHierarchy uniqueName="[Measures].[EBITDA_A-B]" caption="EBITDA_A-B" measure="1" displayFolder="EBITDA_Panel" measureGroup="_measures_Panels" count="0" hidden="1"/>
    <cacheHierarchy uniqueName="[Measures].[EBITDA_A-LY]" caption="EBITDA_A-LY" measure="1" displayFolder="EBITDA_Panel" measureGroup="_measures_Panels" count="0" hidden="1"/>
    <cacheHierarchy uniqueName="[Measures].[EBITDA_A/B]" caption="EBITDA_A/B" measure="1" displayFolder="EBITDA_Panel" measureGroup="_measures_Panels" count="0" hidden="1"/>
    <cacheHierarchy uniqueName="[Measures].[EBITDA_A/LY]" caption="EBITDA_A/LY" measure="1" displayFolder="EBITDA_Panel" measureGroup="_measures_Panels" count="0" hidden="1"/>
    <cacheHierarchy uniqueName="[Measures].[EBITDA_B]" caption="EBITDA_B" measure="1" displayFolder="EBITDA_Panel" measureGroup="_measures_Panels" count="0" hidden="1"/>
    <cacheHierarchy uniqueName="[Measures].[EBITDA_B_LY]" caption="EBITDA_B_LY" measure="1" displayFolder="EBITDA_Panel" measureGroup="_measures_Panels" count="0" hidden="1"/>
    <cacheHierarchy uniqueName="[Measures].[EBITDA_B_RoL]" caption="EBITDA_B_RoL" measure="1" displayFolder="EBITDA_Panel" measureGroup="_measures_Panels" count="0" hidden="1"/>
    <cacheHierarchy uniqueName="[Measures].[NetSales_A-B]" caption="NetSales_A-B" measure="1" displayFolder="Geral_Panel" measureGroup="_measures_Panels" count="0" hidden="1"/>
    <cacheHierarchy uniqueName="[Measures].[NetSales_A/B]" caption="NetSales_A/B" measure="1" displayFolder="Geral_Panel" measureGroup="_measures_Panels" count="0" hidden="1"/>
    <cacheHierarchy uniqueName="[Measures].[RoL%_A]" caption="RoL%_A" measure="1" displayFolder="Geral_Panel" measureGroup="_measures_Panels" count="0" hidden="1"/>
    <cacheHierarchy uniqueName="[Measures].[RoL%_B]" caption="RoL%_B" measure="1" displayFolder="Geral_Panel" measureGroup="_measures_Panels" count="0" hidden="1"/>
    <cacheHierarchy uniqueName="[Measures].[NetSales_A/LY]" caption="NetSales_A/LY" measure="1" displayFolder="Booking_Panel" measureGroup="_measures_Panels" count="0" hidden="1"/>
    <cacheHierarchy uniqueName="[Measures].[categoria]" caption="categoria" measure="1" displayFolder="Booking_Panel" measureGroup="_measures_Panels" count="0" hidden="1"/>
    <cacheHierarchy uniqueName="[Measures].[BookingTotal_A]" caption="BookingTotal_A" measure="1" displayFolder="Booking_Panel" measureGroup="_measures_Panels" count="0" hidden="1"/>
    <cacheHierarchy uniqueName="[Measures].[EACapex_LYTD_C_RoL_A]" caption="EACapex_LYTD_C_RoL_A" measure="1" displayFolder="EACapex_YTD" measureGroup="_measures_Panels" count="0" hidden="1"/>
    <cacheHierarchy uniqueName="[Measures].[_GNR_S]" caption="_GNR_S" measure="1" displayFolder="Geral_Panel" measureGroup="_measures_Panels" count="0" hidden="1"/>
    <cacheHierarchy uniqueName="[Measures].[GNR_NS_A]" caption="GNR_NS_A" measure="1" displayFolder="Geral_Panel" measureGroup="_measures_Panels" count="0" hidden="1"/>
    <cacheHierarchy uniqueName="[Measures].[GNR_NS_B]" caption="GNR_NS_B" measure="1" displayFolder="Geral_Panel" measureGroup="_measures_Panels" count="0" hidden="1"/>
    <cacheHierarchy uniqueName="[Measures].[GNR_AEACapex_A]" caption="GNR_AEACapex_A" measure="1" displayFolder="Geral_Panel" measureGroup="_measures_Panels" count="0" hidden="1"/>
    <cacheHierarchy uniqueName="[Measures].[GNR_AEACapex_B]" caption="GNR_AEACapex_B" measure="1" displayFolder="Geral_Panel" measureGroup="_measures_Panels" count="0" hidden="1"/>
    <cacheHierarchy uniqueName="[Measures].[Booking_NS/NS]" caption="Booking_NS/NS" measure="1" displayFolder="Booking_Panel" measureGroup="_measures_Panels" count="0" hidden="1"/>
    <cacheHierarchy uniqueName="[Measures].[Booking_CF/EBITDA]" caption="Booking_CF/EBITDA" measure="1" displayFolder="Booking_Panel" measureGroup="_measures_Panels" count="0" hidden="1"/>
    <cacheHierarchy uniqueName="[Measures].[BookingTotal_S]" caption="BookingTotal_S" measure="1" displayFolder="Booking_Panel" measureGroup="_measures_Panels" count="0" hidden="1"/>
    <cacheHierarchy uniqueName="[Measures].[VarValuesPorcentAB]" caption="VarValuesPorcentAB" measure="1" displayFolder="Others" measureGroup="_measures_Panels" count="0" hidden="1"/>
    <cacheHierarchy uniqueName="[Measures].[VarValuesPorcentAB_YTD]" caption="VarValuesPorcentAB_YTD" measure="1" displayFolder="Others" measureGroup="_measures_Panels" count="0" hidden="1"/>
    <cacheHierarchy uniqueName="[Measures].[VarValuePorcentAB_LYTD]" caption="VarValuePorcentAB_LYTD" measure="1" displayFolder="Others" measureGroup="_measures_Panels" count="0" hidden="1"/>
    <cacheHierarchy uniqueName="[Measures].[NSForRoL_Months_S]" caption="NSForRoL_Months_S" measure="1" displayFolder="P&amp;L_Months_Panel" measureGroup="_measures_Panels" count="0" hidden="1"/>
    <cacheHierarchy uniqueName="[Measures].[P&amp;L_Months_RoL_S]" caption="P&amp;L_Months_RoL_S" measure="1" displayFolder="P&amp;L_Months_Panel" measureGroup="_measures_Panels" count="0" hidden="1"/>
    <cacheHierarchy uniqueName="[Measures].[VarMonths_S]" caption="VarMonths_S" measure="1" displayFolder="P&amp;L_Months_Panel" measureGroup="_measures_Panels" count="0" hidden="1"/>
    <cacheHierarchy uniqueName="[Measures].[EACapex_A]" caption="EACapex_A" measure="1" displayFolder="EACapex" measureGroup="_measures_Panels" count="0" hidden="1"/>
    <cacheHierarchy uniqueName="[Measures].[MR_NetSales_A]" caption="MR_NetSales_A" measure="1" displayFolder="" measureGroup="_measures_Panels" count="0" hidden="1"/>
    <cacheHierarchy uniqueName="[Measures].[MR_AdjEBITDA_A]" caption="MR_AdjEBITDA_A" measure="1" displayFolder="" measureGroup="_measures_Panels" count="0" hidden="1"/>
    <cacheHierarchy uniqueName="[Measures].[CustoAltoBaixo]" caption="CustoAltoBaixo" measure="1" displayFolder="KPI" measureGroup="_measures_kpi" count="0" hidden="1"/>
    <cacheHierarchy uniqueName="[Measures].[__Default measure]" caption="__Default measure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929358434"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D7CF2229-5E59-451B-A157-0FCE8E64DC68}" sourceName="[dCalendario].[Mês]">
  <data>
    <olap pivotCacheId="1929358434">
      <levels count="2">
        <level uniqueName="[dCalendario].[Mês].[(All)]" sourceCaption="(All)" count="0"/>
        <level uniqueName="[dCalendario].[Mês].[Mês]" sourceCaption="Mês" count="13">
          <ranges>
            <range startItem="0">
              <i n="[dCalendario].[Mês].&amp;[1]" c="1"/>
              <i n="[dCalendario].[Mês].&amp;[2]" c="2"/>
              <i n="[dCalendario].[Mês].&amp;[3]" c="3"/>
              <i n="[dCalendario].[Mês].&amp;[4]" c="4"/>
              <i n="[dCalendario].[Mês].&amp;[5]" c="5"/>
              <i n="[dCalendario].[Mês].&amp;[6]" c="6"/>
              <i n="[dCalendario].[Mês].&amp;[7]" c="7"/>
              <i n="[dCalendario].[Mês].&amp;[8]" c="8"/>
              <i n="[dCalendario].[Mês].&amp;[9]" c="9"/>
              <i n="[dCalendario].[Mês].&amp;[10]" c="10"/>
              <i n="[dCalendario].[Mês].&amp;[11]" c="11"/>
              <i n="[dCalendario].[Mês].&amp;[12]" c="12"/>
              <i n="[dCalendario].[Mês].&amp;" c=""/>
            </range>
          </ranges>
        </level>
      </levels>
      <selections count="5">
        <selection n="[dCalendario].[Mês].&amp;[1]"/>
        <selection n="[dCalendario].[Mês].&amp;[2]"/>
        <selection n="[dCalendario].[Mês].&amp;[3]"/>
        <selection n="[dCalendario].[Mês].&amp;[4]"/>
        <selection n="[dCalendario].[Mês].&amp;[5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dCalendario].[Mês].[Mês]" count="0"/>
      </x15:slicerCacheHideItemsWithNoData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1" xr10:uid="{2ACB0C78-AB94-4FEB-BD52-1D406485F047}" cache="SegmentaçãodeDados_Mês" caption="Mês" columnCount="12" level="1" style="SlicerStyleLight2" rowHeight="1800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2" xr10:uid="{7F93D642-0D43-4AED-93FF-791546EC805B}" cache="SegmentaçãodeDados_Mês" caption="Mês" columnCount="12" level="1" style="SlicerStyleLight2" rowHeight="180000"/>
</slicer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C24B2-6634-43FF-A1A5-A7586880FE33}">
  <dimension ref="B1:O94"/>
  <sheetViews>
    <sheetView showGridLines="0" zoomScale="55" zoomScaleNormal="55" workbookViewId="0">
      <selection activeCell="J7" sqref="J7"/>
    </sheetView>
  </sheetViews>
  <sheetFormatPr defaultRowHeight="14.5" x14ac:dyDescent="0.35"/>
  <cols>
    <col min="2" max="2" width="24.54296875" style="96" bestFit="1" customWidth="1"/>
    <col min="3" max="3" width="8.81640625" style="96" customWidth="1"/>
    <col min="5" max="5" width="24.54296875" style="96" bestFit="1" customWidth="1"/>
    <col min="6" max="6" width="8.81640625" style="96" customWidth="1"/>
    <col min="8" max="8" width="8.81640625" style="302" customWidth="1"/>
    <col min="9" max="9" width="12.26953125" bestFit="1" customWidth="1"/>
    <col min="13" max="13" width="14.7265625" customWidth="1"/>
    <col min="14" max="14" width="11.81640625" customWidth="1"/>
    <col min="15" max="15" width="45.54296875" customWidth="1"/>
  </cols>
  <sheetData>
    <row r="1" spans="2:15" x14ac:dyDescent="0.35">
      <c r="D1" t="s">
        <v>289</v>
      </c>
      <c r="G1" t="s">
        <v>290</v>
      </c>
      <c r="I1" t="s">
        <v>291</v>
      </c>
    </row>
    <row r="2" spans="2:15" x14ac:dyDescent="0.35">
      <c r="B2" s="216">
        <v>1000000</v>
      </c>
      <c r="E2" s="216">
        <v>1000000</v>
      </c>
    </row>
    <row r="3" spans="2:15" x14ac:dyDescent="0.35">
      <c r="B3" s="218">
        <v>46143</v>
      </c>
      <c r="E3" s="218">
        <v>46143</v>
      </c>
    </row>
    <row r="4" spans="2:15" x14ac:dyDescent="0.35">
      <c r="B4" s="220"/>
      <c r="C4" s="222" t="s">
        <v>108</v>
      </c>
      <c r="E4" s="220"/>
      <c r="F4" s="222" t="s">
        <v>108</v>
      </c>
      <c r="H4" s="303"/>
    </row>
    <row r="5" spans="2:15" x14ac:dyDescent="0.35">
      <c r="B5"/>
      <c r="C5"/>
      <c r="E5"/>
      <c r="F5"/>
      <c r="H5" s="75"/>
    </row>
    <row r="6" spans="2:15" x14ac:dyDescent="0.35">
      <c r="B6"/>
      <c r="C6" s="99"/>
      <c r="E6"/>
      <c r="F6" s="99"/>
      <c r="H6" s="304"/>
    </row>
    <row r="7" spans="2:15" x14ac:dyDescent="0.35">
      <c r="B7" s="203"/>
      <c r="C7" s="99"/>
      <c r="E7" s="203"/>
      <c r="F7" s="99"/>
      <c r="H7" s="304"/>
    </row>
    <row r="8" spans="2:15" x14ac:dyDescent="0.35">
      <c r="B8"/>
      <c r="C8" s="99"/>
      <c r="E8"/>
      <c r="F8" s="99"/>
      <c r="H8" s="304"/>
    </row>
    <row r="9" spans="2:15" x14ac:dyDescent="0.35">
      <c r="B9" s="220"/>
      <c r="C9" s="225" t="s">
        <v>19</v>
      </c>
      <c r="E9" s="220"/>
      <c r="F9" s="225" t="s">
        <v>19</v>
      </c>
      <c r="H9" s="305"/>
    </row>
    <row r="10" spans="2:15" x14ac:dyDescent="0.35">
      <c r="B10"/>
      <c r="C10"/>
      <c r="E10"/>
      <c r="F10"/>
      <c r="H10" s="75"/>
    </row>
    <row r="11" spans="2:15" x14ac:dyDescent="0.35">
      <c r="B11" s="229" t="s">
        <v>115</v>
      </c>
      <c r="C11" s="230">
        <v>21.963356943316683</v>
      </c>
      <c r="E11" s="229" t="s">
        <v>115</v>
      </c>
      <c r="F11" s="230">
        <v>22.053523263316684</v>
      </c>
      <c r="H11" s="306">
        <f>F11-C11</f>
        <v>9.0166320000001576E-2</v>
      </c>
      <c r="I11" s="317">
        <f>H11*10^6</f>
        <v>90166.320000001579</v>
      </c>
      <c r="J11" s="317">
        <f>H11/C11</f>
        <v>4.1053068632770475E-3</v>
      </c>
      <c r="L11" t="s">
        <v>300</v>
      </c>
    </row>
    <row r="12" spans="2:15" ht="15" thickBot="1" x14ac:dyDescent="0.4">
      <c r="B12"/>
      <c r="C12"/>
      <c r="E12"/>
      <c r="F12"/>
      <c r="H12" s="75"/>
      <c r="L12" s="320"/>
      <c r="M12" s="320"/>
      <c r="N12" s="320"/>
      <c r="O12" s="320"/>
    </row>
    <row r="13" spans="2:15" x14ac:dyDescent="0.35">
      <c r="B13" s="234" t="s">
        <v>116</v>
      </c>
      <c r="C13" s="235">
        <v>19.283281242555947</v>
      </c>
      <c r="E13" s="234" t="s">
        <v>116</v>
      </c>
      <c r="F13" s="235">
        <v>19.359548772555943</v>
      </c>
      <c r="H13" s="307">
        <f t="shared" ref="H13:H49" si="0">F13-C13</f>
        <v>7.6267529999995531E-2</v>
      </c>
      <c r="I13" s="317">
        <f t="shared" ref="I13:I58" si="1">H13*10^6</f>
        <v>76267.529999995531</v>
      </c>
      <c r="L13" s="175" t="s">
        <v>299</v>
      </c>
      <c r="N13" s="319">
        <f>SUM(N20,N27)</f>
        <v>-90.163999999999987</v>
      </c>
      <c r="O13" s="94">
        <v>4.1053068632770475E-3</v>
      </c>
    </row>
    <row r="14" spans="2:15" x14ac:dyDescent="0.35">
      <c r="B14" s="239" t="s">
        <v>118</v>
      </c>
      <c r="C14" s="240">
        <v>9.0247915380357355</v>
      </c>
      <c r="E14" s="239" t="s">
        <v>118</v>
      </c>
      <c r="F14" s="240">
        <v>9.1010590680357346</v>
      </c>
      <c r="H14" s="308">
        <f t="shared" si="0"/>
        <v>7.6267529999999084E-2</v>
      </c>
      <c r="I14" s="317">
        <f t="shared" si="1"/>
        <v>76267.529999999082</v>
      </c>
    </row>
    <row r="15" spans="2:15" x14ac:dyDescent="0.35">
      <c r="B15" s="244" t="s">
        <v>120</v>
      </c>
      <c r="C15" s="245">
        <v>7.1296428005514354</v>
      </c>
      <c r="E15" s="244" t="s">
        <v>120</v>
      </c>
      <c r="F15" s="245">
        <v>7.1296428005514354</v>
      </c>
      <c r="H15" s="309">
        <f t="shared" si="0"/>
        <v>0</v>
      </c>
      <c r="I15" s="317">
        <f t="shared" si="1"/>
        <v>0</v>
      </c>
      <c r="M15" s="321" t="s">
        <v>276</v>
      </c>
      <c r="N15" s="322" t="s">
        <v>301</v>
      </c>
      <c r="O15" s="321" t="s">
        <v>302</v>
      </c>
    </row>
    <row r="16" spans="2:15" x14ac:dyDescent="0.35">
      <c r="B16" s="249" t="s">
        <v>122</v>
      </c>
      <c r="C16" s="250">
        <v>5.3466884299718469</v>
      </c>
      <c r="E16" s="249" t="s">
        <v>122</v>
      </c>
      <c r="F16" s="250">
        <v>5.3466884299718469</v>
      </c>
      <c r="H16" s="310">
        <f t="shared" si="0"/>
        <v>0</v>
      </c>
      <c r="I16" s="317">
        <f t="shared" si="1"/>
        <v>0</v>
      </c>
      <c r="L16" t="s">
        <v>292</v>
      </c>
    </row>
    <row r="17" spans="2:15" x14ac:dyDescent="0.35">
      <c r="B17" s="249" t="s">
        <v>124</v>
      </c>
      <c r="C17" s="250">
        <v>0.46905114971977874</v>
      </c>
      <c r="E17" s="249" t="s">
        <v>124</v>
      </c>
      <c r="F17" s="250">
        <v>0.46905114971977874</v>
      </c>
      <c r="H17" s="313">
        <f t="shared" si="0"/>
        <v>0</v>
      </c>
      <c r="I17" s="317">
        <f t="shared" si="1"/>
        <v>0</v>
      </c>
      <c r="M17" t="s">
        <v>294</v>
      </c>
      <c r="N17" s="318">
        <v>-31.41</v>
      </c>
      <c r="O17" t="s">
        <v>295</v>
      </c>
    </row>
    <row r="18" spans="2:15" x14ac:dyDescent="0.35">
      <c r="B18" s="249" t="s">
        <v>126</v>
      </c>
      <c r="C18" s="250">
        <v>1.2579829271625478</v>
      </c>
      <c r="E18" s="249" t="s">
        <v>126</v>
      </c>
      <c r="F18" s="250">
        <v>1.2579829271625478</v>
      </c>
      <c r="H18" s="313">
        <f t="shared" si="0"/>
        <v>0</v>
      </c>
      <c r="I18" s="317">
        <f t="shared" si="1"/>
        <v>0</v>
      </c>
      <c r="M18" t="s">
        <v>293</v>
      </c>
      <c r="N18">
        <v>-44.856999999999999</v>
      </c>
      <c r="O18" t="s">
        <v>295</v>
      </c>
    </row>
    <row r="19" spans="2:15" ht="15" thickBot="1" x14ac:dyDescent="0.4">
      <c r="B19" s="249" t="s">
        <v>128</v>
      </c>
      <c r="C19" s="250">
        <v>5.5920293697261862E-2</v>
      </c>
      <c r="E19" s="249" t="s">
        <v>128</v>
      </c>
      <c r="F19" s="250">
        <v>5.5920293697261862E-2</v>
      </c>
      <c r="H19" s="313">
        <f t="shared" si="0"/>
        <v>0</v>
      </c>
      <c r="I19" s="317">
        <f t="shared" si="1"/>
        <v>0</v>
      </c>
      <c r="L19" s="320"/>
      <c r="M19" s="320"/>
      <c r="N19" s="320"/>
      <c r="O19" s="320"/>
    </row>
    <row r="20" spans="2:15" x14ac:dyDescent="0.35">
      <c r="B20" s="244" t="s">
        <v>130</v>
      </c>
      <c r="C20" s="245">
        <v>1.1600669526440275</v>
      </c>
      <c r="E20" s="244" t="s">
        <v>130</v>
      </c>
      <c r="F20" s="245">
        <v>1.2363344826440275</v>
      </c>
      <c r="H20" s="316">
        <f t="shared" si="0"/>
        <v>7.6267529999999972E-2</v>
      </c>
      <c r="I20" s="317">
        <f t="shared" si="1"/>
        <v>76267.52999999997</v>
      </c>
      <c r="L20" s="175" t="s">
        <v>296</v>
      </c>
      <c r="M20" s="175"/>
      <c r="N20" s="319">
        <f>SUM(N17:N18)</f>
        <v>-76.266999999999996</v>
      </c>
    </row>
    <row r="21" spans="2:15" x14ac:dyDescent="0.35">
      <c r="B21" s="249" t="s">
        <v>132</v>
      </c>
      <c r="C21" s="250">
        <v>-1.7567801857999299</v>
      </c>
      <c r="E21" s="249" t="s">
        <v>132</v>
      </c>
      <c r="F21" s="250">
        <v>-1.7253701757999298</v>
      </c>
      <c r="H21" s="313">
        <f t="shared" si="0"/>
        <v>3.1410010000000099E-2</v>
      </c>
      <c r="I21" s="317">
        <f t="shared" si="1"/>
        <v>31410.0100000001</v>
      </c>
    </row>
    <row r="22" spans="2:15" x14ac:dyDescent="0.35">
      <c r="B22" s="249" t="s">
        <v>134</v>
      </c>
      <c r="C22" s="250">
        <v>-2.0497983823517258</v>
      </c>
      <c r="E22" s="249" t="s">
        <v>134</v>
      </c>
      <c r="F22" s="250">
        <v>-2.0497983823517258</v>
      </c>
      <c r="H22" s="313">
        <f t="shared" si="0"/>
        <v>0</v>
      </c>
      <c r="I22" s="317">
        <f t="shared" si="1"/>
        <v>0</v>
      </c>
    </row>
    <row r="23" spans="2:15" x14ac:dyDescent="0.35">
      <c r="B23" s="249" t="s">
        <v>136</v>
      </c>
      <c r="C23" s="250">
        <v>0.19805047489594335</v>
      </c>
      <c r="E23" s="249" t="s">
        <v>136</v>
      </c>
      <c r="F23" s="250">
        <v>0.22946048489594337</v>
      </c>
      <c r="H23" s="313">
        <f t="shared" si="0"/>
        <v>3.1410010000000016E-2</v>
      </c>
      <c r="I23" s="317">
        <f t="shared" si="1"/>
        <v>31410.010000000017</v>
      </c>
      <c r="L23" t="s">
        <v>195</v>
      </c>
      <c r="N23">
        <v>-5.242</v>
      </c>
      <c r="O23" t="s">
        <v>297</v>
      </c>
    </row>
    <row r="24" spans="2:15" x14ac:dyDescent="0.35">
      <c r="B24" s="249" t="s">
        <v>138</v>
      </c>
      <c r="C24" s="250">
        <v>-8.0853175304228544E-2</v>
      </c>
      <c r="E24" s="249" t="s">
        <v>138</v>
      </c>
      <c r="F24" s="250">
        <v>-8.0853175304228544E-2</v>
      </c>
      <c r="H24" s="313">
        <f t="shared" si="0"/>
        <v>0</v>
      </c>
      <c r="I24" s="317">
        <f t="shared" si="1"/>
        <v>0</v>
      </c>
      <c r="L24" t="s">
        <v>199</v>
      </c>
      <c r="N24">
        <v>-8.6549999999999994</v>
      </c>
      <c r="O24" t="s">
        <v>297</v>
      </c>
    </row>
    <row r="25" spans="2:15" x14ac:dyDescent="0.35">
      <c r="B25" s="249" t="s">
        <v>140</v>
      </c>
      <c r="C25" s="250">
        <v>0.17582089696008124</v>
      </c>
      <c r="E25" s="249" t="s">
        <v>140</v>
      </c>
      <c r="F25" s="250">
        <v>0.17582089696008124</v>
      </c>
      <c r="H25" s="313">
        <f t="shared" si="0"/>
        <v>0</v>
      </c>
      <c r="I25" s="317">
        <f t="shared" si="1"/>
        <v>0</v>
      </c>
    </row>
    <row r="26" spans="2:15" ht="15" thickBot="1" x14ac:dyDescent="0.4">
      <c r="B26" s="249" t="s">
        <v>142</v>
      </c>
      <c r="C26" s="250">
        <v>2.3656453938395869</v>
      </c>
      <c r="E26" s="249" t="s">
        <v>142</v>
      </c>
      <c r="F26" s="250">
        <v>2.3656453938395869</v>
      </c>
      <c r="H26" s="313">
        <f t="shared" si="0"/>
        <v>0</v>
      </c>
      <c r="I26" s="317">
        <f t="shared" si="1"/>
        <v>0</v>
      </c>
      <c r="L26" s="320" t="s">
        <v>298</v>
      </c>
      <c r="M26" s="320"/>
      <c r="N26" s="320"/>
      <c r="O26" s="320"/>
    </row>
    <row r="27" spans="2:15" x14ac:dyDescent="0.35">
      <c r="B27" s="249" t="s">
        <v>144</v>
      </c>
      <c r="C27" s="250">
        <v>0.4074032512605853</v>
      </c>
      <c r="E27" s="249" t="s">
        <v>144</v>
      </c>
      <c r="F27" s="250">
        <v>0.45226077126058534</v>
      </c>
      <c r="H27" s="313">
        <f t="shared" si="0"/>
        <v>4.485752000000004E-2</v>
      </c>
      <c r="I27" s="317">
        <f t="shared" si="1"/>
        <v>44857.52000000004</v>
      </c>
      <c r="L27" s="175"/>
      <c r="M27" s="175"/>
      <c r="N27" s="319">
        <f>SUM(N23:N24)</f>
        <v>-13.896999999999998</v>
      </c>
    </row>
    <row r="28" spans="2:15" x14ac:dyDescent="0.35">
      <c r="B28" s="249" t="s">
        <v>146</v>
      </c>
      <c r="C28" s="250">
        <v>0.143798493343785</v>
      </c>
      <c r="E28" s="249" t="s">
        <v>146</v>
      </c>
      <c r="F28" s="250">
        <v>0.143798493343785</v>
      </c>
      <c r="H28" s="313">
        <f t="shared" si="0"/>
        <v>0</v>
      </c>
      <c r="I28" s="317">
        <f t="shared" si="1"/>
        <v>0</v>
      </c>
    </row>
    <row r="29" spans="2:15" x14ac:dyDescent="0.35">
      <c r="B29" s="244" t="s">
        <v>148</v>
      </c>
      <c r="C29" s="245">
        <v>0.7350817848402722</v>
      </c>
      <c r="E29" s="244" t="s">
        <v>148</v>
      </c>
      <c r="F29" s="245">
        <v>0.7350817848402722</v>
      </c>
      <c r="H29" s="316">
        <f t="shared" si="0"/>
        <v>0</v>
      </c>
      <c r="I29" s="317">
        <f t="shared" si="1"/>
        <v>0</v>
      </c>
    </row>
    <row r="30" spans="2:15" x14ac:dyDescent="0.35">
      <c r="B30" s="239" t="s">
        <v>150</v>
      </c>
      <c r="C30" s="240">
        <v>2.9369959231142735</v>
      </c>
      <c r="E30" s="239" t="s">
        <v>150</v>
      </c>
      <c r="F30" s="240">
        <v>2.9369959231142735</v>
      </c>
      <c r="H30" s="308">
        <f t="shared" si="0"/>
        <v>0</v>
      </c>
      <c r="I30" s="317">
        <f t="shared" si="1"/>
        <v>0</v>
      </c>
    </row>
    <row r="31" spans="2:15" x14ac:dyDescent="0.35">
      <c r="B31" s="256" t="s">
        <v>152</v>
      </c>
      <c r="C31" s="257">
        <v>1.3080537145466542</v>
      </c>
      <c r="E31" s="256" t="s">
        <v>152</v>
      </c>
      <c r="F31" s="257">
        <v>1.3080537145466542</v>
      </c>
      <c r="H31" s="311">
        <f t="shared" si="0"/>
        <v>0</v>
      </c>
      <c r="I31" s="317">
        <f t="shared" si="1"/>
        <v>0</v>
      </c>
    </row>
    <row r="32" spans="2:15" x14ac:dyDescent="0.35">
      <c r="B32" s="255" t="s">
        <v>154</v>
      </c>
      <c r="C32" s="250">
        <v>1.3721185945466543</v>
      </c>
      <c r="E32" s="255" t="s">
        <v>154</v>
      </c>
      <c r="F32" s="250">
        <v>1.3721185945466543</v>
      </c>
      <c r="H32" s="310">
        <f t="shared" si="0"/>
        <v>0</v>
      </c>
      <c r="I32" s="317">
        <f t="shared" si="1"/>
        <v>0</v>
      </c>
    </row>
    <row r="33" spans="2:9" x14ac:dyDescent="0.35">
      <c r="B33" s="255" t="s">
        <v>156</v>
      </c>
      <c r="C33" s="250">
        <v>-6.6675440000000002E-2</v>
      </c>
      <c r="E33" s="255" t="s">
        <v>156</v>
      </c>
      <c r="F33" s="250">
        <v>-6.6675440000000002E-2</v>
      </c>
      <c r="H33" s="310">
        <f t="shared" si="0"/>
        <v>0</v>
      </c>
      <c r="I33" s="317">
        <f t="shared" si="1"/>
        <v>0</v>
      </c>
    </row>
    <row r="34" spans="2:9" x14ac:dyDescent="0.35">
      <c r="B34" s="255" t="s">
        <v>158</v>
      </c>
      <c r="C34" s="250">
        <v>2.6105599999999996E-3</v>
      </c>
      <c r="E34" s="255" t="s">
        <v>158</v>
      </c>
      <c r="F34" s="250">
        <v>2.6105599999999996E-3</v>
      </c>
      <c r="H34" s="310">
        <f t="shared" si="0"/>
        <v>0</v>
      </c>
      <c r="I34" s="317">
        <f t="shared" si="1"/>
        <v>0</v>
      </c>
    </row>
    <row r="35" spans="2:9" x14ac:dyDescent="0.35">
      <c r="B35" s="255" t="s">
        <v>160</v>
      </c>
      <c r="C35" s="250">
        <v>0.54752537386616185</v>
      </c>
      <c r="E35" s="255" t="s">
        <v>160</v>
      </c>
      <c r="F35" s="250">
        <v>0.54752537386616185</v>
      </c>
      <c r="H35" s="310">
        <f t="shared" si="0"/>
        <v>0</v>
      </c>
      <c r="I35" s="317">
        <f t="shared" si="1"/>
        <v>0</v>
      </c>
    </row>
    <row r="36" spans="2:9" x14ac:dyDescent="0.35">
      <c r="B36" s="256" t="s">
        <v>162</v>
      </c>
      <c r="C36" s="257">
        <v>1.0814168347014574</v>
      </c>
      <c r="E36" s="256" t="s">
        <v>162</v>
      </c>
      <c r="F36" s="257">
        <v>1.0814168347014574</v>
      </c>
      <c r="H36" s="311">
        <f t="shared" si="0"/>
        <v>0</v>
      </c>
      <c r="I36" s="317">
        <f t="shared" si="1"/>
        <v>0</v>
      </c>
    </row>
    <row r="37" spans="2:9" x14ac:dyDescent="0.35">
      <c r="B37" s="255" t="s">
        <v>164</v>
      </c>
      <c r="C37" s="250">
        <v>0.60368679577109297</v>
      </c>
      <c r="E37" s="255" t="s">
        <v>164</v>
      </c>
      <c r="F37" s="250">
        <v>0.60368679577109297</v>
      </c>
      <c r="H37" s="310">
        <f t="shared" si="0"/>
        <v>0</v>
      </c>
      <c r="I37" s="317">
        <f t="shared" si="1"/>
        <v>0</v>
      </c>
    </row>
    <row r="38" spans="2:9" x14ac:dyDescent="0.35">
      <c r="B38" s="255" t="s">
        <v>166</v>
      </c>
      <c r="C38" s="250">
        <v>0.14197762790000479</v>
      </c>
      <c r="E38" s="255" t="s">
        <v>166</v>
      </c>
      <c r="F38" s="250">
        <v>0.14197762790000479</v>
      </c>
      <c r="H38" s="310">
        <f t="shared" si="0"/>
        <v>0</v>
      </c>
      <c r="I38" s="317">
        <f t="shared" si="1"/>
        <v>0</v>
      </c>
    </row>
    <row r="39" spans="2:9" x14ac:dyDescent="0.35">
      <c r="B39" s="255" t="s">
        <v>168</v>
      </c>
      <c r="C39" s="250">
        <v>0.33575241103035974</v>
      </c>
      <c r="E39" s="255" t="s">
        <v>168</v>
      </c>
      <c r="F39" s="250">
        <v>0.33575241103035974</v>
      </c>
      <c r="H39" s="310">
        <f t="shared" si="0"/>
        <v>0</v>
      </c>
      <c r="I39" s="317">
        <f t="shared" si="1"/>
        <v>0</v>
      </c>
    </row>
    <row r="40" spans="2:9" x14ac:dyDescent="0.35">
      <c r="B40" s="239" t="s">
        <v>170</v>
      </c>
      <c r="C40" s="240">
        <v>2.6275886759325227</v>
      </c>
      <c r="E40" s="239" t="s">
        <v>170</v>
      </c>
      <c r="F40" s="240">
        <v>2.6275886759325227</v>
      </c>
      <c r="H40" s="308">
        <f t="shared" si="0"/>
        <v>0</v>
      </c>
      <c r="I40" s="317">
        <f t="shared" si="1"/>
        <v>0</v>
      </c>
    </row>
    <row r="41" spans="2:9" x14ac:dyDescent="0.35">
      <c r="B41" s="255" t="s">
        <v>172</v>
      </c>
      <c r="C41" s="250">
        <v>2.6275886759325227</v>
      </c>
      <c r="E41" s="255" t="s">
        <v>172</v>
      </c>
      <c r="F41" s="250">
        <v>2.6275886759325227</v>
      </c>
      <c r="H41" s="310">
        <f t="shared" si="0"/>
        <v>0</v>
      </c>
      <c r="I41" s="317">
        <f t="shared" si="1"/>
        <v>0</v>
      </c>
    </row>
    <row r="42" spans="2:9" x14ac:dyDescent="0.35">
      <c r="B42" s="239" t="s">
        <v>174</v>
      </c>
      <c r="C42" s="240">
        <v>5.6048905266924134</v>
      </c>
      <c r="E42" s="239" t="s">
        <v>174</v>
      </c>
      <c r="F42" s="240">
        <v>5.6048905266924134</v>
      </c>
      <c r="H42" s="308">
        <f t="shared" si="0"/>
        <v>0</v>
      </c>
      <c r="I42" s="317">
        <f t="shared" si="1"/>
        <v>0</v>
      </c>
    </row>
    <row r="43" spans="2:9" x14ac:dyDescent="0.35">
      <c r="B43" s="255" t="s">
        <v>176</v>
      </c>
      <c r="C43" s="250">
        <v>6.6202104353824138</v>
      </c>
      <c r="E43" s="255" t="s">
        <v>176</v>
      </c>
      <c r="F43" s="250">
        <v>6.6202104353824138</v>
      </c>
      <c r="H43" s="310">
        <f t="shared" si="0"/>
        <v>0</v>
      </c>
      <c r="I43" s="317">
        <f t="shared" si="1"/>
        <v>0</v>
      </c>
    </row>
    <row r="44" spans="2:9" x14ac:dyDescent="0.35">
      <c r="B44" s="255" t="s">
        <v>178</v>
      </c>
      <c r="C44" s="250">
        <v>-1.01531990869</v>
      </c>
      <c r="E44" s="255" t="s">
        <v>178</v>
      </c>
      <c r="F44" s="250">
        <v>-1.01531990869</v>
      </c>
      <c r="H44" s="310">
        <f t="shared" si="0"/>
        <v>0</v>
      </c>
      <c r="I44" s="317">
        <f t="shared" si="1"/>
        <v>0</v>
      </c>
    </row>
    <row r="45" spans="2:9" x14ac:dyDescent="0.35">
      <c r="B45" s="239" t="s">
        <v>180</v>
      </c>
      <c r="C45" s="240">
        <v>4.5496988781000093E-2</v>
      </c>
      <c r="E45" s="239" t="s">
        <v>180</v>
      </c>
      <c r="F45" s="240">
        <v>4.5496988781000093E-2</v>
      </c>
      <c r="H45" s="308">
        <f t="shared" si="0"/>
        <v>0</v>
      </c>
      <c r="I45" s="317">
        <f t="shared" si="1"/>
        <v>0</v>
      </c>
    </row>
    <row r="46" spans="2:9" x14ac:dyDescent="0.35">
      <c r="B46" s="239" t="s">
        <v>182</v>
      </c>
      <c r="C46" s="240">
        <v>-0.95648241000000023</v>
      </c>
      <c r="E46" s="239" t="s">
        <v>182</v>
      </c>
      <c r="F46" s="240">
        <v>-0.95648241000000023</v>
      </c>
      <c r="H46" s="308">
        <f t="shared" si="0"/>
        <v>0</v>
      </c>
      <c r="I46" s="317">
        <f t="shared" si="1"/>
        <v>0</v>
      </c>
    </row>
    <row r="47" spans="2:9" x14ac:dyDescent="0.35">
      <c r="B47" s="255" t="s">
        <v>184</v>
      </c>
      <c r="C47" s="250">
        <v>-0.29987576000000005</v>
      </c>
      <c r="E47" s="255" t="s">
        <v>184</v>
      </c>
      <c r="F47" s="250">
        <v>-0.29987576000000005</v>
      </c>
      <c r="H47" s="310">
        <f t="shared" si="0"/>
        <v>0</v>
      </c>
      <c r="I47" s="317">
        <f t="shared" si="1"/>
        <v>0</v>
      </c>
    </row>
    <row r="48" spans="2:9" x14ac:dyDescent="0.35">
      <c r="B48" s="255" t="s">
        <v>186</v>
      </c>
      <c r="C48" s="250">
        <v>-0.53503325000000024</v>
      </c>
      <c r="E48" s="255" t="s">
        <v>186</v>
      </c>
      <c r="F48" s="250">
        <v>-0.53503325000000024</v>
      </c>
      <c r="H48" s="310">
        <f t="shared" si="0"/>
        <v>0</v>
      </c>
      <c r="I48" s="317">
        <f t="shared" si="1"/>
        <v>0</v>
      </c>
    </row>
    <row r="49" spans="2:9" x14ac:dyDescent="0.35">
      <c r="B49" s="255" t="s">
        <v>188</v>
      </c>
      <c r="C49" s="250">
        <v>-0.1215734</v>
      </c>
      <c r="E49" s="255" t="s">
        <v>188</v>
      </c>
      <c r="F49" s="250">
        <v>-0.1215734</v>
      </c>
      <c r="H49" s="310">
        <f t="shared" si="0"/>
        <v>0</v>
      </c>
      <c r="I49" s="317">
        <f t="shared" si="1"/>
        <v>0</v>
      </c>
    </row>
    <row r="50" spans="2:9" x14ac:dyDescent="0.35">
      <c r="B50"/>
      <c r="C50"/>
      <c r="E50"/>
      <c r="F50"/>
      <c r="H50" s="75"/>
      <c r="I50" s="317">
        <f t="shared" si="1"/>
        <v>0</v>
      </c>
    </row>
    <row r="51" spans="2:9" x14ac:dyDescent="0.35">
      <c r="B51" s="234" t="s">
        <v>189</v>
      </c>
      <c r="C51" s="235">
        <v>12.757320983169706</v>
      </c>
      <c r="E51" s="234" t="s">
        <v>189</v>
      </c>
      <c r="F51" s="235">
        <v>12.771219773169708</v>
      </c>
      <c r="H51" s="307">
        <f t="shared" ref="H51:H83" si="2">F51-C51</f>
        <v>1.3898790000002492E-2</v>
      </c>
      <c r="I51" s="317">
        <f t="shared" si="1"/>
        <v>13898.790000002493</v>
      </c>
    </row>
    <row r="52" spans="2:9" x14ac:dyDescent="0.35">
      <c r="B52" s="239" t="s">
        <v>191</v>
      </c>
      <c r="C52" s="240">
        <v>13.582673241905695</v>
      </c>
      <c r="E52" s="239" t="s">
        <v>191</v>
      </c>
      <c r="F52" s="240">
        <v>13.596572031905698</v>
      </c>
      <c r="H52" s="315">
        <f t="shared" si="2"/>
        <v>1.3898790000002492E-2</v>
      </c>
      <c r="I52" s="317">
        <f t="shared" si="1"/>
        <v>13898.790000002493</v>
      </c>
    </row>
    <row r="53" spans="2:9" x14ac:dyDescent="0.35">
      <c r="B53" s="255" t="s">
        <v>193</v>
      </c>
      <c r="C53" s="250">
        <v>4.6633703463215808</v>
      </c>
      <c r="E53" s="255" t="s">
        <v>193</v>
      </c>
      <c r="F53" s="250">
        <v>4.6633703463215808</v>
      </c>
      <c r="H53" s="310">
        <f t="shared" si="2"/>
        <v>0</v>
      </c>
      <c r="I53" s="317">
        <f t="shared" si="1"/>
        <v>0</v>
      </c>
    </row>
    <row r="54" spans="2:9" x14ac:dyDescent="0.35">
      <c r="B54" s="255" t="s">
        <v>195</v>
      </c>
      <c r="C54" s="250">
        <v>6.2569080269775901</v>
      </c>
      <c r="E54" s="255" t="s">
        <v>195</v>
      </c>
      <c r="F54" s="250">
        <v>6.2621510169775929</v>
      </c>
      <c r="H54" s="314">
        <f t="shared" si="2"/>
        <v>5.242990000002834E-3</v>
      </c>
      <c r="I54" s="317">
        <f t="shared" si="1"/>
        <v>5242.9900000028338</v>
      </c>
    </row>
    <row r="55" spans="2:9" x14ac:dyDescent="0.35">
      <c r="B55" s="255" t="s">
        <v>197</v>
      </c>
      <c r="C55" s="250">
        <v>1.3676425299802988</v>
      </c>
      <c r="E55" s="255" t="s">
        <v>197</v>
      </c>
      <c r="F55" s="250">
        <v>1.3676425299802988</v>
      </c>
      <c r="H55" s="314">
        <f t="shared" si="2"/>
        <v>0</v>
      </c>
      <c r="I55" s="317">
        <f t="shared" si="1"/>
        <v>0</v>
      </c>
    </row>
    <row r="56" spans="2:9" x14ac:dyDescent="0.35">
      <c r="B56" s="255" t="s">
        <v>199</v>
      </c>
      <c r="C56" s="250">
        <v>0.87821268147032683</v>
      </c>
      <c r="E56" s="255" t="s">
        <v>199</v>
      </c>
      <c r="F56" s="250">
        <v>0.88686848147032682</v>
      </c>
      <c r="H56" s="314">
        <f t="shared" si="2"/>
        <v>8.6557999999999913E-3</v>
      </c>
      <c r="I56" s="317">
        <f t="shared" si="1"/>
        <v>8655.799999999992</v>
      </c>
    </row>
    <row r="57" spans="2:9" x14ac:dyDescent="0.35">
      <c r="B57" s="255" t="s">
        <v>201</v>
      </c>
      <c r="C57" s="250">
        <v>0.41653965715589786</v>
      </c>
      <c r="E57" s="255" t="s">
        <v>201</v>
      </c>
      <c r="F57" s="250">
        <v>0.41653965715589786</v>
      </c>
      <c r="H57" s="314">
        <f t="shared" si="2"/>
        <v>0</v>
      </c>
      <c r="I57" s="317">
        <f t="shared" si="1"/>
        <v>0</v>
      </c>
    </row>
    <row r="58" spans="2:9" x14ac:dyDescent="0.35">
      <c r="B58" s="255" t="s">
        <v>203</v>
      </c>
      <c r="C58" s="250">
        <v>0</v>
      </c>
      <c r="E58" s="255" t="s">
        <v>203</v>
      </c>
      <c r="F58" s="250">
        <v>0</v>
      </c>
      <c r="H58" s="310">
        <f t="shared" si="2"/>
        <v>0</v>
      </c>
      <c r="I58" s="317">
        <f t="shared" si="1"/>
        <v>0</v>
      </c>
    </row>
    <row r="59" spans="2:9" x14ac:dyDescent="0.35">
      <c r="B59" s="239" t="s">
        <v>205</v>
      </c>
      <c r="C59" s="240">
        <v>-1.5528942088994644</v>
      </c>
      <c r="E59" s="239" t="s">
        <v>205</v>
      </c>
      <c r="F59" s="240">
        <v>-1.5528942088994644</v>
      </c>
      <c r="H59" s="308">
        <f t="shared" si="2"/>
        <v>0</v>
      </c>
    </row>
    <row r="60" spans="2:9" x14ac:dyDescent="0.35">
      <c r="B60" s="256" t="s">
        <v>207</v>
      </c>
      <c r="C60" s="257">
        <v>0.16588238393940527</v>
      </c>
      <c r="E60" s="256" t="s">
        <v>207</v>
      </c>
      <c r="F60" s="257">
        <v>0.16588238393940527</v>
      </c>
      <c r="H60" s="311">
        <f t="shared" si="2"/>
        <v>0</v>
      </c>
    </row>
    <row r="61" spans="2:9" x14ac:dyDescent="0.35">
      <c r="B61" s="255" t="s">
        <v>209</v>
      </c>
      <c r="C61" s="250">
        <v>0.762556160642204</v>
      </c>
      <c r="E61" s="255" t="s">
        <v>209</v>
      </c>
      <c r="F61" s="250">
        <v>0.762556160642204</v>
      </c>
      <c r="H61" s="310">
        <f t="shared" si="2"/>
        <v>0</v>
      </c>
    </row>
    <row r="62" spans="2:9" x14ac:dyDescent="0.35">
      <c r="B62" s="255" t="s">
        <v>211</v>
      </c>
      <c r="C62" s="250">
        <v>1.0016421531834043</v>
      </c>
      <c r="E62" s="255" t="s">
        <v>211</v>
      </c>
      <c r="F62" s="250">
        <v>1.0016421531834043</v>
      </c>
      <c r="H62" s="310">
        <f t="shared" si="2"/>
        <v>0</v>
      </c>
    </row>
    <row r="63" spans="2:9" x14ac:dyDescent="0.35">
      <c r="B63" s="255" t="s">
        <v>213</v>
      </c>
      <c r="C63" s="250">
        <v>-2.629719063330407E-2</v>
      </c>
      <c r="E63" s="255" t="s">
        <v>213</v>
      </c>
      <c r="F63" s="250">
        <v>-2.629719063330407E-2</v>
      </c>
      <c r="H63" s="310">
        <f t="shared" si="2"/>
        <v>0</v>
      </c>
    </row>
    <row r="64" spans="2:9" x14ac:dyDescent="0.35">
      <c r="B64" s="255" t="s">
        <v>215</v>
      </c>
      <c r="C64" s="250">
        <v>-1.6490124197567639</v>
      </c>
      <c r="E64" s="255" t="s">
        <v>215</v>
      </c>
      <c r="F64" s="250">
        <v>-1.6490124197567639</v>
      </c>
      <c r="H64" s="310">
        <f t="shared" si="2"/>
        <v>0</v>
      </c>
    </row>
    <row r="65" spans="2:8" x14ac:dyDescent="0.35">
      <c r="B65" s="255" t="s">
        <v>217</v>
      </c>
      <c r="C65" s="250">
        <v>0.13546175050386494</v>
      </c>
      <c r="E65" s="255" t="s">
        <v>217</v>
      </c>
      <c r="F65" s="250">
        <v>0.13546175050386494</v>
      </c>
      <c r="H65" s="310">
        <f t="shared" si="2"/>
        <v>0</v>
      </c>
    </row>
    <row r="66" spans="2:8" x14ac:dyDescent="0.35">
      <c r="B66" s="255" t="s">
        <v>219</v>
      </c>
      <c r="C66" s="250">
        <v>0</v>
      </c>
      <c r="E66" s="255" t="s">
        <v>219</v>
      </c>
      <c r="F66" s="250">
        <v>0</v>
      </c>
      <c r="H66" s="310">
        <f t="shared" si="2"/>
        <v>0</v>
      </c>
    </row>
    <row r="67" spans="2:8" x14ac:dyDescent="0.35">
      <c r="B67" s="255" t="s">
        <v>221</v>
      </c>
      <c r="C67" s="250">
        <v>-5.8468070000000004E-2</v>
      </c>
      <c r="E67" s="255" t="s">
        <v>221</v>
      </c>
      <c r="F67" s="250">
        <v>-5.8468070000000004E-2</v>
      </c>
      <c r="H67" s="310">
        <f t="shared" si="2"/>
        <v>0</v>
      </c>
    </row>
    <row r="68" spans="2:8" x14ac:dyDescent="0.35">
      <c r="B68" s="256" t="s">
        <v>223</v>
      </c>
      <c r="C68" s="257">
        <v>1.039664830139527</v>
      </c>
      <c r="E68" s="256" t="s">
        <v>223</v>
      </c>
      <c r="F68" s="257">
        <v>1.039664830139527</v>
      </c>
      <c r="H68" s="311">
        <f t="shared" si="2"/>
        <v>0</v>
      </c>
    </row>
    <row r="69" spans="2:8" x14ac:dyDescent="0.35">
      <c r="B69" s="255" t="s">
        <v>225</v>
      </c>
      <c r="C69" s="250">
        <v>0.66134940424082156</v>
      </c>
      <c r="E69" s="255" t="s">
        <v>225</v>
      </c>
      <c r="F69" s="250">
        <v>0.66134940424082156</v>
      </c>
      <c r="H69" s="310">
        <f t="shared" si="2"/>
        <v>0</v>
      </c>
    </row>
    <row r="70" spans="2:8" x14ac:dyDescent="0.35">
      <c r="B70" s="255" t="s">
        <v>227</v>
      </c>
      <c r="C70" s="250">
        <v>-6.9784877578554843E-3</v>
      </c>
      <c r="E70" s="255" t="s">
        <v>227</v>
      </c>
      <c r="F70" s="250">
        <v>-6.9784877578554843E-3</v>
      </c>
      <c r="H70" s="310">
        <f t="shared" si="2"/>
        <v>0</v>
      </c>
    </row>
    <row r="71" spans="2:8" x14ac:dyDescent="0.35">
      <c r="B71" s="255" t="s">
        <v>229</v>
      </c>
      <c r="C71" s="250">
        <v>0.38529391365656102</v>
      </c>
      <c r="E71" s="255" t="s">
        <v>229</v>
      </c>
      <c r="F71" s="250">
        <v>0.38529391365656102</v>
      </c>
      <c r="H71" s="310">
        <f t="shared" si="2"/>
        <v>0</v>
      </c>
    </row>
    <row r="72" spans="2:8" x14ac:dyDescent="0.35">
      <c r="B72" s="244" t="s">
        <v>231</v>
      </c>
      <c r="C72" s="245">
        <v>-2.0152779563810967</v>
      </c>
      <c r="E72" s="244" t="s">
        <v>231</v>
      </c>
      <c r="F72" s="245">
        <v>-2.0152779563810967</v>
      </c>
      <c r="H72" s="309">
        <f t="shared" si="2"/>
        <v>0</v>
      </c>
    </row>
    <row r="73" spans="2:8" x14ac:dyDescent="0.35">
      <c r="B73" s="244" t="s">
        <v>233</v>
      </c>
      <c r="C73" s="245">
        <v>-0.24344002069000015</v>
      </c>
      <c r="E73" s="244" t="s">
        <v>233</v>
      </c>
      <c r="F73" s="245">
        <v>-0.24344002069000015</v>
      </c>
      <c r="H73" s="309">
        <f t="shared" si="2"/>
        <v>0</v>
      </c>
    </row>
    <row r="74" spans="2:8" x14ac:dyDescent="0.35">
      <c r="B74" s="244" t="s">
        <v>235</v>
      </c>
      <c r="C74" s="245">
        <v>-0.27193877028016167</v>
      </c>
      <c r="E74" s="244" t="s">
        <v>235</v>
      </c>
      <c r="F74" s="245">
        <v>-0.27193877028016167</v>
      </c>
      <c r="H74" s="309">
        <f t="shared" si="2"/>
        <v>0</v>
      </c>
    </row>
    <row r="75" spans="2:8" x14ac:dyDescent="0.35">
      <c r="B75" s="244" t="s">
        <v>237</v>
      </c>
      <c r="C75" s="245">
        <v>-0.22778467562713803</v>
      </c>
      <c r="E75" s="244" t="s">
        <v>237</v>
      </c>
      <c r="F75" s="245">
        <v>-0.22778467562713803</v>
      </c>
      <c r="H75" s="309">
        <f t="shared" si="2"/>
        <v>0</v>
      </c>
    </row>
    <row r="76" spans="2:8" x14ac:dyDescent="0.35">
      <c r="B76" s="244" t="s">
        <v>239</v>
      </c>
      <c r="C76" s="245">
        <v>0</v>
      </c>
      <c r="E76" s="244" t="s">
        <v>239</v>
      </c>
      <c r="F76" s="245">
        <v>0</v>
      </c>
      <c r="H76" s="309">
        <f t="shared" si="2"/>
        <v>0</v>
      </c>
    </row>
    <row r="77" spans="2:8" x14ac:dyDescent="0.35">
      <c r="B77" s="239" t="s">
        <v>241</v>
      </c>
      <c r="C77" s="240">
        <v>2.4442970501634744</v>
      </c>
      <c r="E77" s="239" t="s">
        <v>241</v>
      </c>
      <c r="F77" s="240">
        <v>2.4442970501634744</v>
      </c>
      <c r="H77" s="308">
        <f t="shared" si="2"/>
        <v>0</v>
      </c>
    </row>
    <row r="78" spans="2:8" x14ac:dyDescent="0.35">
      <c r="B78" s="255" t="s">
        <v>243</v>
      </c>
      <c r="C78" s="250">
        <v>2.7771459501634745</v>
      </c>
      <c r="E78" s="255" t="s">
        <v>243</v>
      </c>
      <c r="F78" s="250">
        <v>2.7771459501634745</v>
      </c>
      <c r="H78" s="310">
        <f t="shared" si="2"/>
        <v>0</v>
      </c>
    </row>
    <row r="79" spans="2:8" x14ac:dyDescent="0.35">
      <c r="B79" s="255" t="s">
        <v>245</v>
      </c>
      <c r="C79" s="250">
        <v>-0.3328489</v>
      </c>
      <c r="E79" s="255" t="s">
        <v>245</v>
      </c>
      <c r="F79" s="250">
        <v>-0.3328489</v>
      </c>
      <c r="H79" s="310">
        <f t="shared" si="2"/>
        <v>0</v>
      </c>
    </row>
    <row r="80" spans="2:8" x14ac:dyDescent="0.35">
      <c r="B80" s="239" t="s">
        <v>247</v>
      </c>
      <c r="C80" s="240">
        <v>2.7459499999993586E-3</v>
      </c>
      <c r="E80" s="239" t="s">
        <v>247</v>
      </c>
      <c r="F80" s="240">
        <v>2.7459499999993586E-3</v>
      </c>
      <c r="H80" s="308">
        <f t="shared" si="2"/>
        <v>0</v>
      </c>
    </row>
    <row r="81" spans="2:8" x14ac:dyDescent="0.35">
      <c r="B81" s="255" t="s">
        <v>249</v>
      </c>
      <c r="C81" s="266">
        <v>-7.1651980000000629E-2</v>
      </c>
      <c r="E81" s="255" t="s">
        <v>249</v>
      </c>
      <c r="F81" s="266">
        <v>-7.1651980000000629E-2</v>
      </c>
      <c r="H81" s="312">
        <f t="shared" si="2"/>
        <v>0</v>
      </c>
    </row>
    <row r="82" spans="2:8" x14ac:dyDescent="0.35">
      <c r="B82" s="255" t="s">
        <v>251</v>
      </c>
      <c r="C82" s="266">
        <v>7.4397929999999987E-2</v>
      </c>
      <c r="E82" s="255" t="s">
        <v>251</v>
      </c>
      <c r="F82" s="266">
        <v>7.4397929999999987E-2</v>
      </c>
      <c r="H82" s="312">
        <f t="shared" si="2"/>
        <v>0</v>
      </c>
    </row>
    <row r="83" spans="2:8" x14ac:dyDescent="0.35">
      <c r="B83" s="239" t="s">
        <v>253</v>
      </c>
      <c r="C83" s="240">
        <v>-1.7195010499999999</v>
      </c>
      <c r="E83" s="239" t="s">
        <v>253</v>
      </c>
      <c r="F83" s="240">
        <v>-1.7195010499999999</v>
      </c>
      <c r="H83" s="308">
        <f t="shared" si="2"/>
        <v>0</v>
      </c>
    </row>
    <row r="84" spans="2:8" x14ac:dyDescent="0.35">
      <c r="B84"/>
      <c r="C84"/>
      <c r="E84"/>
      <c r="F84"/>
      <c r="H84" s="75"/>
    </row>
    <row r="85" spans="2:8" x14ac:dyDescent="0.35">
      <c r="B85" s="255" t="s">
        <v>255</v>
      </c>
      <c r="C85" s="266">
        <v>-3.8116515124089676</v>
      </c>
      <c r="E85" s="255" t="s">
        <v>255</v>
      </c>
      <c r="F85" s="266">
        <v>-3.8116515124089676</v>
      </c>
      <c r="H85" s="312">
        <v>0</v>
      </c>
    </row>
    <row r="86" spans="2:8" x14ac:dyDescent="0.35">
      <c r="B86" s="255" t="s">
        <v>257</v>
      </c>
      <c r="C86" s="266">
        <v>-2.3933160600000019</v>
      </c>
      <c r="E86" s="255" t="s">
        <v>257</v>
      </c>
      <c r="F86" s="266">
        <v>-2.3933160600000019</v>
      </c>
      <c r="H86" s="312">
        <v>0</v>
      </c>
    </row>
    <row r="87" spans="2:8" x14ac:dyDescent="0.35">
      <c r="B87" s="255" t="s">
        <v>259</v>
      </c>
      <c r="C87" s="266">
        <v>-3.8722777099999983</v>
      </c>
      <c r="E87" s="255" t="s">
        <v>259</v>
      </c>
      <c r="F87" s="266">
        <v>-3.8722777099999983</v>
      </c>
      <c r="H87" s="312">
        <v>0</v>
      </c>
    </row>
    <row r="88" spans="2:8" x14ac:dyDescent="0.35">
      <c r="B88" s="234" t="s">
        <v>260</v>
      </c>
      <c r="C88" s="235">
        <v>-10.077245282408969</v>
      </c>
      <c r="E88" s="234" t="s">
        <v>260</v>
      </c>
      <c r="F88" s="235">
        <v>-10.077245282408969</v>
      </c>
      <c r="H88" s="307">
        <v>0</v>
      </c>
    </row>
    <row r="90" spans="2:8" x14ac:dyDescent="0.35">
      <c r="B90" s="267"/>
      <c r="C90" s="268">
        <v>-2.8421709430404007E-14</v>
      </c>
      <c r="E90"/>
    </row>
    <row r="91" spans="2:8" x14ac:dyDescent="0.35">
      <c r="C91" s="269"/>
    </row>
    <row r="94" spans="2:8" x14ac:dyDescent="0.35">
      <c r="B94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0E261-0FC5-409B-9728-14332E1F6767}">
  <sheetPr>
    <tabColor theme="3" tint="-0.249977111117893"/>
  </sheetPr>
  <dimension ref="B3:AF184"/>
  <sheetViews>
    <sheetView showGridLines="0" zoomScale="70" zoomScaleNormal="70" workbookViewId="0">
      <pane ySplit="9" topLeftCell="A10" activePane="bottomLeft" state="frozen"/>
      <selection activeCell="V14" sqref="V14"/>
      <selection pane="bottomLeft" activeCell="F166" sqref="F166"/>
    </sheetView>
  </sheetViews>
  <sheetFormatPr defaultRowHeight="14.5" outlineLevelRow="1" x14ac:dyDescent="0.35"/>
  <cols>
    <col min="1" max="2" width="4.1796875" customWidth="1"/>
    <col min="3" max="3" width="2.81640625" style="2" customWidth="1"/>
    <col min="4" max="4" width="22.7265625" style="2" customWidth="1"/>
    <col min="5" max="5" width="16.81640625" style="2" customWidth="1"/>
    <col min="6" max="8" width="11.453125" style="2" customWidth="1"/>
    <col min="9" max="10" width="12.1796875" style="2" customWidth="1"/>
    <col min="11" max="18" width="11.453125" style="2" customWidth="1"/>
    <col min="19" max="19" width="11.453125" style="8" customWidth="1"/>
    <col min="20" max="20" width="1.54296875" style="2" customWidth="1"/>
    <col min="21" max="24" width="10.1796875" style="2" customWidth="1"/>
    <col min="25" max="25" width="11.1796875" style="8" bestFit="1" customWidth="1"/>
    <col min="26" max="26" width="9.453125" bestFit="1" customWidth="1"/>
    <col min="27" max="27" width="11.1796875" bestFit="1" customWidth="1"/>
    <col min="29" max="29" width="18.1796875" customWidth="1"/>
    <col min="30" max="30" width="17.26953125" bestFit="1" customWidth="1"/>
    <col min="31" max="31" width="8.81640625" customWidth="1"/>
  </cols>
  <sheetData>
    <row r="3" spans="2:28" ht="26" x14ac:dyDescent="0.35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U3" s="1"/>
      <c r="V3" s="1"/>
      <c r="W3" s="1"/>
      <c r="X3" s="1"/>
      <c r="Y3" s="1"/>
    </row>
    <row r="4" spans="2:28" ht="18.5" x14ac:dyDescent="0.35">
      <c r="C4" s="3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6"/>
      <c r="U4" s="5"/>
      <c r="V4" s="5"/>
      <c r="W4" s="5"/>
      <c r="X4" s="5"/>
      <c r="Y4" s="6"/>
    </row>
    <row r="5" spans="2:28" ht="10" customHeight="1" x14ac:dyDescent="0.35">
      <c r="C5" s="7"/>
    </row>
    <row r="6" spans="2:28" ht="18.5" x14ac:dyDescent="0.35">
      <c r="C6" s="7"/>
      <c r="F6" s="9" t="s">
        <v>0</v>
      </c>
      <c r="G6" s="9" t="s">
        <v>1</v>
      </c>
      <c r="H6" s="9" t="s">
        <v>2</v>
      </c>
      <c r="I6" s="9" t="s">
        <v>3</v>
      </c>
      <c r="J6" s="9" t="s">
        <v>4</v>
      </c>
      <c r="K6" s="9" t="s">
        <v>5</v>
      </c>
      <c r="L6" s="9" t="s">
        <v>6</v>
      </c>
      <c r="M6" s="9" t="s">
        <v>7</v>
      </c>
      <c r="N6" s="9" t="s">
        <v>8</v>
      </c>
      <c r="O6" s="9" t="s">
        <v>9</v>
      </c>
      <c r="P6" s="9" t="s">
        <v>10</v>
      </c>
      <c r="Q6" s="9" t="s">
        <v>11</v>
      </c>
      <c r="R6" s="9" t="s">
        <v>12</v>
      </c>
      <c r="S6" s="10" t="s">
        <v>13</v>
      </c>
      <c r="U6" s="9" t="s">
        <v>14</v>
      </c>
      <c r="V6" s="9" t="s">
        <v>15</v>
      </c>
      <c r="W6" s="9" t="s">
        <v>16</v>
      </c>
      <c r="X6" s="11" t="s">
        <v>17</v>
      </c>
      <c r="Y6" s="10" t="s">
        <v>13</v>
      </c>
    </row>
    <row r="7" spans="2:28" ht="5.15" customHeight="1" x14ac:dyDescent="0.35">
      <c r="C7" s="12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4"/>
      <c r="U7" s="15"/>
      <c r="V7" s="15"/>
      <c r="W7" s="15"/>
      <c r="X7" s="15"/>
      <c r="Y7" s="16"/>
    </row>
    <row r="8" spans="2:28" ht="15" customHeight="1" x14ac:dyDescent="0.35">
      <c r="C8" s="17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U8" s="18"/>
      <c r="V8" s="18"/>
      <c r="W8" s="18"/>
      <c r="X8" s="18"/>
      <c r="Y8" s="18"/>
    </row>
    <row r="9" spans="2:28" ht="6" customHeight="1" x14ac:dyDescent="0.35">
      <c r="C9" s="7"/>
    </row>
    <row r="10" spans="2:28" s="23" customFormat="1" ht="17.5" customHeight="1" x14ac:dyDescent="0.35">
      <c r="B10"/>
      <c r="C10" s="19" t="s">
        <v>18</v>
      </c>
      <c r="D10" s="20"/>
      <c r="E10" s="20"/>
      <c r="F10" s="20"/>
      <c r="G10" s="20"/>
      <c r="H10" s="20"/>
      <c r="I10" s="20"/>
      <c r="J10" s="20"/>
      <c r="K10" s="20"/>
      <c r="L10" s="21"/>
      <c r="M10" s="21"/>
      <c r="N10" s="20"/>
      <c r="O10" s="20"/>
      <c r="P10" s="20"/>
      <c r="Q10" s="20"/>
      <c r="R10" s="20"/>
      <c r="S10" s="20"/>
      <c r="T10" s="2"/>
      <c r="U10" s="22"/>
      <c r="V10" s="22"/>
      <c r="W10" s="22"/>
      <c r="X10" s="22"/>
      <c r="Y10" s="22"/>
    </row>
    <row r="11" spans="2:28" s="23" customFormat="1" ht="17.5" customHeight="1" x14ac:dyDescent="0.35">
      <c r="B11"/>
      <c r="C11" s="2"/>
      <c r="D11" s="24" t="s">
        <v>19</v>
      </c>
      <c r="E11" s="25">
        <v>2024</v>
      </c>
      <c r="F11" s="26">
        <v>69974.548152333649</v>
      </c>
      <c r="G11" s="26">
        <v>69844.883912966965</v>
      </c>
      <c r="H11" s="26">
        <v>72994.185268703761</v>
      </c>
      <c r="I11" s="26">
        <v>75032.306197000289</v>
      </c>
      <c r="J11" s="26">
        <v>77044.186496665367</v>
      </c>
      <c r="K11" s="28">
        <f>SUM(F11:J11)</f>
        <v>364890.11002767005</v>
      </c>
      <c r="L11" s="27">
        <v>79737.524250166985</v>
      </c>
      <c r="M11" s="27">
        <v>82235.210291666939</v>
      </c>
      <c r="N11" s="27">
        <v>82395.172937813579</v>
      </c>
      <c r="O11" s="27">
        <v>82409.300852623506</v>
      </c>
      <c r="P11" s="26">
        <v>90317.967620255207</v>
      </c>
      <c r="Q11" s="26">
        <v>84507.935394060085</v>
      </c>
      <c r="R11" s="27">
        <v>85975.636114148496</v>
      </c>
      <c r="S11" s="29">
        <f>SUM(K11:R11)</f>
        <v>952468.85748840484</v>
      </c>
      <c r="T11" s="2"/>
      <c r="U11" s="26">
        <f>SUM(F11:G11,H11)</f>
        <v>212813.61733400438</v>
      </c>
      <c r="V11" s="26">
        <f>SUM(I11,J11,L11)</f>
        <v>231814.01694383266</v>
      </c>
      <c r="W11" s="26">
        <f>SUM(M11:O11)</f>
        <v>247039.68408210404</v>
      </c>
      <c r="X11" s="30">
        <f>SUM(P11:R11)</f>
        <v>260801.53912846377</v>
      </c>
      <c r="Y11" s="31">
        <f>SUM(U11:X11)</f>
        <v>952468.85748840473</v>
      </c>
    </row>
    <row r="12" spans="2:28" s="23" customFormat="1" ht="17.5" customHeight="1" x14ac:dyDescent="0.35">
      <c r="B12"/>
      <c r="C12" s="2"/>
      <c r="D12" s="32" t="s">
        <v>19</v>
      </c>
      <c r="E12" s="33">
        <v>2025</v>
      </c>
      <c r="F12" s="34">
        <v>91352.839951103102</v>
      </c>
      <c r="G12" s="34">
        <v>90612.467260833495</v>
      </c>
      <c r="H12" s="34">
        <v>91858.181565873805</v>
      </c>
      <c r="I12" s="34">
        <v>92547.036075217489</v>
      </c>
      <c r="J12" s="34">
        <v>95185.543988840014</v>
      </c>
      <c r="K12" s="35">
        <f t="shared" ref="K12:K15" si="0">SUM(F12:J12)</f>
        <v>461556.06884186791</v>
      </c>
      <c r="L12" s="34">
        <v>90717.613487989525</v>
      </c>
      <c r="M12" s="34">
        <v>90078.394710960536</v>
      </c>
      <c r="N12" s="34">
        <v>98389.378609875101</v>
      </c>
      <c r="O12" s="34">
        <v>101231.72220595303</v>
      </c>
      <c r="P12" s="34">
        <v>109542.93023654178</v>
      </c>
      <c r="Q12" s="34">
        <v>103163.03782092979</v>
      </c>
      <c r="R12" s="36">
        <v>101055.21814651073</v>
      </c>
      <c r="S12" s="37">
        <f t="shared" ref="S12:S15" si="1">SUM(K12:R12)</f>
        <v>1155734.3640606285</v>
      </c>
      <c r="T12" s="2"/>
      <c r="U12" s="38">
        <f>SUM(F12:G12,H12)</f>
        <v>273823.48877781042</v>
      </c>
      <c r="V12" s="38">
        <f>SUM(I12,J12,L12)</f>
        <v>278450.19355204701</v>
      </c>
      <c r="W12" s="38">
        <f t="shared" ref="W12:W15" si="2">SUM(M12:O12)</f>
        <v>289699.49552678864</v>
      </c>
      <c r="X12" s="39">
        <f t="shared" ref="X12:X15" si="3">SUM(P12:R12)</f>
        <v>313761.18620398227</v>
      </c>
      <c r="Y12" s="40">
        <f t="shared" ref="Y12:Y15" si="4">SUM(U12:X12)</f>
        <v>1155734.3640606285</v>
      </c>
      <c r="AA12"/>
    </row>
    <row r="13" spans="2:28" s="23" customFormat="1" ht="17.5" customHeight="1" x14ac:dyDescent="0.35">
      <c r="B13"/>
      <c r="C13" s="2"/>
      <c r="D13" s="24" t="s">
        <v>20</v>
      </c>
      <c r="E13" s="25">
        <v>2026</v>
      </c>
      <c r="F13" s="26">
        <v>104452.96132975917</v>
      </c>
      <c r="G13" s="26">
        <v>104590.27914166618</v>
      </c>
      <c r="H13" s="26">
        <v>108978.13212244381</v>
      </c>
      <c r="I13" s="26">
        <v>110603.62900598122</v>
      </c>
      <c r="J13" s="26">
        <v>113070.77002367128</v>
      </c>
      <c r="K13" s="28">
        <f t="shared" si="0"/>
        <v>541695.77162352169</v>
      </c>
      <c r="L13" s="27">
        <v>118169.72796379756</v>
      </c>
      <c r="M13" s="27">
        <v>120040.07098015104</v>
      </c>
      <c r="N13" s="27">
        <v>121218.10652835209</v>
      </c>
      <c r="O13" s="27">
        <v>135105.49796825295</v>
      </c>
      <c r="P13" s="26">
        <v>125420.35662846008</v>
      </c>
      <c r="Q13" s="26">
        <v>126008.4609320851</v>
      </c>
      <c r="R13" s="27">
        <v>126627.92965008428</v>
      </c>
      <c r="S13" s="29">
        <f t="shared" si="1"/>
        <v>1414285.9222747048</v>
      </c>
      <c r="T13" s="2"/>
      <c r="U13" s="26">
        <f>SUM(F13:G13,H13)</f>
        <v>318021.37259386916</v>
      </c>
      <c r="V13" s="26">
        <f>SUM(I13,J13,L13)</f>
        <v>341844.12699345005</v>
      </c>
      <c r="W13" s="26">
        <f t="shared" si="2"/>
        <v>376363.67547675606</v>
      </c>
      <c r="X13" s="30">
        <f t="shared" si="3"/>
        <v>378056.74721062946</v>
      </c>
      <c r="Y13" s="31">
        <f t="shared" si="4"/>
        <v>1414285.9222747048</v>
      </c>
    </row>
    <row r="14" spans="2:28" s="23" customFormat="1" ht="17.5" customHeight="1" x14ac:dyDescent="0.35">
      <c r="B14"/>
      <c r="C14" s="2"/>
      <c r="D14" s="32" t="s">
        <v>21</v>
      </c>
      <c r="E14" s="33">
        <v>2026</v>
      </c>
      <c r="F14" s="34">
        <v>106599.3830819998</v>
      </c>
      <c r="G14" s="34">
        <v>104831.29568278702</v>
      </c>
      <c r="H14" s="34">
        <v>107263.69162873289</v>
      </c>
      <c r="I14" s="34">
        <v>111037.73976999977</v>
      </c>
      <c r="J14" s="34">
        <v>111619.42728185341</v>
      </c>
      <c r="K14" s="35">
        <f t="shared" si="0"/>
        <v>541351.5374453729</v>
      </c>
      <c r="L14" s="34">
        <v>115609.77747591944</v>
      </c>
      <c r="M14" s="34">
        <v>117485.00979709749</v>
      </c>
      <c r="N14" s="34">
        <v>119733.09050762582</v>
      </c>
      <c r="O14" s="34">
        <v>133736.62382290288</v>
      </c>
      <c r="P14" s="34">
        <v>124435.70236204444</v>
      </c>
      <c r="Q14" s="34">
        <v>125402.4549232159</v>
      </c>
      <c r="R14" s="36">
        <v>126468.53841009698</v>
      </c>
      <c r="S14" s="37">
        <f t="shared" si="1"/>
        <v>1404222.7347442759</v>
      </c>
      <c r="T14" s="2"/>
      <c r="U14" s="38">
        <f>SUM(F14:G14,H14)</f>
        <v>318694.3703935197</v>
      </c>
      <c r="V14" s="38">
        <f>SUM(I14,J14,L14)</f>
        <v>338266.9445277726</v>
      </c>
      <c r="W14" s="38">
        <f t="shared" si="2"/>
        <v>370954.72412762616</v>
      </c>
      <c r="X14" s="39">
        <f t="shared" si="3"/>
        <v>376306.69569535728</v>
      </c>
      <c r="Y14" s="40">
        <f t="shared" si="4"/>
        <v>1404222.7347442757</v>
      </c>
      <c r="AA14"/>
    </row>
    <row r="15" spans="2:28" s="23" customFormat="1" ht="18" customHeight="1" x14ac:dyDescent="0.35">
      <c r="B15"/>
      <c r="C15" s="2"/>
      <c r="D15" s="41" t="s">
        <v>19</v>
      </c>
      <c r="E15" s="42">
        <v>2026</v>
      </c>
      <c r="F15" s="43">
        <v>106599.3830819998</v>
      </c>
      <c r="G15" s="43">
        <v>104831.29568278702</v>
      </c>
      <c r="H15" s="43">
        <v>107263.69162873289</v>
      </c>
      <c r="I15" s="44">
        <v>111037.73976999977</v>
      </c>
      <c r="J15" s="44">
        <v>113734.66817912509</v>
      </c>
      <c r="K15" s="45">
        <f t="shared" si="0"/>
        <v>543466.77834264457</v>
      </c>
      <c r="L15" s="46">
        <f>L14</f>
        <v>115609.77747591944</v>
      </c>
      <c r="M15" s="46">
        <f t="shared" ref="M15:R15" si="5">M14</f>
        <v>117485.00979709749</v>
      </c>
      <c r="N15" s="46">
        <f t="shared" si="5"/>
        <v>119733.09050762582</v>
      </c>
      <c r="O15" s="46">
        <f t="shared" si="5"/>
        <v>133736.62382290288</v>
      </c>
      <c r="P15" s="46">
        <f t="shared" si="5"/>
        <v>124435.70236204444</v>
      </c>
      <c r="Q15" s="46">
        <f t="shared" si="5"/>
        <v>125402.4549232159</v>
      </c>
      <c r="R15" s="46">
        <f t="shared" si="5"/>
        <v>126468.53841009698</v>
      </c>
      <c r="S15" s="47">
        <f t="shared" si="1"/>
        <v>1406337.9756415477</v>
      </c>
      <c r="T15" s="2"/>
      <c r="U15" s="44">
        <f>SUM(F15:G15,H15)</f>
        <v>318694.3703935197</v>
      </c>
      <c r="V15" s="44">
        <f>SUM(I15,J15,L15)</f>
        <v>340382.18542504433</v>
      </c>
      <c r="W15" s="44">
        <f t="shared" si="2"/>
        <v>370954.72412762616</v>
      </c>
      <c r="X15" s="48">
        <f t="shared" si="3"/>
        <v>376306.69569535728</v>
      </c>
      <c r="Y15" s="49">
        <f t="shared" si="4"/>
        <v>1406337.9756415475</v>
      </c>
      <c r="AB15" s="50"/>
    </row>
    <row r="16" spans="2:28" s="23" customFormat="1" ht="17.5" customHeight="1" x14ac:dyDescent="0.35">
      <c r="B16"/>
      <c r="C16" s="51"/>
      <c r="D16" s="32" t="s">
        <v>22</v>
      </c>
      <c r="E16" s="32"/>
      <c r="F16" s="52">
        <f>F12/F11-1</f>
        <v>0.3055152532350649</v>
      </c>
      <c r="G16" s="52">
        <f t="shared" ref="G16:S16" si="6">G12/G11-1</f>
        <v>0.29733864793511322</v>
      </c>
      <c r="H16" s="53">
        <f t="shared" si="6"/>
        <v>0.2584314932446814</v>
      </c>
      <c r="I16" s="53">
        <f t="shared" si="6"/>
        <v>0.23342918225426246</v>
      </c>
      <c r="J16" s="53">
        <f t="shared" si="6"/>
        <v>0.23546692251672807</v>
      </c>
      <c r="K16" s="54">
        <f>K12/K11-1</f>
        <v>0.26491800177008784</v>
      </c>
      <c r="L16" s="53">
        <f t="shared" si="6"/>
        <v>0.13770291140936131</v>
      </c>
      <c r="M16" s="53">
        <f t="shared" si="6"/>
        <v>9.5375015051045064E-2</v>
      </c>
      <c r="N16" s="53">
        <f t="shared" si="6"/>
        <v>0.1941158092371853</v>
      </c>
      <c r="O16" s="53">
        <f t="shared" si="6"/>
        <v>0.22840166290198916</v>
      </c>
      <c r="P16" s="53">
        <f t="shared" si="6"/>
        <v>0.21285867167780559</v>
      </c>
      <c r="Q16" s="53">
        <f t="shared" si="6"/>
        <v>0.22074971231850671</v>
      </c>
      <c r="R16" s="55">
        <f t="shared" si="6"/>
        <v>0.17539366632125075</v>
      </c>
      <c r="S16" s="56">
        <f t="shared" si="6"/>
        <v>0.21340908416493631</v>
      </c>
      <c r="T16" s="2"/>
      <c r="U16" s="52">
        <f t="shared" ref="U16:Y16" si="7">U12/U11-1</f>
        <v>0.28668217855652034</v>
      </c>
      <c r="V16" s="52">
        <f t="shared" si="7"/>
        <v>0.20117927821212844</v>
      </c>
      <c r="W16" s="52">
        <f t="shared" si="7"/>
        <v>0.17268404306454088</v>
      </c>
      <c r="X16" s="57">
        <f t="shared" si="7"/>
        <v>0.20306493302339002</v>
      </c>
      <c r="Y16" s="58">
        <f t="shared" si="7"/>
        <v>0.21340908416493631</v>
      </c>
    </row>
    <row r="17" spans="2:27" s="23" customFormat="1" ht="17.5" customHeight="1" x14ac:dyDescent="0.35">
      <c r="B17"/>
      <c r="C17" s="51"/>
      <c r="D17" s="24" t="s">
        <v>23</v>
      </c>
      <c r="E17" s="24"/>
      <c r="F17" s="59">
        <f>F15/F12-1</f>
        <v>0.16689730871046216</v>
      </c>
      <c r="G17" s="59">
        <f t="shared" ref="G17:S17" si="8">G15/G12-1</f>
        <v>0.15691911777464096</v>
      </c>
      <c r="H17" s="60">
        <f t="shared" si="8"/>
        <v>0.16770972166275033</v>
      </c>
      <c r="I17" s="60">
        <f t="shared" si="8"/>
        <v>0.19979790254713259</v>
      </c>
      <c r="J17" s="60">
        <f t="shared" si="8"/>
        <v>0.19487333278738062</v>
      </c>
      <c r="K17" s="61">
        <f>K15/K12-1</f>
        <v>0.17746643372343951</v>
      </c>
      <c r="L17" s="59">
        <f t="shared" si="8"/>
        <v>0.27439174192149007</v>
      </c>
      <c r="M17" s="59">
        <f t="shared" si="8"/>
        <v>0.30425292517787494</v>
      </c>
      <c r="N17" s="59">
        <f t="shared" si="8"/>
        <v>0.21693105698310111</v>
      </c>
      <c r="O17" s="59">
        <f t="shared" si="8"/>
        <v>0.32109402970364931</v>
      </c>
      <c r="P17" s="59">
        <f t="shared" si="8"/>
        <v>0.13595374976133945</v>
      </c>
      <c r="Q17" s="59">
        <f t="shared" si="8"/>
        <v>0.21557543837444237</v>
      </c>
      <c r="R17" s="62">
        <f t="shared" si="8"/>
        <v>0.25147954484390711</v>
      </c>
      <c r="S17" s="63">
        <f t="shared" si="8"/>
        <v>0.21683495738625713</v>
      </c>
      <c r="T17" s="2"/>
      <c r="U17" s="59">
        <f t="shared" ref="U17:Y17" si="9">U15/U12-1</f>
        <v>0.16386790562046705</v>
      </c>
      <c r="V17" s="59">
        <f t="shared" si="9"/>
        <v>0.22241676718899894</v>
      </c>
      <c r="W17" s="59">
        <f t="shared" si="9"/>
        <v>0.28048108421135942</v>
      </c>
      <c r="X17" s="64">
        <f t="shared" si="9"/>
        <v>0.19934113026559297</v>
      </c>
      <c r="Y17" s="65">
        <f t="shared" si="9"/>
        <v>0.21683495738625691</v>
      </c>
    </row>
    <row r="18" spans="2:27" s="23" customFormat="1" ht="17.5" customHeight="1" x14ac:dyDescent="0.35">
      <c r="B18"/>
      <c r="C18" s="51"/>
      <c r="D18" s="32" t="s">
        <v>24</v>
      </c>
      <c r="E18" s="32"/>
      <c r="F18" s="52">
        <f>F15/F13-1</f>
        <v>2.0549170889127222E-2</v>
      </c>
      <c r="G18" s="52">
        <f t="shared" ref="G18:S18" si="10">G15/G13-1</f>
        <v>2.3043875883952403E-3</v>
      </c>
      <c r="H18" s="53">
        <f t="shared" si="10"/>
        <v>-1.5731968059285895E-2</v>
      </c>
      <c r="I18" s="53">
        <f t="shared" si="10"/>
        <v>3.9249233313589649E-3</v>
      </c>
      <c r="J18" s="53">
        <f t="shared" si="10"/>
        <v>5.8715276752321355E-3</v>
      </c>
      <c r="K18" s="54">
        <f>K15/K13-1</f>
        <v>3.269375195259494E-3</v>
      </c>
      <c r="L18" s="53">
        <f t="shared" si="10"/>
        <v>-2.1663335712022502E-2</v>
      </c>
      <c r="M18" s="53">
        <f t="shared" si="10"/>
        <v>-2.1285068912330396E-2</v>
      </c>
      <c r="N18" s="53">
        <f t="shared" si="10"/>
        <v>-1.2250777241590849E-2</v>
      </c>
      <c r="O18" s="53">
        <f t="shared" si="10"/>
        <v>-1.0131890751564621E-2</v>
      </c>
      <c r="P18" s="53">
        <f t="shared" si="10"/>
        <v>-7.8508329340231109E-3</v>
      </c>
      <c r="Q18" s="53">
        <f t="shared" si="10"/>
        <v>-4.8092485566966214E-3</v>
      </c>
      <c r="R18" s="55">
        <f t="shared" si="10"/>
        <v>-1.2587368397141141E-3</v>
      </c>
      <c r="S18" s="56">
        <f t="shared" si="10"/>
        <v>-5.6197594192083367E-3</v>
      </c>
      <c r="T18" s="2"/>
      <c r="U18" s="52">
        <f t="shared" ref="U18:Y18" si="11">U15/U13-1</f>
        <v>2.1162030531514109E-3</v>
      </c>
      <c r="V18" s="52">
        <f t="shared" si="11"/>
        <v>-4.2766321049995115E-3</v>
      </c>
      <c r="W18" s="52">
        <f t="shared" si="11"/>
        <v>-1.4371608371286482E-2</v>
      </c>
      <c r="X18" s="57">
        <f t="shared" si="11"/>
        <v>-4.6290709746205083E-3</v>
      </c>
      <c r="Y18" s="58">
        <f t="shared" si="11"/>
        <v>-5.6197594192085587E-3</v>
      </c>
    </row>
    <row r="19" spans="2:27" s="23" customFormat="1" ht="17.5" customHeight="1" x14ac:dyDescent="0.35">
      <c r="B19"/>
      <c r="C19" s="51"/>
      <c r="D19" s="24" t="s">
        <v>25</v>
      </c>
      <c r="E19" s="24"/>
      <c r="F19" s="59">
        <f>F15/F14-1</f>
        <v>0</v>
      </c>
      <c r="G19" s="59">
        <f t="shared" ref="G19:Y19" si="12">G15/G14-1</f>
        <v>0</v>
      </c>
      <c r="H19" s="60">
        <f t="shared" si="12"/>
        <v>0</v>
      </c>
      <c r="I19" s="60">
        <f t="shared" si="12"/>
        <v>0</v>
      </c>
      <c r="J19" s="60">
        <f t="shared" si="12"/>
        <v>1.8950472590496537E-2</v>
      </c>
      <c r="K19" s="61">
        <f t="shared" si="12"/>
        <v>3.9073333147874312E-3</v>
      </c>
      <c r="L19" s="59">
        <f t="shared" si="12"/>
        <v>0</v>
      </c>
      <c r="M19" s="59">
        <f t="shared" si="12"/>
        <v>0</v>
      </c>
      <c r="N19" s="59">
        <f t="shared" si="12"/>
        <v>0</v>
      </c>
      <c r="O19" s="59">
        <f t="shared" si="12"/>
        <v>0</v>
      </c>
      <c r="P19" s="59">
        <f t="shared" si="12"/>
        <v>0</v>
      </c>
      <c r="Q19" s="59">
        <f t="shared" si="12"/>
        <v>0</v>
      </c>
      <c r="R19" s="62">
        <f t="shared" si="12"/>
        <v>0</v>
      </c>
      <c r="S19" s="63">
        <f t="shared" si="12"/>
        <v>1.5063428649422228E-3</v>
      </c>
      <c r="T19" s="2"/>
      <c r="U19" s="59">
        <f t="shared" si="12"/>
        <v>0</v>
      </c>
      <c r="V19" s="59">
        <f t="shared" si="12"/>
        <v>6.2531705550616934E-3</v>
      </c>
      <c r="W19" s="59">
        <f t="shared" si="12"/>
        <v>0</v>
      </c>
      <c r="X19" s="64">
        <f t="shared" si="12"/>
        <v>0</v>
      </c>
      <c r="Y19" s="65">
        <f t="shared" si="12"/>
        <v>1.5063428649422228E-3</v>
      </c>
    </row>
    <row r="20" spans="2:27" ht="14.5" customHeight="1" x14ac:dyDescent="0.35">
      <c r="C20" s="7"/>
      <c r="F20" s="66"/>
      <c r="G20" s="66"/>
      <c r="H20" s="66"/>
      <c r="I20" s="66"/>
      <c r="J20" s="66"/>
      <c r="K20" s="66"/>
      <c r="L20" s="66"/>
      <c r="M20" s="66"/>
      <c r="N20" s="67"/>
      <c r="O20" s="67"/>
      <c r="P20" s="67"/>
      <c r="Q20" s="67"/>
      <c r="R20" s="68"/>
    </row>
    <row r="21" spans="2:27" s="23" customFormat="1" ht="17.5" hidden="1" customHeight="1" outlineLevel="1" x14ac:dyDescent="0.35">
      <c r="B21"/>
      <c r="C21" s="19" t="s">
        <v>26</v>
      </c>
      <c r="D21" s="20"/>
      <c r="E21" s="20"/>
      <c r="F21" s="20"/>
      <c r="G21" s="20"/>
      <c r="H21" s="20"/>
      <c r="I21" s="20"/>
      <c r="J21" s="20"/>
      <c r="K21" s="20"/>
      <c r="L21" s="21"/>
      <c r="M21" s="21"/>
      <c r="N21" s="20"/>
      <c r="O21" s="20"/>
      <c r="P21" s="20"/>
      <c r="Q21" s="20"/>
      <c r="R21" s="69"/>
      <c r="S21" s="20"/>
      <c r="T21" s="2"/>
      <c r="U21" s="22"/>
      <c r="V21" s="22"/>
      <c r="W21" s="22"/>
      <c r="X21" s="22"/>
      <c r="Y21" s="22"/>
    </row>
    <row r="22" spans="2:27" s="23" customFormat="1" ht="18" hidden="1" customHeight="1" outlineLevel="1" x14ac:dyDescent="0.35">
      <c r="B22"/>
      <c r="C22" s="2"/>
      <c r="D22" s="24" t="s">
        <v>19</v>
      </c>
      <c r="E22" s="25">
        <v>2024</v>
      </c>
      <c r="F22" s="26">
        <v>69593.317240333665</v>
      </c>
      <c r="G22" s="26">
        <v>69370.872952966965</v>
      </c>
      <c r="H22" s="26">
        <v>72615.298142753774</v>
      </c>
      <c r="I22" s="26">
        <v>74529.200108975288</v>
      </c>
      <c r="J22" s="26">
        <v>76509.687135890374</v>
      </c>
      <c r="K22" s="28">
        <f>SUM(F22:J22)</f>
        <v>362618.37558092002</v>
      </c>
      <c r="L22" s="27">
        <v>79207.304913141968</v>
      </c>
      <c r="M22" s="27">
        <v>81672.211666624411</v>
      </c>
      <c r="N22" s="27">
        <v>81694.304741888584</v>
      </c>
      <c r="O22" s="27">
        <v>81468.622943673501</v>
      </c>
      <c r="P22" s="26">
        <v>89419.543687730184</v>
      </c>
      <c r="Q22" s="26">
        <v>83320.997439585102</v>
      </c>
      <c r="R22" s="27">
        <v>82432.920010173504</v>
      </c>
      <c r="S22" s="29">
        <f>SUM(K22:R22)</f>
        <v>941834.2809837372</v>
      </c>
      <c r="T22" s="2"/>
      <c r="U22" s="26">
        <f>SUM(F22:G22,H22)</f>
        <v>211579.4883360544</v>
      </c>
      <c r="V22" s="26">
        <f>SUM(I22,J22,L22)</f>
        <v>230246.19215800762</v>
      </c>
      <c r="W22" s="26">
        <f>SUM(M22:O22)</f>
        <v>244835.13935218652</v>
      </c>
      <c r="X22" s="30">
        <f>SUM(P22:R22)</f>
        <v>255173.46113748878</v>
      </c>
      <c r="Y22" s="31">
        <f>SUM(U22:X22)</f>
        <v>941834.2809837372</v>
      </c>
      <c r="AA22"/>
    </row>
    <row r="23" spans="2:27" s="23" customFormat="1" ht="17.5" hidden="1" customHeight="1" outlineLevel="1" x14ac:dyDescent="0.35">
      <c r="B23"/>
      <c r="C23" s="2"/>
      <c r="D23" s="32" t="s">
        <v>19</v>
      </c>
      <c r="E23" s="33">
        <v>2025</v>
      </c>
      <c r="F23" s="34">
        <v>91352.839951103102</v>
      </c>
      <c r="G23" s="34">
        <v>90612.467260833495</v>
      </c>
      <c r="H23" s="34">
        <v>91858.181565873805</v>
      </c>
      <c r="I23" s="34">
        <v>92547.036075217489</v>
      </c>
      <c r="J23" s="34">
        <v>95185.543988840014</v>
      </c>
      <c r="K23" s="35">
        <f t="shared" ref="K23:K26" si="13">SUM(F23:J23)</f>
        <v>461556.06884186791</v>
      </c>
      <c r="L23" s="34">
        <v>93052.096625639533</v>
      </c>
      <c r="M23" s="34">
        <v>91360.204246860536</v>
      </c>
      <c r="N23" s="34">
        <v>98389.378609875101</v>
      </c>
      <c r="O23" s="34">
        <v>101231.72220595303</v>
      </c>
      <c r="P23" s="34">
        <v>109542.93023654178</v>
      </c>
      <c r="Q23" s="34">
        <v>103264.41186419732</v>
      </c>
      <c r="R23" s="36">
        <v>101319.27292651073</v>
      </c>
      <c r="S23" s="37">
        <f t="shared" ref="S23:S26" si="14">SUM(K23:R23)</f>
        <v>1159716.0855574459</v>
      </c>
      <c r="T23" s="2"/>
      <c r="U23" s="38">
        <f>SUM(F23:G23,H23)</f>
        <v>273823.48877781042</v>
      </c>
      <c r="V23" s="38">
        <f>SUM(I23,J23,L23)</f>
        <v>280784.67668969702</v>
      </c>
      <c r="W23" s="38">
        <f t="shared" ref="W23:W26" si="15">SUM(M23:O23)</f>
        <v>290981.30506268865</v>
      </c>
      <c r="X23" s="39">
        <f t="shared" ref="X23:X26" si="16">SUM(P23:R23)</f>
        <v>314126.61502724985</v>
      </c>
      <c r="Y23" s="40">
        <f t="shared" ref="Y23:Y26" si="17">SUM(U23:X23)</f>
        <v>1159716.0855574459</v>
      </c>
    </row>
    <row r="24" spans="2:27" s="23" customFormat="1" ht="18" hidden="1" customHeight="1" outlineLevel="1" x14ac:dyDescent="0.35">
      <c r="B24"/>
      <c r="C24" s="2"/>
      <c r="D24" s="24" t="s">
        <v>20</v>
      </c>
      <c r="E24" s="25">
        <v>2026</v>
      </c>
      <c r="F24" s="26">
        <f>F13</f>
        <v>104452.96132975917</v>
      </c>
      <c r="G24" s="26">
        <f t="shared" ref="G24:R24" si="18">G13</f>
        <v>104590.27914166618</v>
      </c>
      <c r="H24" s="26">
        <f t="shared" si="18"/>
        <v>108978.13212244381</v>
      </c>
      <c r="I24" s="26">
        <f t="shared" si="18"/>
        <v>110603.62900598122</v>
      </c>
      <c r="J24" s="26">
        <f t="shared" si="18"/>
        <v>113070.77002367128</v>
      </c>
      <c r="K24" s="28">
        <f t="shared" si="13"/>
        <v>541695.77162352169</v>
      </c>
      <c r="L24" s="27">
        <f t="shared" si="18"/>
        <v>118169.72796379756</v>
      </c>
      <c r="M24" s="27">
        <f t="shared" si="18"/>
        <v>120040.07098015104</v>
      </c>
      <c r="N24" s="27">
        <f t="shared" si="18"/>
        <v>121218.10652835209</v>
      </c>
      <c r="O24" s="27">
        <f t="shared" si="18"/>
        <v>135105.49796825295</v>
      </c>
      <c r="P24" s="26">
        <f t="shared" si="18"/>
        <v>125420.35662846008</v>
      </c>
      <c r="Q24" s="26">
        <f t="shared" si="18"/>
        <v>126008.4609320851</v>
      </c>
      <c r="R24" s="27">
        <f t="shared" si="18"/>
        <v>126627.92965008428</v>
      </c>
      <c r="S24" s="29">
        <f t="shared" si="14"/>
        <v>1414285.9222747048</v>
      </c>
      <c r="T24" s="2"/>
      <c r="U24" s="26">
        <f>SUM(F24:G24,H24)</f>
        <v>318021.37259386916</v>
      </c>
      <c r="V24" s="26">
        <f>SUM(I24,J24,L24)</f>
        <v>341844.12699345005</v>
      </c>
      <c r="W24" s="26">
        <f t="shared" si="15"/>
        <v>376363.67547675606</v>
      </c>
      <c r="X24" s="30">
        <f t="shared" si="16"/>
        <v>378056.74721062946</v>
      </c>
      <c r="Y24" s="31">
        <f t="shared" si="17"/>
        <v>1414285.9222747048</v>
      </c>
      <c r="AA24"/>
    </row>
    <row r="25" spans="2:27" s="23" customFormat="1" ht="18" hidden="1" customHeight="1" outlineLevel="1" x14ac:dyDescent="0.35">
      <c r="B25"/>
      <c r="C25" s="2"/>
      <c r="D25" s="32" t="s">
        <v>21</v>
      </c>
      <c r="E25" s="33">
        <v>2026</v>
      </c>
      <c r="F25" s="34">
        <v>106599.3830819998</v>
      </c>
      <c r="G25" s="34">
        <v>104831.29568278702</v>
      </c>
      <c r="H25" s="34">
        <v>107263.69162873289</v>
      </c>
      <c r="I25" s="34">
        <v>111037.73976999977</v>
      </c>
      <c r="J25" s="34">
        <v>111619.427281853</v>
      </c>
      <c r="K25" s="35">
        <f t="shared" si="13"/>
        <v>541351.53744537244</v>
      </c>
      <c r="L25" s="34">
        <v>115609.77747591944</v>
      </c>
      <c r="M25" s="34">
        <v>117485.00979709749</v>
      </c>
      <c r="N25" s="34">
        <v>119733.09050762582</v>
      </c>
      <c r="O25" s="34">
        <v>133736.62382290288</v>
      </c>
      <c r="P25" s="34">
        <v>124435.70236204444</v>
      </c>
      <c r="Q25" s="34">
        <v>125402.4549232159</v>
      </c>
      <c r="R25" s="36">
        <v>126468.53841009698</v>
      </c>
      <c r="S25" s="37">
        <f t="shared" si="14"/>
        <v>1404222.7347442755</v>
      </c>
      <c r="T25" s="2"/>
      <c r="U25" s="38">
        <f>SUM(F25:G25,H25)</f>
        <v>318694.3703935197</v>
      </c>
      <c r="V25" s="38">
        <f>SUM(I25,J25,L25)</f>
        <v>338266.9445277722</v>
      </c>
      <c r="W25" s="38">
        <f t="shared" si="15"/>
        <v>370954.72412762616</v>
      </c>
      <c r="X25" s="39">
        <f t="shared" si="16"/>
        <v>376306.69569535728</v>
      </c>
      <c r="Y25" s="40">
        <f t="shared" si="17"/>
        <v>1404222.7347442755</v>
      </c>
      <c r="AA25"/>
    </row>
    <row r="26" spans="2:27" s="23" customFormat="1" ht="18" hidden="1" customHeight="1" outlineLevel="1" x14ac:dyDescent="0.35">
      <c r="B26"/>
      <c r="C26" s="2"/>
      <c r="D26" s="41" t="s">
        <v>19</v>
      </c>
      <c r="E26" s="42">
        <v>2026</v>
      </c>
      <c r="F26" s="43">
        <f>F15</f>
        <v>106599.3830819998</v>
      </c>
      <c r="G26" s="43">
        <f>G15</f>
        <v>104831.29568278702</v>
      </c>
      <c r="H26" s="43">
        <f>H15</f>
        <v>107263.69162873289</v>
      </c>
      <c r="I26" s="44">
        <v>111037.73976999977</v>
      </c>
      <c r="J26" s="44">
        <v>113734.66817912509</v>
      </c>
      <c r="K26" s="45">
        <f t="shared" si="13"/>
        <v>543466.77834264457</v>
      </c>
      <c r="L26" s="46">
        <f>L25</f>
        <v>115609.77747591944</v>
      </c>
      <c r="M26" s="46">
        <f t="shared" ref="M26:R26" si="19">M25</f>
        <v>117485.00979709749</v>
      </c>
      <c r="N26" s="46">
        <f t="shared" si="19"/>
        <v>119733.09050762582</v>
      </c>
      <c r="O26" s="46">
        <f t="shared" si="19"/>
        <v>133736.62382290288</v>
      </c>
      <c r="P26" s="46">
        <f t="shared" si="19"/>
        <v>124435.70236204444</v>
      </c>
      <c r="Q26" s="46">
        <f t="shared" si="19"/>
        <v>125402.4549232159</v>
      </c>
      <c r="R26" s="46">
        <f t="shared" si="19"/>
        <v>126468.53841009698</v>
      </c>
      <c r="S26" s="47">
        <f t="shared" si="14"/>
        <v>1406337.9756415477</v>
      </c>
      <c r="T26" s="2"/>
      <c r="U26" s="44">
        <f>SUM(F26:G26,H26)</f>
        <v>318694.3703935197</v>
      </c>
      <c r="V26" s="44">
        <f>SUM(I26,J26,L26)</f>
        <v>340382.18542504433</v>
      </c>
      <c r="W26" s="44">
        <f t="shared" si="15"/>
        <v>370954.72412762616</v>
      </c>
      <c r="X26" s="48">
        <f t="shared" si="16"/>
        <v>376306.69569535728</v>
      </c>
      <c r="Y26" s="49">
        <f t="shared" si="17"/>
        <v>1406337.9756415475</v>
      </c>
    </row>
    <row r="27" spans="2:27" s="23" customFormat="1" ht="17.5" hidden="1" customHeight="1" outlineLevel="1" x14ac:dyDescent="0.35">
      <c r="B27"/>
      <c r="C27" s="51"/>
      <c r="D27" s="32" t="s">
        <v>22</v>
      </c>
      <c r="E27" s="32"/>
      <c r="F27" s="52">
        <f>F23/F22-1</f>
        <v>0.31266684178345838</v>
      </c>
      <c r="G27" s="52">
        <f t="shared" ref="G27:S27" si="20">G23/G22-1</f>
        <v>0.30620335889773509</v>
      </c>
      <c r="H27" s="53">
        <f t="shared" si="20"/>
        <v>0.26499765084336113</v>
      </c>
      <c r="I27" s="53">
        <f t="shared" si="20"/>
        <v>0.24175539171085747</v>
      </c>
      <c r="J27" s="53">
        <f t="shared" si="20"/>
        <v>0.24409793781771816</v>
      </c>
      <c r="K27" s="54">
        <f>K23/K22-1</f>
        <v>0.27284247000017081</v>
      </c>
      <c r="L27" s="53">
        <f t="shared" si="20"/>
        <v>0.17479185445937895</v>
      </c>
      <c r="M27" s="53">
        <f t="shared" si="20"/>
        <v>0.11862042648950522</v>
      </c>
      <c r="N27" s="53">
        <f t="shared" si="20"/>
        <v>0.20436031521088593</v>
      </c>
      <c r="O27" s="53">
        <f t="shared" si="20"/>
        <v>0.24258540955017138</v>
      </c>
      <c r="P27" s="53">
        <f t="shared" si="20"/>
        <v>0.22504461238458373</v>
      </c>
      <c r="Q27" s="53">
        <f t="shared" si="20"/>
        <v>0.23935640519753631</v>
      </c>
      <c r="R27" s="55">
        <f t="shared" si="20"/>
        <v>0.22911177857106546</v>
      </c>
      <c r="S27" s="56">
        <f t="shared" si="20"/>
        <v>0.23133772997318935</v>
      </c>
      <c r="T27" s="2"/>
      <c r="U27" s="52">
        <f t="shared" ref="U27:Y27" si="21">U23/U22-1</f>
        <v>0.29418730960769257</v>
      </c>
      <c r="V27" s="52">
        <f t="shared" si="21"/>
        <v>0.219497591069854</v>
      </c>
      <c r="W27" s="52">
        <f t="shared" si="21"/>
        <v>0.18847852409013299</v>
      </c>
      <c r="X27" s="57">
        <f t="shared" si="21"/>
        <v>0.23103168184875145</v>
      </c>
      <c r="Y27" s="58">
        <f t="shared" si="21"/>
        <v>0.23133772997318935</v>
      </c>
    </row>
    <row r="28" spans="2:27" s="23" customFormat="1" ht="17.5" hidden="1" customHeight="1" outlineLevel="1" x14ac:dyDescent="0.35">
      <c r="B28"/>
      <c r="C28" s="51"/>
      <c r="D28" s="24" t="s">
        <v>23</v>
      </c>
      <c r="E28" s="24"/>
      <c r="F28" s="59">
        <f>F26/F23-1</f>
        <v>0.16689730871046216</v>
      </c>
      <c r="G28" s="59">
        <f t="shared" ref="G28:S28" si="22">G26/G23-1</f>
        <v>0.15691911777464096</v>
      </c>
      <c r="H28" s="60">
        <f t="shared" si="22"/>
        <v>0.16770972166275033</v>
      </c>
      <c r="I28" s="60">
        <f t="shared" si="22"/>
        <v>0.19979790254713259</v>
      </c>
      <c r="J28" s="60">
        <f t="shared" si="22"/>
        <v>0.19487333278738062</v>
      </c>
      <c r="K28" s="61">
        <f>K26/K23-1</f>
        <v>0.17746643372343951</v>
      </c>
      <c r="L28" s="59">
        <f t="shared" si="22"/>
        <v>0.2424199095806765</v>
      </c>
      <c r="M28" s="59">
        <f t="shared" si="22"/>
        <v>0.28595388731450533</v>
      </c>
      <c r="N28" s="59">
        <f t="shared" si="22"/>
        <v>0.21693105698310111</v>
      </c>
      <c r="O28" s="59">
        <f t="shared" si="22"/>
        <v>0.32109402970364931</v>
      </c>
      <c r="P28" s="59">
        <f t="shared" si="22"/>
        <v>0.13595374976133945</v>
      </c>
      <c r="Q28" s="59">
        <f t="shared" si="22"/>
        <v>0.21438211538097218</v>
      </c>
      <c r="R28" s="62">
        <f t="shared" si="22"/>
        <v>0.24821798219799307</v>
      </c>
      <c r="S28" s="63">
        <f t="shared" si="22"/>
        <v>0.21265712630480338</v>
      </c>
      <c r="T28" s="2"/>
      <c r="U28" s="59">
        <f t="shared" ref="U28:Y28" si="23">U26/U23-1</f>
        <v>0.16386790562046705</v>
      </c>
      <c r="V28" s="59">
        <f t="shared" si="23"/>
        <v>0.21225342293593252</v>
      </c>
      <c r="W28" s="59">
        <f t="shared" si="23"/>
        <v>0.27484040271146681</v>
      </c>
      <c r="X28" s="64">
        <f t="shared" si="23"/>
        <v>0.19794591637105774</v>
      </c>
      <c r="Y28" s="65">
        <f t="shared" si="23"/>
        <v>0.21265712630480316</v>
      </c>
    </row>
    <row r="29" spans="2:27" s="23" customFormat="1" ht="17.5" hidden="1" customHeight="1" outlineLevel="1" x14ac:dyDescent="0.35">
      <c r="B29"/>
      <c r="C29" s="51"/>
      <c r="D29" s="32" t="s">
        <v>24</v>
      </c>
      <c r="E29" s="32"/>
      <c r="F29" s="52">
        <f>F26/F24-1</f>
        <v>2.0549170889127222E-2</v>
      </c>
      <c r="G29" s="52">
        <f t="shared" ref="G29:S29" si="24">G26/G24-1</f>
        <v>2.3043875883952403E-3</v>
      </c>
      <c r="H29" s="53">
        <f t="shared" si="24"/>
        <v>-1.5731968059285895E-2</v>
      </c>
      <c r="I29" s="53">
        <f t="shared" si="24"/>
        <v>3.9249233313589649E-3</v>
      </c>
      <c r="J29" s="53">
        <f t="shared" si="24"/>
        <v>5.8715276752321355E-3</v>
      </c>
      <c r="K29" s="54">
        <f>K26/K24-1</f>
        <v>3.269375195259494E-3</v>
      </c>
      <c r="L29" s="53">
        <f t="shared" si="24"/>
        <v>-2.1663335712022502E-2</v>
      </c>
      <c r="M29" s="53">
        <f t="shared" si="24"/>
        <v>-2.1285068912330396E-2</v>
      </c>
      <c r="N29" s="53">
        <f t="shared" si="24"/>
        <v>-1.2250777241590849E-2</v>
      </c>
      <c r="O29" s="53">
        <f t="shared" si="24"/>
        <v>-1.0131890751564621E-2</v>
      </c>
      <c r="P29" s="53">
        <f t="shared" si="24"/>
        <v>-7.8508329340231109E-3</v>
      </c>
      <c r="Q29" s="53">
        <f t="shared" si="24"/>
        <v>-4.8092485566966214E-3</v>
      </c>
      <c r="R29" s="55">
        <f t="shared" si="24"/>
        <v>-1.2587368397141141E-3</v>
      </c>
      <c r="S29" s="56">
        <f t="shared" si="24"/>
        <v>-5.6197594192083367E-3</v>
      </c>
      <c r="T29" s="2"/>
      <c r="U29" s="52">
        <f t="shared" ref="U29:Y29" si="25">U26/U24-1</f>
        <v>2.1162030531514109E-3</v>
      </c>
      <c r="V29" s="52">
        <f t="shared" si="25"/>
        <v>-4.2766321049995115E-3</v>
      </c>
      <c r="W29" s="52">
        <f t="shared" si="25"/>
        <v>-1.4371608371286482E-2</v>
      </c>
      <c r="X29" s="57">
        <f t="shared" si="25"/>
        <v>-4.6290709746205083E-3</v>
      </c>
      <c r="Y29" s="58">
        <f t="shared" si="25"/>
        <v>-5.6197594192085587E-3</v>
      </c>
    </row>
    <row r="30" spans="2:27" s="23" customFormat="1" ht="17.5" hidden="1" customHeight="1" outlineLevel="1" x14ac:dyDescent="0.35">
      <c r="B30"/>
      <c r="C30" s="51"/>
      <c r="D30" s="24" t="s">
        <v>25</v>
      </c>
      <c r="E30" s="24"/>
      <c r="F30" s="59">
        <f>F26/F25-1</f>
        <v>0</v>
      </c>
      <c r="G30" s="59">
        <f t="shared" ref="G30:Y30" si="26">G26/G25-1</f>
        <v>0</v>
      </c>
      <c r="H30" s="60">
        <f t="shared" si="26"/>
        <v>0</v>
      </c>
      <c r="I30" s="60">
        <f t="shared" si="26"/>
        <v>0</v>
      </c>
      <c r="J30" s="60">
        <f t="shared" si="26"/>
        <v>1.8950472590500311E-2</v>
      </c>
      <c r="K30" s="61">
        <f t="shared" si="26"/>
        <v>3.9073333147883194E-3</v>
      </c>
      <c r="L30" s="59">
        <f t="shared" si="26"/>
        <v>0</v>
      </c>
      <c r="M30" s="59">
        <f t="shared" si="26"/>
        <v>0</v>
      </c>
      <c r="N30" s="59">
        <f t="shared" si="26"/>
        <v>0</v>
      </c>
      <c r="O30" s="59">
        <f t="shared" si="26"/>
        <v>0</v>
      </c>
      <c r="P30" s="59">
        <f t="shared" si="26"/>
        <v>0</v>
      </c>
      <c r="Q30" s="59">
        <f t="shared" si="26"/>
        <v>0</v>
      </c>
      <c r="R30" s="62">
        <f t="shared" si="26"/>
        <v>0</v>
      </c>
      <c r="S30" s="63">
        <f t="shared" si="26"/>
        <v>1.5063428649426669E-3</v>
      </c>
      <c r="T30" s="2"/>
      <c r="U30" s="59">
        <f t="shared" si="26"/>
        <v>0</v>
      </c>
      <c r="V30" s="59">
        <f t="shared" si="26"/>
        <v>6.2531705550628036E-3</v>
      </c>
      <c r="W30" s="59">
        <f t="shared" si="26"/>
        <v>0</v>
      </c>
      <c r="X30" s="64">
        <f t="shared" si="26"/>
        <v>0</v>
      </c>
      <c r="Y30" s="65">
        <f t="shared" si="26"/>
        <v>1.5063428649424448E-3</v>
      </c>
    </row>
    <row r="31" spans="2:27" ht="17.149999999999999" hidden="1" customHeight="1" outlineLevel="1" x14ac:dyDescent="0.35">
      <c r="C31" s="7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70"/>
      <c r="S31" s="66"/>
    </row>
    <row r="32" spans="2:27" s="23" customFormat="1" ht="17.5" customHeight="1" collapsed="1" x14ac:dyDescent="0.35">
      <c r="B32"/>
      <c r="C32" s="71" t="s">
        <v>27</v>
      </c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2"/>
      <c r="S32" s="71"/>
      <c r="T32" s="2"/>
      <c r="U32" s="71"/>
      <c r="V32" s="71"/>
      <c r="W32" s="71"/>
      <c r="X32" s="71"/>
      <c r="Y32" s="71"/>
    </row>
    <row r="33" spans="2:28" s="23" customFormat="1" ht="18" customHeight="1" x14ac:dyDescent="0.35">
      <c r="B33"/>
      <c r="C33" s="2"/>
      <c r="D33" s="24" t="s">
        <v>19</v>
      </c>
      <c r="E33" s="25">
        <v>2024</v>
      </c>
      <c r="F33" s="26">
        <v>74899.300580333656</v>
      </c>
      <c r="G33" s="26">
        <v>74515.060782966975</v>
      </c>
      <c r="H33" s="26">
        <v>78804.549912753791</v>
      </c>
      <c r="I33" s="26">
        <v>80191.124548975306</v>
      </c>
      <c r="J33" s="26">
        <v>81204.579035890318</v>
      </c>
      <c r="K33" s="28">
        <f>SUM(F33:J33)</f>
        <v>389614.61486092012</v>
      </c>
      <c r="L33" s="27">
        <v>83717.444703141984</v>
      </c>
      <c r="M33" s="27">
        <v>86214.597876624422</v>
      </c>
      <c r="N33" s="27">
        <v>86675.376841888574</v>
      </c>
      <c r="O33" s="27">
        <v>87309.390713673478</v>
      </c>
      <c r="P33" s="26">
        <v>94903.091077730176</v>
      </c>
      <c r="Q33" s="26">
        <v>89241.923539585099</v>
      </c>
      <c r="R33" s="27">
        <v>84295.322930173512</v>
      </c>
      <c r="S33" s="29">
        <f>SUM(K33:R33)</f>
        <v>1001971.7625437372</v>
      </c>
      <c r="T33" s="2"/>
      <c r="U33" s="26">
        <f>SUM(F33:G33,H33)</f>
        <v>228218.91127605445</v>
      </c>
      <c r="V33" s="26">
        <f>SUM(I33,J33,L33)</f>
        <v>245113.14828800759</v>
      </c>
      <c r="W33" s="26">
        <f>SUM(M33:O33)</f>
        <v>260199.36543218646</v>
      </c>
      <c r="X33" s="30">
        <f>SUM(P33:R33)</f>
        <v>268440.33754748874</v>
      </c>
      <c r="Y33" s="31">
        <f>SUM(U33:X33)</f>
        <v>1001971.7625437372</v>
      </c>
      <c r="AA33"/>
    </row>
    <row r="34" spans="2:28" s="23" customFormat="1" ht="17.5" customHeight="1" x14ac:dyDescent="0.35">
      <c r="B34"/>
      <c r="C34" s="2"/>
      <c r="D34" s="32" t="s">
        <v>19</v>
      </c>
      <c r="E34" s="33">
        <v>2025</v>
      </c>
      <c r="F34" s="34">
        <f>92754.4230211031</f>
        <v>92754.423021103095</v>
      </c>
      <c r="G34" s="34">
        <v>91911.149220833526</v>
      </c>
      <c r="H34" s="34">
        <v>93355.650655873804</v>
      </c>
      <c r="I34" s="34">
        <v>94307.257445217489</v>
      </c>
      <c r="J34" s="34">
        <v>96658.286418840013</v>
      </c>
      <c r="K34" s="35">
        <f t="shared" ref="K34:K37" si="27">SUM(F34:J34)</f>
        <v>468986.76676186797</v>
      </c>
      <c r="L34" s="34">
        <v>95038.411755639536</v>
      </c>
      <c r="M34" s="34">
        <v>92539.742046860541</v>
      </c>
      <c r="N34" s="34">
        <v>99290.606279875108</v>
      </c>
      <c r="O34" s="34">
        <v>102168.911975953</v>
      </c>
      <c r="P34" s="34">
        <v>110453.79501498681</v>
      </c>
      <c r="Q34" s="34">
        <v>103264.41186419732</v>
      </c>
      <c r="R34" s="36">
        <v>101319.27292651073</v>
      </c>
      <c r="S34" s="37">
        <f t="shared" ref="S34:S37" si="28">SUM(K34:R34)</f>
        <v>1173061.918625891</v>
      </c>
      <c r="T34" s="2"/>
      <c r="U34" s="38">
        <f>SUM(F34:G34,H34)</f>
        <v>278021.22289781045</v>
      </c>
      <c r="V34" s="38">
        <f>SUM(I34,J34,L34)</f>
        <v>286003.95561969705</v>
      </c>
      <c r="W34" s="38">
        <f t="shared" ref="W34:W37" si="29">SUM(M34:O34)</f>
        <v>293999.26030268869</v>
      </c>
      <c r="X34" s="39">
        <f t="shared" ref="X34:X37" si="30">SUM(P34:R34)</f>
        <v>315037.47980569483</v>
      </c>
      <c r="Y34" s="40">
        <f t="shared" ref="Y34:Y37" si="31">SUM(U34:X34)</f>
        <v>1173061.918625891</v>
      </c>
    </row>
    <row r="35" spans="2:28" s="23" customFormat="1" ht="18" customHeight="1" x14ac:dyDescent="0.35">
      <c r="B35"/>
      <c r="C35" s="2"/>
      <c r="D35" s="24" t="s">
        <v>20</v>
      </c>
      <c r="E35" s="25">
        <v>2026</v>
      </c>
      <c r="F35" s="26">
        <f>F24</f>
        <v>104452.96132975917</v>
      </c>
      <c r="G35" s="26">
        <f t="shared" ref="G35:R35" si="32">G24</f>
        <v>104590.27914166618</v>
      </c>
      <c r="H35" s="26">
        <f t="shared" si="32"/>
        <v>108978.13212244381</v>
      </c>
      <c r="I35" s="26">
        <f t="shared" si="32"/>
        <v>110603.62900598122</v>
      </c>
      <c r="J35" s="26">
        <f t="shared" si="32"/>
        <v>113070.77002367128</v>
      </c>
      <c r="K35" s="28">
        <f t="shared" si="27"/>
        <v>541695.77162352169</v>
      </c>
      <c r="L35" s="27">
        <f t="shared" si="32"/>
        <v>118169.72796379756</v>
      </c>
      <c r="M35" s="27">
        <f t="shared" si="32"/>
        <v>120040.07098015104</v>
      </c>
      <c r="N35" s="27">
        <f t="shared" si="32"/>
        <v>121218.10652835209</v>
      </c>
      <c r="O35" s="27">
        <f t="shared" si="32"/>
        <v>135105.49796825295</v>
      </c>
      <c r="P35" s="26">
        <f t="shared" si="32"/>
        <v>125420.35662846008</v>
      </c>
      <c r="Q35" s="26">
        <f t="shared" si="32"/>
        <v>126008.4609320851</v>
      </c>
      <c r="R35" s="27">
        <f t="shared" si="32"/>
        <v>126627.92965008428</v>
      </c>
      <c r="S35" s="29">
        <f t="shared" si="28"/>
        <v>1414285.9222747048</v>
      </c>
      <c r="T35" s="2"/>
      <c r="U35" s="26">
        <f>SUM(F35:G35,H35)</f>
        <v>318021.37259386916</v>
      </c>
      <c r="V35" s="26">
        <f>SUM(I35,J35,L35)</f>
        <v>341844.12699345005</v>
      </c>
      <c r="W35" s="26">
        <f t="shared" si="29"/>
        <v>376363.67547675606</v>
      </c>
      <c r="X35" s="30">
        <f t="shared" si="30"/>
        <v>378056.74721062946</v>
      </c>
      <c r="Y35" s="31">
        <f t="shared" si="31"/>
        <v>1414285.9222747048</v>
      </c>
      <c r="AA35"/>
    </row>
    <row r="36" spans="2:28" s="23" customFormat="1" ht="18" customHeight="1" x14ac:dyDescent="0.35">
      <c r="B36"/>
      <c r="C36" s="2"/>
      <c r="D36" s="32" t="s">
        <v>21</v>
      </c>
      <c r="E36" s="33">
        <v>2026</v>
      </c>
      <c r="F36" s="34">
        <v>106599.3830819998</v>
      </c>
      <c r="G36" s="34">
        <v>104831.29568278702</v>
      </c>
      <c r="H36" s="34">
        <v>107263.69162873289</v>
      </c>
      <c r="I36" s="34">
        <v>111037.73976999977</v>
      </c>
      <c r="J36" s="34">
        <v>111619.42728185341</v>
      </c>
      <c r="K36" s="35">
        <f t="shared" si="27"/>
        <v>541351.5374453729</v>
      </c>
      <c r="L36" s="34">
        <v>115609.77747591944</v>
      </c>
      <c r="M36" s="34">
        <v>117485.00979709749</v>
      </c>
      <c r="N36" s="34">
        <v>119733.09050762582</v>
      </c>
      <c r="O36" s="34">
        <v>133736.62382290288</v>
      </c>
      <c r="P36" s="34">
        <v>124435.70236204444</v>
      </c>
      <c r="Q36" s="34">
        <v>125402.4549232159</v>
      </c>
      <c r="R36" s="36">
        <v>126468.53841009698</v>
      </c>
      <c r="S36" s="37">
        <f t="shared" si="28"/>
        <v>1404222.7347442759</v>
      </c>
      <c r="T36" s="2"/>
      <c r="U36" s="38">
        <f>SUM(F36:G36,H36)</f>
        <v>318694.3703935197</v>
      </c>
      <c r="V36" s="38">
        <f>SUM(I36,J36,L36)</f>
        <v>338266.9445277726</v>
      </c>
      <c r="W36" s="38">
        <f t="shared" si="29"/>
        <v>370954.72412762616</v>
      </c>
      <c r="X36" s="39">
        <f t="shared" si="30"/>
        <v>376306.69569535728</v>
      </c>
      <c r="Y36" s="40">
        <f t="shared" si="31"/>
        <v>1404222.7347442757</v>
      </c>
      <c r="AA36"/>
    </row>
    <row r="37" spans="2:28" s="23" customFormat="1" ht="18" customHeight="1" x14ac:dyDescent="0.35">
      <c r="B37"/>
      <c r="C37" s="2"/>
      <c r="D37" s="41" t="s">
        <v>19</v>
      </c>
      <c r="E37" s="42">
        <v>2026</v>
      </c>
      <c r="F37" s="43">
        <f>F15</f>
        <v>106599.3830819998</v>
      </c>
      <c r="G37" s="43">
        <f>G26</f>
        <v>104831.29568278702</v>
      </c>
      <c r="H37" s="43">
        <f>H26</f>
        <v>107263.69162873289</v>
      </c>
      <c r="I37" s="44">
        <f>I26</f>
        <v>111037.73976999977</v>
      </c>
      <c r="J37" s="44">
        <f>J26</f>
        <v>113734.66817912509</v>
      </c>
      <c r="K37" s="45">
        <f t="shared" si="27"/>
        <v>543466.77834264457</v>
      </c>
      <c r="L37" s="46">
        <f>L36</f>
        <v>115609.77747591944</v>
      </c>
      <c r="M37" s="46">
        <f t="shared" ref="M37:R37" si="33">M36</f>
        <v>117485.00979709749</v>
      </c>
      <c r="N37" s="46">
        <f t="shared" si="33"/>
        <v>119733.09050762582</v>
      </c>
      <c r="O37" s="46">
        <f t="shared" si="33"/>
        <v>133736.62382290288</v>
      </c>
      <c r="P37" s="46">
        <f t="shared" si="33"/>
        <v>124435.70236204444</v>
      </c>
      <c r="Q37" s="46">
        <f t="shared" si="33"/>
        <v>125402.4549232159</v>
      </c>
      <c r="R37" s="46">
        <f t="shared" si="33"/>
        <v>126468.53841009698</v>
      </c>
      <c r="S37" s="47">
        <f t="shared" si="28"/>
        <v>1406337.9756415477</v>
      </c>
      <c r="T37" s="2"/>
      <c r="U37" s="44">
        <f>SUM(F37:G37,H37)</f>
        <v>318694.3703935197</v>
      </c>
      <c r="V37" s="44">
        <f>SUM(I37,J37,L37)</f>
        <v>340382.18542504433</v>
      </c>
      <c r="W37" s="44">
        <f t="shared" si="29"/>
        <v>370954.72412762616</v>
      </c>
      <c r="X37" s="48">
        <f t="shared" si="30"/>
        <v>376306.69569535728</v>
      </c>
      <c r="Y37" s="49">
        <f t="shared" si="31"/>
        <v>1406337.9756415475</v>
      </c>
    </row>
    <row r="38" spans="2:28" s="23" customFormat="1" ht="17.5" customHeight="1" x14ac:dyDescent="0.35">
      <c r="B38"/>
      <c r="C38" s="51"/>
      <c r="D38" s="32" t="s">
        <v>22</v>
      </c>
      <c r="E38" s="32"/>
      <c r="F38" s="52">
        <f>F34/F33-1</f>
        <v>0.23838837348846575</v>
      </c>
      <c r="G38" s="52">
        <f t="shared" ref="G38:S38" si="34">G34/G33-1</f>
        <v>0.23345734748220237</v>
      </c>
      <c r="H38" s="53">
        <f t="shared" si="34"/>
        <v>0.18464797729610605</v>
      </c>
      <c r="I38" s="53">
        <f t="shared" si="34"/>
        <v>0.17603111286487838</v>
      </c>
      <c r="J38" s="53">
        <f t="shared" si="34"/>
        <v>0.19030586164506258</v>
      </c>
      <c r="K38" s="54">
        <f>K34/K33-1</f>
        <v>0.20371964724496072</v>
      </c>
      <c r="L38" s="53">
        <f t="shared" si="34"/>
        <v>0.13522829193653907</v>
      </c>
      <c r="M38" s="53">
        <f t="shared" si="34"/>
        <v>7.3365118274837604E-2</v>
      </c>
      <c r="N38" s="53">
        <f t="shared" si="34"/>
        <v>0.14554571203075328</v>
      </c>
      <c r="O38" s="53">
        <f t="shared" si="34"/>
        <v>0.17019384903292401</v>
      </c>
      <c r="P38" s="53">
        <f t="shared" si="34"/>
        <v>0.16385877172872965</v>
      </c>
      <c r="Q38" s="53">
        <f t="shared" si="34"/>
        <v>0.15712893412020934</v>
      </c>
      <c r="R38" s="55">
        <f t="shared" si="34"/>
        <v>0.20195604458908245</v>
      </c>
      <c r="S38" s="56">
        <f t="shared" si="34"/>
        <v>0.17075347078424818</v>
      </c>
      <c r="T38" s="2"/>
      <c r="U38" s="52">
        <f t="shared" ref="U38:Y38" si="35">U34/U33-1</f>
        <v>0.21822166858694247</v>
      </c>
      <c r="V38" s="52">
        <f t="shared" si="35"/>
        <v>0.16682421003235137</v>
      </c>
      <c r="W38" s="52">
        <f t="shared" si="35"/>
        <v>0.12989998962665106</v>
      </c>
      <c r="X38" s="57">
        <f t="shared" si="35"/>
        <v>0.17358472532080893</v>
      </c>
      <c r="Y38" s="58">
        <f t="shared" si="35"/>
        <v>0.17075347078424818</v>
      </c>
    </row>
    <row r="39" spans="2:28" s="23" customFormat="1" ht="17.5" customHeight="1" x14ac:dyDescent="0.35">
      <c r="B39"/>
      <c r="C39" s="51"/>
      <c r="D39" s="24" t="s">
        <v>23</v>
      </c>
      <c r="E39" s="24"/>
      <c r="F39" s="59">
        <f>F37/F34-1</f>
        <v>0.1492646885178377</v>
      </c>
      <c r="G39" s="59">
        <f t="shared" ref="G39:S39" si="36">G37/G34-1</f>
        <v>0.14057213484416842</v>
      </c>
      <c r="H39" s="60">
        <f t="shared" si="36"/>
        <v>0.14897910169494399</v>
      </c>
      <c r="I39" s="60">
        <f t="shared" si="36"/>
        <v>0.17740397481605186</v>
      </c>
      <c r="J39" s="60">
        <f t="shared" si="36"/>
        <v>0.1766675408075169</v>
      </c>
      <c r="K39" s="61">
        <f>K37/K34-1</f>
        <v>0.15881047581582286</v>
      </c>
      <c r="L39" s="59">
        <f t="shared" si="36"/>
        <v>0.21645317235700978</v>
      </c>
      <c r="M39" s="59">
        <f t="shared" si="36"/>
        <v>0.26956275432024746</v>
      </c>
      <c r="N39" s="59">
        <f t="shared" si="36"/>
        <v>0.20588538023555336</v>
      </c>
      <c r="O39" s="59">
        <f t="shared" si="36"/>
        <v>0.30897570734999924</v>
      </c>
      <c r="P39" s="59">
        <f t="shared" si="36"/>
        <v>0.12658602943575192</v>
      </c>
      <c r="Q39" s="59">
        <f t="shared" si="36"/>
        <v>0.21438211538097218</v>
      </c>
      <c r="R39" s="62">
        <f t="shared" si="36"/>
        <v>0.24821798219799307</v>
      </c>
      <c r="S39" s="63">
        <f t="shared" si="36"/>
        <v>0.19886082167675623</v>
      </c>
      <c r="T39" s="2"/>
      <c r="U39" s="59">
        <f t="shared" ref="U39:Y39" si="37">U37/U34-1</f>
        <v>0.14629511758769254</v>
      </c>
      <c r="V39" s="59">
        <f t="shared" si="37"/>
        <v>0.19013104097642164</v>
      </c>
      <c r="W39" s="59">
        <f t="shared" si="37"/>
        <v>0.26175393688306392</v>
      </c>
      <c r="X39" s="64">
        <f t="shared" si="37"/>
        <v>0.1944823070812125</v>
      </c>
      <c r="Y39" s="65">
        <f t="shared" si="37"/>
        <v>0.19886082167675601</v>
      </c>
    </row>
    <row r="40" spans="2:28" s="23" customFormat="1" ht="17.5" customHeight="1" x14ac:dyDescent="0.35">
      <c r="B40"/>
      <c r="C40" s="51"/>
      <c r="D40" s="32" t="s">
        <v>24</v>
      </c>
      <c r="E40" s="32"/>
      <c r="F40" s="52">
        <f>F37/F35-1</f>
        <v>2.0549170889127222E-2</v>
      </c>
      <c r="G40" s="52">
        <f t="shared" ref="G40:S40" si="38">G37/G35-1</f>
        <v>2.3043875883952403E-3</v>
      </c>
      <c r="H40" s="53">
        <f t="shared" si="38"/>
        <v>-1.5731968059285895E-2</v>
      </c>
      <c r="I40" s="53">
        <f t="shared" si="38"/>
        <v>3.9249233313589649E-3</v>
      </c>
      <c r="J40" s="53">
        <f t="shared" si="38"/>
        <v>5.8715276752321355E-3</v>
      </c>
      <c r="K40" s="54">
        <f>K37/K35-1</f>
        <v>3.269375195259494E-3</v>
      </c>
      <c r="L40" s="53">
        <f t="shared" si="38"/>
        <v>-2.1663335712022502E-2</v>
      </c>
      <c r="M40" s="53">
        <f t="shared" si="38"/>
        <v>-2.1285068912330396E-2</v>
      </c>
      <c r="N40" s="53">
        <f t="shared" si="38"/>
        <v>-1.2250777241590849E-2</v>
      </c>
      <c r="O40" s="53">
        <f t="shared" si="38"/>
        <v>-1.0131890751564621E-2</v>
      </c>
      <c r="P40" s="53">
        <f t="shared" si="38"/>
        <v>-7.8508329340231109E-3</v>
      </c>
      <c r="Q40" s="53">
        <f t="shared" si="38"/>
        <v>-4.8092485566966214E-3</v>
      </c>
      <c r="R40" s="55">
        <f t="shared" si="38"/>
        <v>-1.2587368397141141E-3</v>
      </c>
      <c r="S40" s="56">
        <f t="shared" si="38"/>
        <v>-5.6197594192083367E-3</v>
      </c>
      <c r="T40" s="2"/>
      <c r="U40" s="52">
        <f t="shared" ref="U40:Y40" si="39">U37/U35-1</f>
        <v>2.1162030531514109E-3</v>
      </c>
      <c r="V40" s="52">
        <f t="shared" si="39"/>
        <v>-4.2766321049995115E-3</v>
      </c>
      <c r="W40" s="52">
        <f t="shared" si="39"/>
        <v>-1.4371608371286482E-2</v>
      </c>
      <c r="X40" s="57">
        <f t="shared" si="39"/>
        <v>-4.6290709746205083E-3</v>
      </c>
      <c r="Y40" s="58">
        <f t="shared" si="39"/>
        <v>-5.6197594192085587E-3</v>
      </c>
    </row>
    <row r="41" spans="2:28" s="23" customFormat="1" ht="17.5" customHeight="1" x14ac:dyDescent="0.35">
      <c r="B41"/>
      <c r="C41" s="51"/>
      <c r="D41" s="24" t="s">
        <v>25</v>
      </c>
      <c r="E41" s="24"/>
      <c r="F41" s="59">
        <f>F37/F36-1</f>
        <v>0</v>
      </c>
      <c r="G41" s="59">
        <f t="shared" ref="G41:Y41" si="40">G37/G36-1</f>
        <v>0</v>
      </c>
      <c r="H41" s="60">
        <f t="shared" si="40"/>
        <v>0</v>
      </c>
      <c r="I41" s="60">
        <f t="shared" si="40"/>
        <v>0</v>
      </c>
      <c r="J41" s="60">
        <f t="shared" si="40"/>
        <v>1.8950472590496537E-2</v>
      </c>
      <c r="K41" s="61">
        <f t="shared" si="40"/>
        <v>3.9073333147874312E-3</v>
      </c>
      <c r="L41" s="59">
        <f t="shared" si="40"/>
        <v>0</v>
      </c>
      <c r="M41" s="59">
        <f t="shared" si="40"/>
        <v>0</v>
      </c>
      <c r="N41" s="59">
        <f t="shared" si="40"/>
        <v>0</v>
      </c>
      <c r="O41" s="59">
        <f t="shared" si="40"/>
        <v>0</v>
      </c>
      <c r="P41" s="59">
        <f t="shared" si="40"/>
        <v>0</v>
      </c>
      <c r="Q41" s="59">
        <f t="shared" si="40"/>
        <v>0</v>
      </c>
      <c r="R41" s="62">
        <f t="shared" si="40"/>
        <v>0</v>
      </c>
      <c r="S41" s="63">
        <f t="shared" si="40"/>
        <v>1.5063428649422228E-3</v>
      </c>
      <c r="T41" s="2"/>
      <c r="U41" s="59">
        <f t="shared" si="40"/>
        <v>0</v>
      </c>
      <c r="V41" s="59">
        <f t="shared" si="40"/>
        <v>6.2531705550616934E-3</v>
      </c>
      <c r="W41" s="59">
        <f t="shared" si="40"/>
        <v>0</v>
      </c>
      <c r="X41" s="64">
        <f t="shared" si="40"/>
        <v>0</v>
      </c>
      <c r="Y41" s="65">
        <f t="shared" si="40"/>
        <v>1.5063428649422228E-3</v>
      </c>
    </row>
    <row r="42" spans="2:28" ht="14.5" customHeight="1" x14ac:dyDescent="0.35">
      <c r="C42" s="7"/>
      <c r="F42" s="66"/>
      <c r="G42" s="66"/>
      <c r="H42" s="66"/>
      <c r="I42" s="73"/>
      <c r="J42" s="73"/>
      <c r="K42" s="66"/>
      <c r="L42" s="66"/>
      <c r="M42" s="66"/>
      <c r="N42" s="67"/>
      <c r="O42" s="67"/>
      <c r="P42" s="67"/>
      <c r="Q42" s="67"/>
      <c r="R42" s="68"/>
      <c r="S42" s="74"/>
    </row>
    <row r="43" spans="2:28" ht="15.5" x14ac:dyDescent="0.35">
      <c r="C43" s="19" t="s">
        <v>28</v>
      </c>
      <c r="D43" s="20"/>
      <c r="E43" s="20"/>
      <c r="F43" s="20"/>
      <c r="G43" s="20"/>
      <c r="H43" s="20"/>
      <c r="I43" s="20"/>
      <c r="J43" s="20"/>
      <c r="K43" s="20"/>
      <c r="L43" s="21"/>
      <c r="M43" s="21"/>
      <c r="N43" s="20"/>
      <c r="O43" s="20"/>
      <c r="P43" s="20"/>
      <c r="Q43" s="20"/>
      <c r="R43" s="20"/>
      <c r="S43" s="21"/>
      <c r="U43" s="22"/>
      <c r="V43" s="22"/>
      <c r="W43" s="22"/>
      <c r="X43" s="22"/>
      <c r="Y43" s="22"/>
    </row>
    <row r="44" spans="2:28" s="23" customFormat="1" ht="18" customHeight="1" x14ac:dyDescent="0.35">
      <c r="B44"/>
      <c r="C44" s="2"/>
      <c r="D44" s="24" t="s">
        <v>19</v>
      </c>
      <c r="E44" s="25">
        <v>2024</v>
      </c>
      <c r="F44" s="26">
        <v>16979.872134633657</v>
      </c>
      <c r="G44" s="26">
        <v>12830.785577066992</v>
      </c>
      <c r="H44" s="26">
        <v>15086.515190871442</v>
      </c>
      <c r="I44" s="26">
        <v>14900.98849327537</v>
      </c>
      <c r="J44" s="26">
        <v>16517.668532525371</v>
      </c>
      <c r="K44" s="28">
        <f>SUM(F44:J44)</f>
        <v>76315.829928372841</v>
      </c>
      <c r="L44" s="27">
        <v>21271.892778542024</v>
      </c>
      <c r="M44" s="27">
        <v>19772.247063291914</v>
      </c>
      <c r="N44" s="27">
        <v>19885.520419408604</v>
      </c>
      <c r="O44" s="27">
        <v>23989.437878754245</v>
      </c>
      <c r="P44" s="26">
        <v>22055.599215274811</v>
      </c>
      <c r="Q44" s="26">
        <v>16363.686841375522</v>
      </c>
      <c r="R44" s="27">
        <v>11006.22706407537</v>
      </c>
      <c r="S44" s="29">
        <f>SUM(K44:R44)</f>
        <v>210660.44118909532</v>
      </c>
      <c r="T44" s="2"/>
      <c r="U44" s="26">
        <f>SUM(F44:G44,H44)</f>
        <v>44897.172902572092</v>
      </c>
      <c r="V44" s="26">
        <f>SUM(I44,J44,L44)</f>
        <v>52690.549804342765</v>
      </c>
      <c r="W44" s="26">
        <f>SUM(M44:O44)</f>
        <v>63647.205361454762</v>
      </c>
      <c r="X44" s="30">
        <f>SUM(P44:R44)</f>
        <v>49425.513120725707</v>
      </c>
      <c r="Y44" s="31">
        <f>SUM(U44:X44)</f>
        <v>210660.44118909532</v>
      </c>
      <c r="AA44"/>
    </row>
    <row r="45" spans="2:28" s="23" customFormat="1" ht="17.5" customHeight="1" x14ac:dyDescent="0.35">
      <c r="B45"/>
      <c r="C45" s="2"/>
      <c r="D45" s="32" t="s">
        <v>19</v>
      </c>
      <c r="E45" s="33">
        <v>2025</v>
      </c>
      <c r="F45" s="34">
        <v>19364.981561367629</v>
      </c>
      <c r="G45" s="34">
        <v>17234.53122542975</v>
      </c>
      <c r="H45" s="34">
        <v>18910.160879698833</v>
      </c>
      <c r="I45" s="34">
        <v>20957.210336936099</v>
      </c>
      <c r="J45" s="34">
        <v>22718.948932156654</v>
      </c>
      <c r="K45" s="35">
        <f t="shared" ref="K45:K48" si="41">SUM(F45:J45)</f>
        <v>99185.832935588958</v>
      </c>
      <c r="L45" s="34">
        <v>18698.385358586762</v>
      </c>
      <c r="M45" s="34">
        <v>11439.797544478592</v>
      </c>
      <c r="N45" s="34">
        <v>19030.364313401329</v>
      </c>
      <c r="O45" s="34">
        <v>23163.767366691784</v>
      </c>
      <c r="P45" s="34">
        <v>33582.397728025244</v>
      </c>
      <c r="Q45" s="34">
        <v>34781.384228360199</v>
      </c>
      <c r="R45" s="36">
        <f>24592.3715281149-1576.205</f>
        <v>23016.166528114903</v>
      </c>
      <c r="S45" s="37">
        <f t="shared" ref="S45:S48" si="42">SUM(K45:R45)</f>
        <v>262898.09600324777</v>
      </c>
      <c r="T45" s="2"/>
      <c r="U45" s="38">
        <f>SUM(F45:G45,H45)</f>
        <v>55509.673666496208</v>
      </c>
      <c r="V45" s="38">
        <f>SUM(I45,J45,L45)</f>
        <v>62374.544627679512</v>
      </c>
      <c r="W45" s="38">
        <f t="shared" ref="W45:W48" si="43">SUM(M45:O45)</f>
        <v>53633.929224571708</v>
      </c>
      <c r="X45" s="39">
        <f t="shared" ref="X45:X48" si="44">SUM(P45:R45)</f>
        <v>91379.948484500346</v>
      </c>
      <c r="Y45" s="40">
        <f t="shared" ref="Y45:Y48" si="45">SUM(U45:X45)</f>
        <v>262898.09600324777</v>
      </c>
    </row>
    <row r="46" spans="2:28" s="23" customFormat="1" ht="18" customHeight="1" x14ac:dyDescent="0.35">
      <c r="B46"/>
      <c r="C46" s="2"/>
      <c r="D46" s="24" t="s">
        <v>20</v>
      </c>
      <c r="E46" s="25">
        <v>2026</v>
      </c>
      <c r="F46" s="26">
        <f>F64-[1]Empillhado!F154</f>
        <v>16586.961332348001</v>
      </c>
      <c r="G46" s="26">
        <f>G64-[1]Empillhado!G154</f>
        <v>15577.279137665808</v>
      </c>
      <c r="H46" s="26">
        <f>H64-[1]Empillhado!H154</f>
        <v>15298.111089751937</v>
      </c>
      <c r="I46" s="26">
        <f>I64-[1]Empillhado!I154</f>
        <v>15977.408888212021</v>
      </c>
      <c r="J46" s="26">
        <f>J64-[1]Empillhado!J154</f>
        <v>17160.362516459252</v>
      </c>
      <c r="K46" s="28">
        <f t="shared" si="41"/>
        <v>80600.122964437018</v>
      </c>
      <c r="L46" s="27">
        <f>L64-[1]Empillhado!L154</f>
        <v>17877.244062639376</v>
      </c>
      <c r="M46" s="27">
        <f>M64-[1]Empillhado!M154</f>
        <v>21613.485243848678</v>
      </c>
      <c r="N46" s="27">
        <f>N64-[1]Empillhado!N154</f>
        <v>21353.102671690962</v>
      </c>
      <c r="O46" s="27">
        <f>O64-[1]Empillhado!O154</f>
        <v>28960.705873685056</v>
      </c>
      <c r="P46" s="26">
        <f>P64-[1]Empillhado!P154</f>
        <v>26936.868060708064</v>
      </c>
      <c r="Q46" s="26">
        <f>Q64-[1]Empillhado!Q154</f>
        <v>27232.027448284094</v>
      </c>
      <c r="R46" s="27">
        <f>R64-[1]Empillhado!R154</f>
        <v>25064.36594941224</v>
      </c>
      <c r="S46" s="29">
        <f t="shared" si="42"/>
        <v>249637.92227470549</v>
      </c>
      <c r="T46" s="2"/>
      <c r="U46" s="26">
        <f>SUM(F46:G46,H46)</f>
        <v>47462.351559765746</v>
      </c>
      <c r="V46" s="26">
        <f>SUM(I46,J46,L46)</f>
        <v>51015.015467310644</v>
      </c>
      <c r="W46" s="26">
        <f t="shared" si="43"/>
        <v>71927.293789224699</v>
      </c>
      <c r="X46" s="30">
        <f t="shared" si="44"/>
        <v>79233.261458404391</v>
      </c>
      <c r="Y46" s="31">
        <f t="shared" si="45"/>
        <v>249637.92227470549</v>
      </c>
      <c r="AA46"/>
    </row>
    <row r="47" spans="2:28" s="23" customFormat="1" ht="18" customHeight="1" x14ac:dyDescent="0.35">
      <c r="B47"/>
      <c r="C47" s="2"/>
      <c r="D47" s="32" t="s">
        <v>21</v>
      </c>
      <c r="E47" s="33">
        <v>2026</v>
      </c>
      <c r="F47" s="34">
        <f>F48</f>
        <v>22496.568074697767</v>
      </c>
      <c r="G47" s="34">
        <f t="shared" ref="G47:I47" si="46">G48</f>
        <v>21677.649170688626</v>
      </c>
      <c r="H47" s="34">
        <f t="shared" si="46"/>
        <v>21418.494532591951</v>
      </c>
      <c r="I47" s="34">
        <f t="shared" si="46"/>
        <v>28184.803782433108</v>
      </c>
      <c r="J47" s="34">
        <f>J65-[1]Empillhado!J155</f>
        <v>17728.989235090387</v>
      </c>
      <c r="K47" s="35">
        <f t="shared" si="41"/>
        <v>111506.50479550184</v>
      </c>
      <c r="L47" s="34">
        <f>L65-[1]Empillhado!L155</f>
        <v>17099.983355565186</v>
      </c>
      <c r="M47" s="34">
        <f>M65-[1]Empillhado!M155</f>
        <v>19481.630887379197</v>
      </c>
      <c r="N47" s="34">
        <f>N65-[1]Empillhado!N155</f>
        <v>20150.333689761494</v>
      </c>
      <c r="O47" s="34">
        <f>O65-[1]Empillhado!O155</f>
        <v>27841.227938651544</v>
      </c>
      <c r="P47" s="34">
        <f>P65-[1]Empillhado!P155</f>
        <v>26828.844807274687</v>
      </c>
      <c r="Q47" s="34">
        <f>Q65-[1]Empillhado!Q155</f>
        <v>27132.086344036114</v>
      </c>
      <c r="R47" s="36">
        <f>R65-[1]Empillhado!R155</f>
        <v>27181.863461632907</v>
      </c>
      <c r="S47" s="37">
        <f t="shared" si="42"/>
        <v>277222.47527980298</v>
      </c>
      <c r="T47" s="2"/>
      <c r="U47" s="38">
        <f>SUM(F47:G47,H47)</f>
        <v>65592.711777978344</v>
      </c>
      <c r="V47" s="38">
        <f>SUM(I47,J47,L47)</f>
        <v>63013.77637308868</v>
      </c>
      <c r="W47" s="38">
        <f t="shared" si="43"/>
        <v>67473.192515792238</v>
      </c>
      <c r="X47" s="39">
        <f t="shared" si="44"/>
        <v>81142.794612943704</v>
      </c>
      <c r="Y47" s="40">
        <f t="shared" si="45"/>
        <v>277222.47527980298</v>
      </c>
      <c r="AA47"/>
    </row>
    <row r="48" spans="2:28" s="23" customFormat="1" ht="18" customHeight="1" x14ac:dyDescent="0.35">
      <c r="B48"/>
      <c r="C48" s="2"/>
      <c r="D48" s="41" t="s">
        <v>19</v>
      </c>
      <c r="E48" s="42">
        <v>2026</v>
      </c>
      <c r="F48" s="43">
        <v>22496.568074697767</v>
      </c>
      <c r="G48" s="43">
        <v>21677.649170688626</v>
      </c>
      <c r="H48" s="43">
        <v>21418.494532591951</v>
      </c>
      <c r="I48" s="44">
        <v>28184.803782433108</v>
      </c>
      <c r="J48" s="44">
        <v>34075.191812229416</v>
      </c>
      <c r="K48" s="45">
        <f t="shared" si="41"/>
        <v>127852.70737264087</v>
      </c>
      <c r="L48" s="46">
        <f>L47</f>
        <v>17099.983355565186</v>
      </c>
      <c r="M48" s="46">
        <f t="shared" ref="M48:R48" si="47">M47</f>
        <v>19481.630887379197</v>
      </c>
      <c r="N48" s="46">
        <f t="shared" si="47"/>
        <v>20150.333689761494</v>
      </c>
      <c r="O48" s="46">
        <f t="shared" si="47"/>
        <v>27841.227938651544</v>
      </c>
      <c r="P48" s="46">
        <f t="shared" si="47"/>
        <v>26828.844807274687</v>
      </c>
      <c r="Q48" s="46">
        <f t="shared" si="47"/>
        <v>27132.086344036114</v>
      </c>
      <c r="R48" s="46">
        <f t="shared" si="47"/>
        <v>27181.863461632907</v>
      </c>
      <c r="S48" s="47">
        <f t="shared" si="42"/>
        <v>293568.67785694206</v>
      </c>
      <c r="T48" s="2"/>
      <c r="U48" s="44">
        <f>SUM(F48:G48,H48)</f>
        <v>65592.711777978344</v>
      </c>
      <c r="V48" s="44">
        <f>SUM(I48,J48,L48)</f>
        <v>79359.978950227713</v>
      </c>
      <c r="W48" s="44">
        <f t="shared" si="43"/>
        <v>67473.192515792238</v>
      </c>
      <c r="X48" s="48">
        <f t="shared" si="44"/>
        <v>81142.794612943704</v>
      </c>
      <c r="Y48" s="49">
        <f t="shared" si="45"/>
        <v>293568.677856942</v>
      </c>
      <c r="AA48" s="75"/>
      <c r="AB48" s="50"/>
    </row>
    <row r="49" spans="2:27" s="23" customFormat="1" ht="17.5" customHeight="1" x14ac:dyDescent="0.35">
      <c r="B49"/>
      <c r="C49" s="51"/>
      <c r="D49" s="32" t="s">
        <v>22</v>
      </c>
      <c r="E49" s="32"/>
      <c r="F49" s="52">
        <f>F45/F44-1</f>
        <v>0.14046686617086412</v>
      </c>
      <c r="G49" s="52">
        <f t="shared" ref="G49:S49" si="48">G45/G44-1</f>
        <v>0.34321714924717939</v>
      </c>
      <c r="H49" s="53">
        <f t="shared" si="48"/>
        <v>0.25344790632239622</v>
      </c>
      <c r="I49" s="53">
        <f t="shared" si="48"/>
        <v>0.40643087848794912</v>
      </c>
      <c r="J49" s="53">
        <f t="shared" si="48"/>
        <v>0.37543315434742985</v>
      </c>
      <c r="K49" s="54">
        <f>K45/K44-1</f>
        <v>0.29967574261697782</v>
      </c>
      <c r="L49" s="53">
        <f t="shared" si="48"/>
        <v>-0.12098159043708989</v>
      </c>
      <c r="M49" s="53">
        <f t="shared" si="48"/>
        <v>-0.42142147486528725</v>
      </c>
      <c r="N49" s="53">
        <f t="shared" si="48"/>
        <v>-4.3003959060212815E-2</v>
      </c>
      <c r="O49" s="53">
        <f t="shared" si="48"/>
        <v>-3.4418085002054122E-2</v>
      </c>
      <c r="P49" s="53">
        <f t="shared" si="48"/>
        <v>0.52262459071016498</v>
      </c>
      <c r="Q49" s="53">
        <f t="shared" si="48"/>
        <v>1.1255224794705554</v>
      </c>
      <c r="R49" s="55">
        <f t="shared" si="48"/>
        <v>1.0911949566477968</v>
      </c>
      <c r="S49" s="56">
        <f t="shared" si="48"/>
        <v>0.24797087919920524</v>
      </c>
      <c r="T49" s="2"/>
      <c r="U49" s="52">
        <f t="shared" ref="U49:Y49" si="49">U45/U44-1</f>
        <v>0.23637347471640346</v>
      </c>
      <c r="V49" s="52">
        <f t="shared" si="49"/>
        <v>0.18378997484931525</v>
      </c>
      <c r="W49" s="52">
        <f t="shared" si="49"/>
        <v>-0.15732467875089406</v>
      </c>
      <c r="X49" s="57">
        <f t="shared" si="49"/>
        <v>0.84884167537720101</v>
      </c>
      <c r="Y49" s="58">
        <f t="shared" si="49"/>
        <v>0.24797087919920524</v>
      </c>
      <c r="AA49" s="75"/>
    </row>
    <row r="50" spans="2:27" s="23" customFormat="1" ht="17.5" customHeight="1" x14ac:dyDescent="0.35">
      <c r="B50"/>
      <c r="C50" s="51"/>
      <c r="D50" s="24" t="s">
        <v>23</v>
      </c>
      <c r="E50" s="24"/>
      <c r="F50" s="59">
        <f>F48/F45-1</f>
        <v>0.16171389078818077</v>
      </c>
      <c r="G50" s="59">
        <f t="shared" ref="G50:S50" si="50">G48/G45-1</f>
        <v>0.25780323741576483</v>
      </c>
      <c r="H50" s="60">
        <f t="shared" si="50"/>
        <v>0.13264475478820281</v>
      </c>
      <c r="I50" s="60">
        <f t="shared" si="50"/>
        <v>0.34487383240882563</v>
      </c>
      <c r="J50" s="60">
        <f t="shared" si="50"/>
        <v>0.49985775812009536</v>
      </c>
      <c r="K50" s="61">
        <f>K48/K45-1</f>
        <v>0.28902186520597262</v>
      </c>
      <c r="L50" s="59">
        <f t="shared" si="50"/>
        <v>-8.5483423962462668E-2</v>
      </c>
      <c r="M50" s="59">
        <f t="shared" si="50"/>
        <v>0.70296990061524212</v>
      </c>
      <c r="N50" s="59">
        <f t="shared" si="50"/>
        <v>5.8851704461142296E-2</v>
      </c>
      <c r="O50" s="59">
        <f t="shared" si="50"/>
        <v>0.2019300443625458</v>
      </c>
      <c r="P50" s="59">
        <f t="shared" si="50"/>
        <v>-0.20110395259581393</v>
      </c>
      <c r="Q50" s="59">
        <f t="shared" si="50"/>
        <v>-0.21992505629166326</v>
      </c>
      <c r="R50" s="62">
        <f t="shared" si="50"/>
        <v>0.18099004143150799</v>
      </c>
      <c r="S50" s="63">
        <f t="shared" si="50"/>
        <v>0.11666338524306163</v>
      </c>
      <c r="T50" s="2"/>
      <c r="U50" s="59">
        <f t="shared" ref="U50:Y50" si="51">U48/U45-1</f>
        <v>0.18164470164356095</v>
      </c>
      <c r="V50" s="59">
        <f t="shared" si="51"/>
        <v>0.27231356034638998</v>
      </c>
      <c r="W50" s="59">
        <f t="shared" si="51"/>
        <v>0.25803187443668119</v>
      </c>
      <c r="X50" s="64">
        <f t="shared" si="51"/>
        <v>-0.11202844870604234</v>
      </c>
      <c r="Y50" s="65">
        <f t="shared" si="51"/>
        <v>0.11666338524306141</v>
      </c>
      <c r="AA50" s="75"/>
    </row>
    <row r="51" spans="2:27" s="23" customFormat="1" ht="17.5" customHeight="1" x14ac:dyDescent="0.35">
      <c r="B51"/>
      <c r="C51" s="51"/>
      <c r="D51" s="32" t="s">
        <v>24</v>
      </c>
      <c r="E51" s="32"/>
      <c r="F51" s="52">
        <f>F48/F46-1</f>
        <v>0.35628025073072389</v>
      </c>
      <c r="G51" s="52">
        <f t="shared" ref="G51:S51" si="52">G48/G46-1</f>
        <v>0.39161974174759084</v>
      </c>
      <c r="H51" s="53">
        <f t="shared" si="52"/>
        <v>0.40007445408995634</v>
      </c>
      <c r="I51" s="53">
        <f t="shared" si="52"/>
        <v>0.76404096431603397</v>
      </c>
      <c r="J51" s="53">
        <f t="shared" si="52"/>
        <v>0.98569183952532535</v>
      </c>
      <c r="K51" s="54">
        <f>K48/K46-1</f>
        <v>0.58625945805384183</v>
      </c>
      <c r="L51" s="53">
        <f t="shared" si="52"/>
        <v>-4.3477658208993408E-2</v>
      </c>
      <c r="M51" s="53">
        <f t="shared" si="52"/>
        <v>-9.8635381217669127E-2</v>
      </c>
      <c r="N51" s="53">
        <f t="shared" si="52"/>
        <v>-5.6327597933767626E-2</v>
      </c>
      <c r="O51" s="53">
        <f t="shared" si="52"/>
        <v>-3.8655063861917749E-2</v>
      </c>
      <c r="P51" s="53">
        <f t="shared" si="52"/>
        <v>-4.0102380569977392E-3</v>
      </c>
      <c r="Q51" s="53">
        <f t="shared" si="52"/>
        <v>-3.6699839715488292E-3</v>
      </c>
      <c r="R51" s="55">
        <f t="shared" si="52"/>
        <v>8.4482388921963691E-2</v>
      </c>
      <c r="S51" s="56">
        <f t="shared" si="52"/>
        <v>0.17597789302978772</v>
      </c>
      <c r="T51" s="2"/>
      <c r="U51" s="52">
        <f t="shared" ref="U51:Y51" si="53">U48/U46-1</f>
        <v>0.38199456247721741</v>
      </c>
      <c r="V51" s="52">
        <f t="shared" si="53"/>
        <v>0.55562001154503093</v>
      </c>
      <c r="W51" s="52">
        <f t="shared" si="53"/>
        <v>-6.1925050127490278E-2</v>
      </c>
      <c r="X51" s="57">
        <f t="shared" si="53"/>
        <v>2.4100145814921037E-2</v>
      </c>
      <c r="Y51" s="58">
        <f t="shared" si="53"/>
        <v>0.1759778930297875</v>
      </c>
      <c r="AA51" s="75"/>
    </row>
    <row r="52" spans="2:27" s="23" customFormat="1" ht="17.5" customHeight="1" x14ac:dyDescent="0.35">
      <c r="B52"/>
      <c r="C52" s="51"/>
      <c r="D52" s="24" t="s">
        <v>25</v>
      </c>
      <c r="E52" s="24"/>
      <c r="F52" s="59">
        <f>F48/F47-1</f>
        <v>0</v>
      </c>
      <c r="G52" s="59">
        <f t="shared" ref="G52:Y52" si="54">G48/G47-1</f>
        <v>0</v>
      </c>
      <c r="H52" s="60">
        <f t="shared" si="54"/>
        <v>0</v>
      </c>
      <c r="I52" s="60">
        <f t="shared" si="54"/>
        <v>0</v>
      </c>
      <c r="J52" s="60">
        <f t="shared" si="54"/>
        <v>0.92200420229177782</v>
      </c>
      <c r="K52" s="61">
        <f t="shared" si="54"/>
        <v>0.14659416154346583</v>
      </c>
      <c r="L52" s="59">
        <f t="shared" si="54"/>
        <v>0</v>
      </c>
      <c r="M52" s="59">
        <f t="shared" si="54"/>
        <v>0</v>
      </c>
      <c r="N52" s="59">
        <f t="shared" si="54"/>
        <v>0</v>
      </c>
      <c r="O52" s="59">
        <f t="shared" si="54"/>
        <v>0</v>
      </c>
      <c r="P52" s="59">
        <f t="shared" si="54"/>
        <v>0</v>
      </c>
      <c r="Q52" s="59">
        <f t="shared" si="54"/>
        <v>0</v>
      </c>
      <c r="R52" s="62">
        <f t="shared" si="54"/>
        <v>0</v>
      </c>
      <c r="S52" s="63">
        <f t="shared" si="54"/>
        <v>5.8964203968818518E-2</v>
      </c>
      <c r="T52" s="2"/>
      <c r="U52" s="59">
        <f t="shared" si="54"/>
        <v>0</v>
      </c>
      <c r="V52" s="59">
        <f t="shared" si="54"/>
        <v>0.25940680781226777</v>
      </c>
      <c r="W52" s="59">
        <f t="shared" si="54"/>
        <v>0</v>
      </c>
      <c r="X52" s="64">
        <f t="shared" si="54"/>
        <v>0</v>
      </c>
      <c r="Y52" s="65">
        <f t="shared" si="54"/>
        <v>5.8964203968818296E-2</v>
      </c>
      <c r="AA52" s="75"/>
    </row>
    <row r="53" spans="2:27" ht="14.5" customHeight="1" x14ac:dyDescent="0.35">
      <c r="C53" s="7"/>
      <c r="F53" s="66"/>
      <c r="G53" s="66"/>
      <c r="H53" s="66"/>
      <c r="I53" s="66"/>
      <c r="J53" s="66"/>
      <c r="K53" s="66"/>
      <c r="L53" s="66"/>
      <c r="M53" s="66"/>
      <c r="N53" s="67"/>
      <c r="O53" s="67"/>
      <c r="P53" s="67"/>
      <c r="Q53" s="67"/>
      <c r="R53" s="68"/>
      <c r="AA53" s="75"/>
    </row>
    <row r="54" spans="2:27" x14ac:dyDescent="0.35">
      <c r="D54" s="8" t="s">
        <v>29</v>
      </c>
      <c r="F54" s="76"/>
      <c r="G54" s="77"/>
      <c r="I54" s="66"/>
      <c r="J54" s="66"/>
      <c r="K54" s="77"/>
      <c r="L54" s="66"/>
      <c r="M54" s="66"/>
      <c r="N54" s="78"/>
      <c r="S54" s="79"/>
      <c r="AA54" s="75"/>
    </row>
    <row r="55" spans="2:27" ht="15.5" x14ac:dyDescent="0.35">
      <c r="D55" s="24" t="s">
        <v>19</v>
      </c>
      <c r="E55" s="25">
        <v>2024</v>
      </c>
      <c r="F55" s="80">
        <f t="shared" ref="F55:S55" si="55">IFERROR(F44/F$22,0)</f>
        <v>0.24398710692285785</v>
      </c>
      <c r="G55" s="80">
        <f t="shared" si="55"/>
        <v>0.18495926360572379</v>
      </c>
      <c r="H55" s="81">
        <f t="shared" si="55"/>
        <v>0.20775946083995958</v>
      </c>
      <c r="I55" s="81">
        <f t="shared" si="55"/>
        <v>0.19993490432592068</v>
      </c>
      <c r="J55" s="81">
        <f t="shared" si="55"/>
        <v>0.21588989774834672</v>
      </c>
      <c r="K55" s="61">
        <f>IFERROR(K44/K$22,0)</f>
        <v>0.21045770172599154</v>
      </c>
      <c r="L55" s="80">
        <f t="shared" si="55"/>
        <v>0.26855973450767695</v>
      </c>
      <c r="M55" s="80">
        <f t="shared" si="55"/>
        <v>0.24209271011295388</v>
      </c>
      <c r="N55" s="80">
        <f t="shared" si="55"/>
        <v>0.24341379098869231</v>
      </c>
      <c r="O55" s="80">
        <f t="shared" si="55"/>
        <v>0.29446229740915436</v>
      </c>
      <c r="P55" s="80">
        <f t="shared" si="55"/>
        <v>0.24665300565944623</v>
      </c>
      <c r="Q55" s="80">
        <f t="shared" si="55"/>
        <v>0.19639331434120919</v>
      </c>
      <c r="R55" s="82">
        <f t="shared" si="55"/>
        <v>0.13351737464494806</v>
      </c>
      <c r="S55" s="83">
        <f t="shared" si="55"/>
        <v>0.22367039026129143</v>
      </c>
      <c r="U55" s="80">
        <f t="shared" ref="U55:Y55" si="56">IFERROR(U44/U$22,0)</f>
        <v>0.21220002588937797</v>
      </c>
      <c r="V55" s="80">
        <f t="shared" si="56"/>
        <v>0.22884439178122698</v>
      </c>
      <c r="W55" s="80">
        <f t="shared" si="56"/>
        <v>0.25995943854244119</v>
      </c>
      <c r="X55" s="82">
        <f t="shared" si="56"/>
        <v>0.19369378343814125</v>
      </c>
      <c r="Y55" s="84">
        <f t="shared" si="56"/>
        <v>0.22367039026129143</v>
      </c>
      <c r="AA55" s="75"/>
    </row>
    <row r="56" spans="2:27" ht="15.5" x14ac:dyDescent="0.35">
      <c r="D56" s="32" t="s">
        <v>19</v>
      </c>
      <c r="E56" s="33">
        <v>2025</v>
      </c>
      <c r="F56" s="85">
        <f>IFERROR(F45/F$23,0)</f>
        <v>0.21198007168395419</v>
      </c>
      <c r="G56" s="85">
        <f t="shared" ref="G56:S56" si="57">IFERROR(G45/G$23,0)</f>
        <v>0.19020044091525623</v>
      </c>
      <c r="H56" s="86">
        <f t="shared" si="57"/>
        <v>0.20586256506871828</v>
      </c>
      <c r="I56" s="86">
        <f t="shared" si="57"/>
        <v>0.22644928704040995</v>
      </c>
      <c r="J56" s="86">
        <f t="shared" si="57"/>
        <v>0.23868066494236065</v>
      </c>
      <c r="K56" s="54">
        <f>IFERROR(K45/K$23,0)</f>
        <v>0.21489443998529822</v>
      </c>
      <c r="L56" s="85">
        <f t="shared" si="57"/>
        <v>0.20094534176712595</v>
      </c>
      <c r="M56" s="85">
        <f t="shared" si="57"/>
        <v>0.12521641822918433</v>
      </c>
      <c r="N56" s="85">
        <f t="shared" si="57"/>
        <v>0.19341888913496297</v>
      </c>
      <c r="O56" s="85">
        <f t="shared" si="57"/>
        <v>0.22881925607830483</v>
      </c>
      <c r="P56" s="85">
        <f t="shared" si="57"/>
        <v>0.30656837146412841</v>
      </c>
      <c r="Q56" s="85">
        <f t="shared" si="57"/>
        <v>0.33681869291136896</v>
      </c>
      <c r="R56" s="87">
        <f t="shared" si="57"/>
        <v>0.22716474233692019</v>
      </c>
      <c r="S56" s="88">
        <f t="shared" si="57"/>
        <v>0.22669177333767807</v>
      </c>
      <c r="U56" s="85">
        <f t="shared" ref="U56:Y56" si="58">IFERROR(U45/U$23,0)</f>
        <v>0.20272064282819297</v>
      </c>
      <c r="V56" s="85">
        <f t="shared" si="58"/>
        <v>0.2221436916111037</v>
      </c>
      <c r="W56" s="85">
        <f t="shared" si="58"/>
        <v>0.18432087660414087</v>
      </c>
      <c r="X56" s="87">
        <f t="shared" si="58"/>
        <v>0.29090164320069894</v>
      </c>
      <c r="Y56" s="89">
        <f t="shared" si="58"/>
        <v>0.22669177333767807</v>
      </c>
      <c r="AA56" s="75"/>
    </row>
    <row r="57" spans="2:27" ht="15.5" x14ac:dyDescent="0.35">
      <c r="D57" s="24" t="s">
        <v>20</v>
      </c>
      <c r="E57" s="25">
        <v>2026</v>
      </c>
      <c r="F57" s="80">
        <f>IFERROR(F46/F$24,0)</f>
        <v>0.15879838274745298</v>
      </c>
      <c r="G57" s="80">
        <f t="shared" ref="G57:S57" si="59">IFERROR(G46/G$24,0)</f>
        <v>0.14893620387575968</v>
      </c>
      <c r="H57" s="81">
        <f t="shared" si="59"/>
        <v>0.14037780600390126</v>
      </c>
      <c r="I57" s="81">
        <f t="shared" si="59"/>
        <v>0.14445646161707765</v>
      </c>
      <c r="J57" s="81">
        <f t="shared" si="59"/>
        <v>0.15176656630946037</v>
      </c>
      <c r="K57" s="61">
        <f>IFERROR(K46/K$24,0)</f>
        <v>0.148792232073124</v>
      </c>
      <c r="L57" s="80">
        <f t="shared" si="59"/>
        <v>0.15128446490218073</v>
      </c>
      <c r="M57" s="80">
        <f t="shared" si="59"/>
        <v>0.18005225311323356</v>
      </c>
      <c r="N57" s="80">
        <f t="shared" si="59"/>
        <v>0.1761543987382497</v>
      </c>
      <c r="O57" s="80">
        <f t="shared" si="59"/>
        <v>0.2143562350104378</v>
      </c>
      <c r="P57" s="80">
        <f t="shared" si="59"/>
        <v>0.2147726954764185</v>
      </c>
      <c r="Q57" s="80">
        <f t="shared" si="59"/>
        <v>0.21611268994834693</v>
      </c>
      <c r="R57" s="82">
        <f t="shared" si="59"/>
        <v>0.19793710612400872</v>
      </c>
      <c r="S57" s="83">
        <f t="shared" si="59"/>
        <v>0.17651163625612112</v>
      </c>
      <c r="U57" s="80">
        <f t="shared" ref="U57:Y57" si="60">IFERROR(U46/U$24,0)</f>
        <v>0.14924264734992446</v>
      </c>
      <c r="V57" s="80">
        <f t="shared" si="60"/>
        <v>0.14923472845940725</v>
      </c>
      <c r="W57" s="80">
        <f t="shared" si="60"/>
        <v>0.19111114721183256</v>
      </c>
      <c r="X57" s="82">
        <f t="shared" si="60"/>
        <v>0.20958033957336197</v>
      </c>
      <c r="Y57" s="84">
        <f t="shared" si="60"/>
        <v>0.17651163625612112</v>
      </c>
      <c r="AA57" s="75"/>
    </row>
    <row r="58" spans="2:27" ht="15.5" x14ac:dyDescent="0.35">
      <c r="D58" s="32" t="s">
        <v>21</v>
      </c>
      <c r="E58" s="33">
        <v>2026</v>
      </c>
      <c r="F58" s="85">
        <f>IFERROR(F47/F$25,0)</f>
        <v>0.21103844529187057</v>
      </c>
      <c r="G58" s="85">
        <f t="shared" ref="G58:Y58" si="61">IFERROR(G47/G$25,0)</f>
        <v>0.20678604637572967</v>
      </c>
      <c r="H58" s="86">
        <f t="shared" si="61"/>
        <v>0.19968075130890373</v>
      </c>
      <c r="I58" s="86">
        <f t="shared" si="61"/>
        <v>0.25383084923030907</v>
      </c>
      <c r="J58" s="86">
        <f t="shared" si="61"/>
        <v>0.1588342609062352</v>
      </c>
      <c r="K58" s="54">
        <f t="shared" si="61"/>
        <v>0.20597799596487507</v>
      </c>
      <c r="L58" s="85">
        <f t="shared" si="61"/>
        <v>0.14791122108272348</v>
      </c>
      <c r="M58" s="85">
        <f t="shared" si="61"/>
        <v>0.1658222689092417</v>
      </c>
      <c r="N58" s="85">
        <f t="shared" si="61"/>
        <v>0.1682937741298686</v>
      </c>
      <c r="O58" s="85">
        <f t="shared" si="61"/>
        <v>0.20817953334547715</v>
      </c>
      <c r="P58" s="85">
        <f t="shared" si="61"/>
        <v>0.2156040774312217</v>
      </c>
      <c r="Q58" s="85">
        <f t="shared" si="61"/>
        <v>0.21636008928731998</v>
      </c>
      <c r="R58" s="87">
        <f t="shared" si="61"/>
        <v>0.21492984582055361</v>
      </c>
      <c r="S58" s="88">
        <f t="shared" si="61"/>
        <v>0.19742058607980612</v>
      </c>
      <c r="U58" s="85">
        <f t="shared" si="61"/>
        <v>0.20581697661300169</v>
      </c>
      <c r="V58" s="85">
        <f t="shared" si="61"/>
        <v>0.18628416814731114</v>
      </c>
      <c r="W58" s="85">
        <f t="shared" si="61"/>
        <v>0.181890640898209</v>
      </c>
      <c r="X58" s="87">
        <f t="shared" si="61"/>
        <v>0.21562942020737691</v>
      </c>
      <c r="Y58" s="89">
        <f t="shared" si="61"/>
        <v>0.19742058607980612</v>
      </c>
      <c r="AA58" s="75"/>
    </row>
    <row r="59" spans="2:27" ht="15.5" x14ac:dyDescent="0.35">
      <c r="D59" s="24" t="s">
        <v>19</v>
      </c>
      <c r="E59" s="25">
        <v>2026</v>
      </c>
      <c r="F59" s="80">
        <f t="shared" ref="F59:S59" si="62">IFERROR(F48/F$26,0)</f>
        <v>0.21103844529187057</v>
      </c>
      <c r="G59" s="80">
        <f t="shared" si="62"/>
        <v>0.20678604637572967</v>
      </c>
      <c r="H59" s="81">
        <f t="shared" si="62"/>
        <v>0.19968075130890373</v>
      </c>
      <c r="I59" s="81">
        <f t="shared" si="62"/>
        <v>0.25383084923030907</v>
      </c>
      <c r="J59" s="81">
        <f t="shared" si="62"/>
        <v>0.29960250781725667</v>
      </c>
      <c r="K59" s="61">
        <f>IFERROR(K48/K$26,0)</f>
        <v>0.23525395197575882</v>
      </c>
      <c r="L59" s="80">
        <f t="shared" si="62"/>
        <v>0.14791122108272348</v>
      </c>
      <c r="M59" s="80">
        <f t="shared" si="62"/>
        <v>0.1658222689092417</v>
      </c>
      <c r="N59" s="80">
        <f t="shared" si="62"/>
        <v>0.1682937741298686</v>
      </c>
      <c r="O59" s="80">
        <f t="shared" si="62"/>
        <v>0.20817953334547715</v>
      </c>
      <c r="P59" s="80">
        <f t="shared" si="62"/>
        <v>0.2156040774312217</v>
      </c>
      <c r="Q59" s="80">
        <f t="shared" si="62"/>
        <v>0.21636008928731998</v>
      </c>
      <c r="R59" s="82">
        <f t="shared" si="62"/>
        <v>0.21492984582055361</v>
      </c>
      <c r="S59" s="83">
        <f t="shared" si="62"/>
        <v>0.20874688939763641</v>
      </c>
      <c r="U59" s="80">
        <f t="shared" ref="U59:Y59" si="63">IFERROR(U48/U$26,0)</f>
        <v>0.20581697661300169</v>
      </c>
      <c r="V59" s="80">
        <f t="shared" si="63"/>
        <v>0.23314962518126142</v>
      </c>
      <c r="W59" s="80">
        <f t="shared" si="63"/>
        <v>0.181890640898209</v>
      </c>
      <c r="X59" s="82">
        <f t="shared" si="63"/>
        <v>0.21562942020737691</v>
      </c>
      <c r="Y59" s="84">
        <f t="shared" si="63"/>
        <v>0.20874688939763641</v>
      </c>
      <c r="AA59" s="75"/>
    </row>
    <row r="60" spans="2:27" ht="14.5" customHeight="1" x14ac:dyDescent="0.35">
      <c r="C60" s="7"/>
      <c r="F60" s="66"/>
      <c r="G60" s="66"/>
      <c r="H60" s="66"/>
      <c r="I60" s="66"/>
      <c r="J60" s="66"/>
      <c r="K60" s="66"/>
      <c r="L60" s="66"/>
      <c r="M60" s="66"/>
      <c r="N60" s="67"/>
      <c r="O60" s="67"/>
      <c r="P60" s="67"/>
      <c r="Q60" s="67"/>
      <c r="R60" s="68"/>
      <c r="AA60" s="75"/>
    </row>
    <row r="61" spans="2:27" ht="15.5" x14ac:dyDescent="0.35">
      <c r="C61" s="19" t="s">
        <v>30</v>
      </c>
      <c r="D61" s="20"/>
      <c r="E61" s="20"/>
      <c r="F61" s="20"/>
      <c r="G61" s="20"/>
      <c r="H61" s="20"/>
      <c r="I61" s="20"/>
      <c r="J61" s="20"/>
      <c r="K61" s="20"/>
      <c r="L61" s="21"/>
      <c r="M61" s="21"/>
      <c r="N61" s="20"/>
      <c r="O61" s="20"/>
      <c r="P61" s="20"/>
      <c r="Q61" s="20"/>
      <c r="R61" s="20"/>
      <c r="S61" s="21"/>
      <c r="U61" s="22"/>
      <c r="V61" s="22"/>
      <c r="W61" s="22"/>
      <c r="X61" s="22"/>
      <c r="Y61" s="22"/>
      <c r="AA61" s="75"/>
    </row>
    <row r="62" spans="2:27" s="23" customFormat="1" ht="18" customHeight="1" x14ac:dyDescent="0.35">
      <c r="B62"/>
      <c r="C62" s="2"/>
      <c r="D62" s="24" t="s">
        <v>19</v>
      </c>
      <c r="E62" s="25">
        <v>2024</v>
      </c>
      <c r="F62" s="26">
        <v>14873.358342633657</v>
      </c>
      <c r="G62" s="26">
        <v>10059.657379266991</v>
      </c>
      <c r="H62" s="26">
        <v>12196.16987267144</v>
      </c>
      <c r="I62" s="26">
        <v>10477.529752875371</v>
      </c>
      <c r="J62" s="26">
        <v>13108.64549552537</v>
      </c>
      <c r="K62" s="28">
        <f>SUM(F62:J62)</f>
        <v>60715.360842972834</v>
      </c>
      <c r="L62" s="27">
        <v>18379.595893542024</v>
      </c>
      <c r="M62" s="27">
        <v>16625.989936591915</v>
      </c>
      <c r="N62" s="27">
        <v>16877.610921008603</v>
      </c>
      <c r="O62" s="27">
        <v>20735.243638754248</v>
      </c>
      <c r="P62" s="26">
        <v>19140.35653747481</v>
      </c>
      <c r="Q62" s="26">
        <v>13201.365172575521</v>
      </c>
      <c r="R62" s="27">
        <v>7654.8481664753735</v>
      </c>
      <c r="S62" s="29">
        <f>SUM(K62:R62)</f>
        <v>173330.37110939532</v>
      </c>
      <c r="T62" s="2"/>
      <c r="U62" s="26">
        <f>SUM(F62:G62,H62)</f>
        <v>37129.185594572089</v>
      </c>
      <c r="V62" s="26">
        <f>SUM(I62,J62,L62)</f>
        <v>41965.771141942765</v>
      </c>
      <c r="W62" s="26">
        <f>SUM(M62:O62)</f>
        <v>54238.844496354766</v>
      </c>
      <c r="X62" s="30">
        <f>SUM(P62:R62)</f>
        <v>39996.569876525704</v>
      </c>
      <c r="Y62" s="31">
        <f>SUM(U62:X62)</f>
        <v>173330.37110939532</v>
      </c>
      <c r="AA62" s="75"/>
    </row>
    <row r="63" spans="2:27" s="23" customFormat="1" ht="17.5" customHeight="1" x14ac:dyDescent="0.35">
      <c r="B63"/>
      <c r="C63" s="2"/>
      <c r="D63" s="32" t="s">
        <v>19</v>
      </c>
      <c r="E63" s="33">
        <v>2025</v>
      </c>
      <c r="F63" s="34">
        <v>17804.925301367632</v>
      </c>
      <c r="G63" s="34">
        <v>15078.437605429746</v>
      </c>
      <c r="H63" s="34">
        <v>14147.205259698836</v>
      </c>
      <c r="I63" s="34">
        <v>16358.878946936098</v>
      </c>
      <c r="J63" s="34">
        <v>18904.140042156654</v>
      </c>
      <c r="K63" s="35">
        <f t="shared" ref="K63:K66" si="64">SUM(F63:J63)</f>
        <v>82293.587155588975</v>
      </c>
      <c r="L63" s="34">
        <v>15234.016748586801</v>
      </c>
      <c r="M63" s="34">
        <v>7439.0612810022412</v>
      </c>
      <c r="N63" s="34">
        <v>14496.154047486296</v>
      </c>
      <c r="O63" s="34">
        <v>18249.049456691784</v>
      </c>
      <c r="P63" s="34">
        <v>18390.78539802524</v>
      </c>
      <c r="Q63" s="34">
        <v>18619.926448360198</v>
      </c>
      <c r="R63" s="36">
        <f>15425.6850281149-1576.205</f>
        <v>13849.4800281149</v>
      </c>
      <c r="S63" s="37">
        <f t="shared" ref="S63:S66" si="65">SUM(K63:R63)</f>
        <v>188572.06056385644</v>
      </c>
      <c r="T63" s="2"/>
      <c r="U63" s="38">
        <f>SUM(F63:G63,H63)</f>
        <v>47030.568166496218</v>
      </c>
      <c r="V63" s="38">
        <f>SUM(I63,J63,L63)</f>
        <v>50497.035737679551</v>
      </c>
      <c r="W63" s="38">
        <f t="shared" ref="W63:W66" si="66">SUM(M63:O63)</f>
        <v>40184.264785180319</v>
      </c>
      <c r="X63" s="39">
        <f t="shared" ref="X63:X66" si="67">SUM(P63:R63)</f>
        <v>50860.191874500342</v>
      </c>
      <c r="Y63" s="40">
        <f t="shared" ref="Y63:Y66" si="68">SUM(U63:X63)</f>
        <v>188572.06056385642</v>
      </c>
      <c r="AA63" s="75"/>
    </row>
    <row r="64" spans="2:27" s="23" customFormat="1" ht="18" customHeight="1" x14ac:dyDescent="0.35">
      <c r="B64"/>
      <c r="C64" s="2"/>
      <c r="D64" s="24" t="s">
        <v>20</v>
      </c>
      <c r="E64" s="25">
        <v>2026</v>
      </c>
      <c r="F64" s="26">
        <v>16586.961332348001</v>
      </c>
      <c r="G64" s="26">
        <v>15577.279137665808</v>
      </c>
      <c r="H64" s="26">
        <v>15298.111089751937</v>
      </c>
      <c r="I64" s="26">
        <v>15977.408888212021</v>
      </c>
      <c r="J64" s="26">
        <v>17160.362516459252</v>
      </c>
      <c r="K64" s="28">
        <f t="shared" si="64"/>
        <v>80600.122964437018</v>
      </c>
      <c r="L64" s="27">
        <v>17877.244062639376</v>
      </c>
      <c r="M64" s="27">
        <v>21613.485243848678</v>
      </c>
      <c r="N64" s="27">
        <v>21353.102671690962</v>
      </c>
      <c r="O64" s="27">
        <v>28960.705873685056</v>
      </c>
      <c r="P64" s="26">
        <v>26936.868060708064</v>
      </c>
      <c r="Q64" s="26">
        <v>27232.027448284094</v>
      </c>
      <c r="R64" s="27">
        <v>25064.36594941224</v>
      </c>
      <c r="S64" s="29">
        <f t="shared" si="65"/>
        <v>249637.92227470549</v>
      </c>
      <c r="T64" s="2"/>
      <c r="U64" s="26">
        <f>SUM(F64:G64,H64)</f>
        <v>47462.351559765746</v>
      </c>
      <c r="V64" s="26">
        <f>SUM(I64,J64,L64)</f>
        <v>51015.015467310644</v>
      </c>
      <c r="W64" s="26">
        <f t="shared" si="66"/>
        <v>71927.293789224699</v>
      </c>
      <c r="X64" s="30">
        <f t="shared" si="67"/>
        <v>79233.261458404391</v>
      </c>
      <c r="Y64" s="31">
        <f t="shared" si="68"/>
        <v>249637.92227470549</v>
      </c>
      <c r="AA64" s="75"/>
    </row>
    <row r="65" spans="2:31" s="23" customFormat="1" ht="18" customHeight="1" x14ac:dyDescent="0.35">
      <c r="B65"/>
      <c r="C65" s="2"/>
      <c r="D65" s="32" t="s">
        <v>21</v>
      </c>
      <c r="E65" s="33">
        <v>2026</v>
      </c>
      <c r="F65" s="34">
        <v>19604.250064697761</v>
      </c>
      <c r="G65" s="34">
        <v>18810.376980688623</v>
      </c>
      <c r="H65" s="34">
        <v>16239.961046275952</v>
      </c>
      <c r="I65" s="34">
        <v>19207.299782433107</v>
      </c>
      <c r="J65" s="34">
        <v>17729.102903673669</v>
      </c>
      <c r="K65" s="35">
        <f t="shared" si="64"/>
        <v>91590.990777769111</v>
      </c>
      <c r="L65" s="34">
        <v>17100.111993762228</v>
      </c>
      <c r="M65" s="34">
        <v>19481.749662988255</v>
      </c>
      <c r="N65" s="34">
        <v>20150.505941695214</v>
      </c>
      <c r="O65" s="34">
        <v>27841.405203602862</v>
      </c>
      <c r="P65" s="34">
        <v>26829.025179412209</v>
      </c>
      <c r="Q65" s="34">
        <v>27132.158867047117</v>
      </c>
      <c r="R65" s="36">
        <v>27181.899967209967</v>
      </c>
      <c r="S65" s="37">
        <f t="shared" si="65"/>
        <v>257307.84759348695</v>
      </c>
      <c r="T65" s="2"/>
      <c r="U65" s="38">
        <f>SUM(F65:G65,H65)</f>
        <v>54654.588091662336</v>
      </c>
      <c r="V65" s="38">
        <f>SUM(I65,J65,L65)</f>
        <v>54036.514679869004</v>
      </c>
      <c r="W65" s="38">
        <f t="shared" si="66"/>
        <v>67473.660808286324</v>
      </c>
      <c r="X65" s="39">
        <f t="shared" si="67"/>
        <v>81143.084013669286</v>
      </c>
      <c r="Y65" s="40">
        <f t="shared" si="68"/>
        <v>257307.84759348695</v>
      </c>
      <c r="AA65" s="75"/>
    </row>
    <row r="66" spans="2:31" s="23" customFormat="1" ht="18" customHeight="1" x14ac:dyDescent="0.35">
      <c r="B66"/>
      <c r="C66" s="2"/>
      <c r="D66" s="41" t="s">
        <v>19</v>
      </c>
      <c r="E66" s="42">
        <v>2026</v>
      </c>
      <c r="F66" s="43">
        <v>19604.250064697761</v>
      </c>
      <c r="G66" s="43">
        <v>18810.376980688623</v>
      </c>
      <c r="H66" s="43">
        <v>16239.961046275952</v>
      </c>
      <c r="I66" s="44">
        <v>19207.299782433107</v>
      </c>
      <c r="J66" s="44">
        <v>21963.356472229414</v>
      </c>
      <c r="K66" s="45">
        <f t="shared" si="64"/>
        <v>95825.244346324849</v>
      </c>
      <c r="L66" s="46">
        <f>L65</f>
        <v>17100.111993762228</v>
      </c>
      <c r="M66" s="46">
        <f t="shared" ref="M66:R66" si="69">M65</f>
        <v>19481.749662988255</v>
      </c>
      <c r="N66" s="46">
        <f t="shared" si="69"/>
        <v>20150.505941695214</v>
      </c>
      <c r="O66" s="46">
        <f t="shared" si="69"/>
        <v>27841.405203602862</v>
      </c>
      <c r="P66" s="46">
        <f t="shared" si="69"/>
        <v>26829.025179412209</v>
      </c>
      <c r="Q66" s="46">
        <f t="shared" si="69"/>
        <v>27132.158867047117</v>
      </c>
      <c r="R66" s="46">
        <f t="shared" si="69"/>
        <v>27181.899967209967</v>
      </c>
      <c r="S66" s="47">
        <f t="shared" si="65"/>
        <v>261542.1011620427</v>
      </c>
      <c r="T66" s="2"/>
      <c r="U66" s="44">
        <f>SUM(F66:G66,H66)</f>
        <v>54654.588091662336</v>
      </c>
      <c r="V66" s="44">
        <f>SUM(I66,J66,L66)</f>
        <v>58270.768248424749</v>
      </c>
      <c r="W66" s="44">
        <f t="shared" si="66"/>
        <v>67473.660808286324</v>
      </c>
      <c r="X66" s="48">
        <f t="shared" si="67"/>
        <v>81143.084013669286</v>
      </c>
      <c r="Y66" s="49">
        <f t="shared" si="68"/>
        <v>261542.1011620427</v>
      </c>
      <c r="AA66" s="75"/>
      <c r="AB66" s="50"/>
    </row>
    <row r="67" spans="2:31" s="23" customFormat="1" ht="17.5" customHeight="1" x14ac:dyDescent="0.35">
      <c r="B67"/>
      <c r="C67" s="51"/>
      <c r="D67" s="32" t="s">
        <v>22</v>
      </c>
      <c r="E67" s="32"/>
      <c r="F67" s="52">
        <f>F63/F62-1</f>
        <v>0.19710188453745525</v>
      </c>
      <c r="G67" s="52">
        <f t="shared" ref="G67:S67" si="70">G63/G62-1</f>
        <v>0.49890170578835891</v>
      </c>
      <c r="H67" s="53">
        <f t="shared" si="70"/>
        <v>0.15997115548539353</v>
      </c>
      <c r="I67" s="53">
        <f t="shared" si="70"/>
        <v>0.56132975355633774</v>
      </c>
      <c r="J67" s="53">
        <f t="shared" si="70"/>
        <v>0.44211238671528452</v>
      </c>
      <c r="K67" s="54">
        <f>K63/K62-1</f>
        <v>0.35539978702298347</v>
      </c>
      <c r="L67" s="53">
        <f t="shared" si="70"/>
        <v>-0.17114517441923061</v>
      </c>
      <c r="M67" s="53">
        <f t="shared" si="70"/>
        <v>-0.5525643098923263</v>
      </c>
      <c r="N67" s="53">
        <f t="shared" si="70"/>
        <v>-0.14110153887704335</v>
      </c>
      <c r="O67" s="53">
        <f t="shared" si="70"/>
        <v>-0.1199018552844856</v>
      </c>
      <c r="P67" s="53">
        <f t="shared" si="70"/>
        <v>-3.9161816969396024E-2</v>
      </c>
      <c r="Q67" s="53">
        <f t="shared" si="70"/>
        <v>0.41045461624235502</v>
      </c>
      <c r="R67" s="55">
        <f t="shared" si="70"/>
        <v>0.80924294341579417</v>
      </c>
      <c r="S67" s="56">
        <f t="shared" si="70"/>
        <v>8.7934326551701192E-2</v>
      </c>
      <c r="T67" s="2"/>
      <c r="U67" s="52">
        <f t="shared" ref="U67:Y67" si="71">U63/U62-1</f>
        <v>0.26667384197545152</v>
      </c>
      <c r="V67" s="52">
        <f t="shared" si="71"/>
        <v>0.20329102417494238</v>
      </c>
      <c r="W67" s="52">
        <f t="shared" si="71"/>
        <v>-0.25912387776105761</v>
      </c>
      <c r="X67" s="57">
        <f t="shared" si="71"/>
        <v>0.27161384167472269</v>
      </c>
      <c r="Y67" s="58">
        <f t="shared" si="71"/>
        <v>8.793432655170097E-2</v>
      </c>
    </row>
    <row r="68" spans="2:31" s="23" customFormat="1" ht="17.5" customHeight="1" x14ac:dyDescent="0.35">
      <c r="B68"/>
      <c r="C68" s="51"/>
      <c r="D68" s="24" t="s">
        <v>23</v>
      </c>
      <c r="E68" s="24"/>
      <c r="F68" s="59">
        <f>F66/F63-1</f>
        <v>0.10105769796135666</v>
      </c>
      <c r="G68" s="59">
        <f t="shared" ref="G68:S68" si="72">G66/G63-1</f>
        <v>0.24750172882069732</v>
      </c>
      <c r="H68" s="60">
        <f t="shared" si="72"/>
        <v>0.14792715226510156</v>
      </c>
      <c r="I68" s="60">
        <f t="shared" si="72"/>
        <v>0.17412078448263713</v>
      </c>
      <c r="J68" s="60">
        <f t="shared" si="72"/>
        <v>0.16182785481120221</v>
      </c>
      <c r="K68" s="61">
        <f>K66/K63-1</f>
        <v>0.16443149045322514</v>
      </c>
      <c r="L68" s="59">
        <f t="shared" si="72"/>
        <v>0.12249528643511165</v>
      </c>
      <c r="M68" s="59">
        <f t="shared" si="72"/>
        <v>1.6188451643408888</v>
      </c>
      <c r="N68" s="59">
        <f t="shared" si="72"/>
        <v>0.39005876149539187</v>
      </c>
      <c r="O68" s="59">
        <f t="shared" si="72"/>
        <v>0.52563591159503575</v>
      </c>
      <c r="P68" s="59">
        <f t="shared" si="72"/>
        <v>0.45882976712310763</v>
      </c>
      <c r="Q68" s="59">
        <f t="shared" si="72"/>
        <v>0.45715714518499428</v>
      </c>
      <c r="R68" s="62">
        <f t="shared" si="72"/>
        <v>0.96266573994329141</v>
      </c>
      <c r="S68" s="63">
        <f t="shared" si="72"/>
        <v>0.38696103961528427</v>
      </c>
      <c r="T68" s="2"/>
      <c r="U68" s="59">
        <f t="shared" ref="U68:Y68" si="73">U66/U63-1</f>
        <v>0.16210775719688919</v>
      </c>
      <c r="V68" s="59">
        <f t="shared" si="73"/>
        <v>0.15394433350757342</v>
      </c>
      <c r="W68" s="59">
        <f t="shared" si="73"/>
        <v>0.67910651517432141</v>
      </c>
      <c r="X68" s="64">
        <f t="shared" si="73"/>
        <v>0.59541442969568914</v>
      </c>
      <c r="Y68" s="65">
        <f t="shared" si="73"/>
        <v>0.3869610396152845</v>
      </c>
    </row>
    <row r="69" spans="2:31" s="23" customFormat="1" ht="17.5" customHeight="1" x14ac:dyDescent="0.35">
      <c r="B69"/>
      <c r="C69" s="51"/>
      <c r="D69" s="32" t="s">
        <v>24</v>
      </c>
      <c r="E69" s="32"/>
      <c r="F69" s="52">
        <f>F66/F64-1</f>
        <v>0.18190726269225843</v>
      </c>
      <c r="G69" s="52">
        <f t="shared" ref="G69:S69" si="74">G66/G64-1</f>
        <v>0.2075521542915153</v>
      </c>
      <c r="H69" s="53">
        <f t="shared" si="74"/>
        <v>6.1566421566578322E-2</v>
      </c>
      <c r="I69" s="53">
        <f t="shared" si="74"/>
        <v>0.20215361056473102</v>
      </c>
      <c r="J69" s="53">
        <f t="shared" si="74"/>
        <v>0.27988883982861079</v>
      </c>
      <c r="K69" s="54">
        <f>K66/K64-1</f>
        <v>0.1888969994326879</v>
      </c>
      <c r="L69" s="53">
        <f t="shared" si="74"/>
        <v>-4.3470462569856205E-2</v>
      </c>
      <c r="M69" s="53">
        <f t="shared" si="74"/>
        <v>-9.8629885777775095E-2</v>
      </c>
      <c r="N69" s="53">
        <f t="shared" si="74"/>
        <v>-5.6319531099810582E-2</v>
      </c>
      <c r="O69" s="53">
        <f t="shared" si="74"/>
        <v>-3.8648942983784074E-2</v>
      </c>
      <c r="P69" s="53">
        <f t="shared" si="74"/>
        <v>-4.0035419504899084E-3</v>
      </c>
      <c r="Q69" s="53">
        <f t="shared" si="74"/>
        <v>-3.6673208201862817E-3</v>
      </c>
      <c r="R69" s="55">
        <f t="shared" si="74"/>
        <v>8.4483845395154855E-2</v>
      </c>
      <c r="S69" s="56">
        <f t="shared" si="74"/>
        <v>4.768577938346108E-2</v>
      </c>
      <c r="T69" s="2"/>
      <c r="U69" s="52">
        <f t="shared" ref="U69:Y69" si="75">U66/U64-1</f>
        <v>0.15153561287076034</v>
      </c>
      <c r="V69" s="52">
        <f t="shared" si="75"/>
        <v>0.14222778753764054</v>
      </c>
      <c r="W69" s="52">
        <f t="shared" si="75"/>
        <v>-6.1918539490576019E-2</v>
      </c>
      <c r="X69" s="57">
        <f t="shared" si="75"/>
        <v>2.410379833054721E-2</v>
      </c>
      <c r="Y69" s="58">
        <f t="shared" si="75"/>
        <v>4.768577938346108E-2</v>
      </c>
    </row>
    <row r="70" spans="2:31" s="23" customFormat="1" ht="17.5" customHeight="1" x14ac:dyDescent="0.35">
      <c r="B70"/>
      <c r="C70" s="51"/>
      <c r="D70" s="24" t="s">
        <v>24</v>
      </c>
      <c r="E70" s="24"/>
      <c r="F70" s="59">
        <f>F66/F65-1</f>
        <v>0</v>
      </c>
      <c r="G70" s="59">
        <f t="shared" ref="G70:Y70" si="76">G66/G65-1</f>
        <v>0</v>
      </c>
      <c r="H70" s="60">
        <f t="shared" si="76"/>
        <v>0</v>
      </c>
      <c r="I70" s="60">
        <f t="shared" si="76"/>
        <v>0</v>
      </c>
      <c r="J70" s="60">
        <f t="shared" si="76"/>
        <v>0.23883067245767742</v>
      </c>
      <c r="K70" s="61">
        <f t="shared" si="76"/>
        <v>4.623002254478803E-2</v>
      </c>
      <c r="L70" s="59">
        <f t="shared" si="76"/>
        <v>0</v>
      </c>
      <c r="M70" s="59">
        <f t="shared" si="76"/>
        <v>0</v>
      </c>
      <c r="N70" s="59">
        <f t="shared" si="76"/>
        <v>0</v>
      </c>
      <c r="O70" s="59">
        <f t="shared" si="76"/>
        <v>0</v>
      </c>
      <c r="P70" s="59">
        <f t="shared" si="76"/>
        <v>0</v>
      </c>
      <c r="Q70" s="59">
        <f t="shared" si="76"/>
        <v>0</v>
      </c>
      <c r="R70" s="62">
        <f t="shared" si="76"/>
        <v>0</v>
      </c>
      <c r="S70" s="63">
        <f t="shared" si="76"/>
        <v>1.6455983010845943E-2</v>
      </c>
      <c r="T70" s="2"/>
      <c r="U70" s="59">
        <f t="shared" si="76"/>
        <v>0</v>
      </c>
      <c r="V70" s="59">
        <f t="shared" si="76"/>
        <v>7.83591168609028E-2</v>
      </c>
      <c r="W70" s="59">
        <f t="shared" si="76"/>
        <v>0</v>
      </c>
      <c r="X70" s="64">
        <f t="shared" si="76"/>
        <v>0</v>
      </c>
      <c r="Y70" s="65">
        <f t="shared" si="76"/>
        <v>1.6455983010845943E-2</v>
      </c>
    </row>
    <row r="71" spans="2:31" ht="14.5" customHeight="1" x14ac:dyDescent="0.35">
      <c r="C71" s="7"/>
      <c r="F71" s="66"/>
      <c r="G71" s="66"/>
      <c r="H71" s="66"/>
      <c r="I71" s="66"/>
      <c r="J71" s="66"/>
      <c r="K71" s="66"/>
      <c r="L71" s="66"/>
      <c r="M71" s="66"/>
      <c r="N71" s="67"/>
      <c r="O71" s="67"/>
      <c r="P71" s="67"/>
      <c r="Q71" s="67"/>
      <c r="R71" s="68"/>
    </row>
    <row r="72" spans="2:31" x14ac:dyDescent="0.35">
      <c r="D72" s="8" t="s">
        <v>29</v>
      </c>
      <c r="F72" s="76"/>
      <c r="G72" s="77"/>
      <c r="I72" s="66"/>
      <c r="J72" s="66"/>
      <c r="K72" s="77"/>
      <c r="L72" s="66"/>
      <c r="M72" s="66"/>
      <c r="N72" s="78"/>
      <c r="S72" s="79"/>
    </row>
    <row r="73" spans="2:31" ht="15.5" x14ac:dyDescent="0.35">
      <c r="D73" s="24" t="s">
        <v>19</v>
      </c>
      <c r="E73" s="25">
        <v>2024</v>
      </c>
      <c r="F73" s="80">
        <f t="shared" ref="F73:S73" si="77">IFERROR(F62/F$22,0)</f>
        <v>0.21371819784462895</v>
      </c>
      <c r="G73" s="80">
        <f t="shared" si="77"/>
        <v>0.14501269698721217</v>
      </c>
      <c r="H73" s="81">
        <f t="shared" si="77"/>
        <v>0.16795592918581836</v>
      </c>
      <c r="I73" s="81">
        <f t="shared" si="77"/>
        <v>0.14058288211271971</v>
      </c>
      <c r="J73" s="81">
        <f t="shared" si="77"/>
        <v>0.17133314729470589</v>
      </c>
      <c r="K73" s="61">
        <f>IFERROR(K62/K$22,0)</f>
        <v>0.16743597382704592</v>
      </c>
      <c r="L73" s="80">
        <f t="shared" si="77"/>
        <v>0.23204420240906981</v>
      </c>
      <c r="M73" s="80">
        <f t="shared" si="77"/>
        <v>0.20356972827498651</v>
      </c>
      <c r="N73" s="80">
        <f t="shared" si="77"/>
        <v>0.20659470662407931</v>
      </c>
      <c r="O73" s="80">
        <f t="shared" si="77"/>
        <v>0.25451815545096867</v>
      </c>
      <c r="P73" s="80">
        <f t="shared" si="77"/>
        <v>0.21405115423443141</v>
      </c>
      <c r="Q73" s="80">
        <f t="shared" si="77"/>
        <v>0.15843983603469999</v>
      </c>
      <c r="R73" s="82">
        <f t="shared" si="77"/>
        <v>9.2861543246686468E-2</v>
      </c>
      <c r="S73" s="83">
        <f t="shared" si="77"/>
        <v>0.1840348929838839</v>
      </c>
      <c r="U73" s="80">
        <f t="shared" ref="U73:Y73" si="78">IFERROR(U62/U$22,0)</f>
        <v>0.17548575188724971</v>
      </c>
      <c r="V73" s="80">
        <f t="shared" si="78"/>
        <v>0.18226477818640119</v>
      </c>
      <c r="W73" s="80">
        <f t="shared" si="78"/>
        <v>0.22153210784965854</v>
      </c>
      <c r="X73" s="82">
        <f t="shared" si="78"/>
        <v>0.15674267103731193</v>
      </c>
      <c r="Y73" s="84">
        <f t="shared" si="78"/>
        <v>0.1840348929838839</v>
      </c>
    </row>
    <row r="74" spans="2:31" ht="15.5" x14ac:dyDescent="0.35">
      <c r="D74" s="32" t="s">
        <v>19</v>
      </c>
      <c r="E74" s="33">
        <v>2025</v>
      </c>
      <c r="F74" s="85">
        <f>IFERROR(F63/F$23,0)</f>
        <v>0.19490281102259957</v>
      </c>
      <c r="G74" s="85">
        <f t="shared" ref="G74:S74" si="79">IFERROR(G63/G$23,0)</f>
        <v>0.16640577242009696</v>
      </c>
      <c r="H74" s="86">
        <f t="shared" si="79"/>
        <v>0.15401137948233298</v>
      </c>
      <c r="I74" s="86">
        <f t="shared" si="79"/>
        <v>0.17676286179106201</v>
      </c>
      <c r="J74" s="86">
        <f t="shared" si="79"/>
        <v>0.19860305724967084</v>
      </c>
      <c r="K74" s="54">
        <f>IFERROR(K63/K$23,0)</f>
        <v>0.17829597032941039</v>
      </c>
      <c r="L74" s="85">
        <f t="shared" si="79"/>
        <v>0.16371492208150015</v>
      </c>
      <c r="M74" s="85">
        <f t="shared" si="79"/>
        <v>8.1425620075251462E-2</v>
      </c>
      <c r="N74" s="85">
        <f t="shared" si="79"/>
        <v>0.14733454212537686</v>
      </c>
      <c r="O74" s="85">
        <f t="shared" si="79"/>
        <v>0.18027006810735291</v>
      </c>
      <c r="P74" s="85">
        <f t="shared" si="79"/>
        <v>0.1678865569718927</v>
      </c>
      <c r="Q74" s="85">
        <f t="shared" si="79"/>
        <v>0.18031310218323038</v>
      </c>
      <c r="R74" s="87">
        <f t="shared" si="79"/>
        <v>0.1366914667672384</v>
      </c>
      <c r="S74" s="88">
        <f t="shared" si="79"/>
        <v>0.16260191861805096</v>
      </c>
      <c r="U74" s="85">
        <f t="shared" ref="U74:Y74" si="80">IFERROR(U63/U$23,0)</f>
        <v>0.17175505423736093</v>
      </c>
      <c r="V74" s="85">
        <f t="shared" si="80"/>
        <v>0.1798425623969688</v>
      </c>
      <c r="W74" s="85">
        <f t="shared" si="80"/>
        <v>0.13809912900254218</v>
      </c>
      <c r="X74" s="87">
        <f t="shared" si="80"/>
        <v>0.16190984603481728</v>
      </c>
      <c r="Y74" s="89">
        <f t="shared" si="80"/>
        <v>0.16260191861805093</v>
      </c>
    </row>
    <row r="75" spans="2:31" ht="15.5" x14ac:dyDescent="0.35">
      <c r="D75" s="24" t="s">
        <v>20</v>
      </c>
      <c r="E75" s="25">
        <v>2026</v>
      </c>
      <c r="F75" s="80">
        <f t="shared" ref="F75:S75" si="81">IFERROR(F64/F$24,0)</f>
        <v>0.15879838274745298</v>
      </c>
      <c r="G75" s="80">
        <f t="shared" si="81"/>
        <v>0.14893620387575968</v>
      </c>
      <c r="H75" s="81">
        <f t="shared" si="81"/>
        <v>0.14037780600390126</v>
      </c>
      <c r="I75" s="81">
        <f t="shared" si="81"/>
        <v>0.14445646161707765</v>
      </c>
      <c r="J75" s="81">
        <f t="shared" si="81"/>
        <v>0.15176656630946037</v>
      </c>
      <c r="K75" s="61">
        <f>IFERROR(K64/K$24,0)</f>
        <v>0.148792232073124</v>
      </c>
      <c r="L75" s="80">
        <f t="shared" si="81"/>
        <v>0.15128446490218073</v>
      </c>
      <c r="M75" s="80">
        <f t="shared" si="81"/>
        <v>0.18005225311323356</v>
      </c>
      <c r="N75" s="80">
        <f t="shared" si="81"/>
        <v>0.1761543987382497</v>
      </c>
      <c r="O75" s="80">
        <f t="shared" si="81"/>
        <v>0.2143562350104378</v>
      </c>
      <c r="P75" s="80">
        <f t="shared" si="81"/>
        <v>0.2147726954764185</v>
      </c>
      <c r="Q75" s="80">
        <f t="shared" si="81"/>
        <v>0.21611268994834693</v>
      </c>
      <c r="R75" s="82">
        <f t="shared" si="81"/>
        <v>0.19793710612400872</v>
      </c>
      <c r="S75" s="83">
        <f t="shared" si="81"/>
        <v>0.17651163625612112</v>
      </c>
      <c r="U75" s="80">
        <f t="shared" ref="U75:Y75" si="82">IFERROR(U64/U$24,0)</f>
        <v>0.14924264734992446</v>
      </c>
      <c r="V75" s="80">
        <f t="shared" si="82"/>
        <v>0.14923472845940725</v>
      </c>
      <c r="W75" s="80">
        <f t="shared" si="82"/>
        <v>0.19111114721183256</v>
      </c>
      <c r="X75" s="82">
        <f t="shared" si="82"/>
        <v>0.20958033957336197</v>
      </c>
      <c r="Y75" s="84">
        <f t="shared" si="82"/>
        <v>0.17651163625612112</v>
      </c>
    </row>
    <row r="76" spans="2:31" ht="15.5" x14ac:dyDescent="0.35">
      <c r="D76" s="32" t="s">
        <v>21</v>
      </c>
      <c r="E76" s="33">
        <v>2026</v>
      </c>
      <c r="F76" s="85">
        <f>IFERROR(F65/F$25,0)</f>
        <v>0.18390584915127997</v>
      </c>
      <c r="G76" s="85">
        <f t="shared" ref="G76:Y76" si="83">IFERROR(G65/G$25,0)</f>
        <v>0.17943474663909195</v>
      </c>
      <c r="H76" s="86">
        <f t="shared" si="83"/>
        <v>0.15140222007728968</v>
      </c>
      <c r="I76" s="86">
        <f t="shared" si="83"/>
        <v>0.17297992396295647</v>
      </c>
      <c r="J76" s="86">
        <f t="shared" si="83"/>
        <v>0.15883527926465227</v>
      </c>
      <c r="K76" s="54">
        <f t="shared" si="83"/>
        <v>0.16918949045565707</v>
      </c>
      <c r="L76" s="85">
        <f t="shared" si="83"/>
        <v>0.14791233377578328</v>
      </c>
      <c r="M76" s="85">
        <f t="shared" si="83"/>
        <v>0.16582327989446666</v>
      </c>
      <c r="N76" s="85">
        <f t="shared" si="83"/>
        <v>0.16829521276252218</v>
      </c>
      <c r="O76" s="85">
        <f t="shared" si="83"/>
        <v>0.20818085882346704</v>
      </c>
      <c r="P76" s="85">
        <f t="shared" si="83"/>
        <v>0.21560552695201116</v>
      </c>
      <c r="Q76" s="85">
        <f t="shared" si="83"/>
        <v>0.21636066760941941</v>
      </c>
      <c r="R76" s="87">
        <f t="shared" si="83"/>
        <v>0.21493013447398093</v>
      </c>
      <c r="S76" s="88">
        <f t="shared" si="83"/>
        <v>0.1832386281940846</v>
      </c>
      <c r="U76" s="85">
        <f t="shared" si="83"/>
        <v>0.17149530449557535</v>
      </c>
      <c r="V76" s="85">
        <f t="shared" si="83"/>
        <v>0.1597451821823889</v>
      </c>
      <c r="W76" s="85">
        <f t="shared" si="83"/>
        <v>0.18189190329618812</v>
      </c>
      <c r="X76" s="87">
        <f t="shared" si="83"/>
        <v>0.21563018926285449</v>
      </c>
      <c r="Y76" s="89">
        <f t="shared" si="83"/>
        <v>0.1832386281940846</v>
      </c>
    </row>
    <row r="77" spans="2:31" ht="15.5" x14ac:dyDescent="0.35">
      <c r="D77" s="24" t="s">
        <v>19</v>
      </c>
      <c r="E77" s="25">
        <v>2026</v>
      </c>
      <c r="F77" s="80">
        <f t="shared" ref="F77:S77" si="84">IFERROR(F66/F$26,0)</f>
        <v>0.18390584915127997</v>
      </c>
      <c r="G77" s="80">
        <f t="shared" si="84"/>
        <v>0.17943474663909195</v>
      </c>
      <c r="H77" s="81">
        <f t="shared" si="84"/>
        <v>0.15140222007728968</v>
      </c>
      <c r="I77" s="81">
        <f t="shared" si="84"/>
        <v>0.17297992396295647</v>
      </c>
      <c r="J77" s="81">
        <f t="shared" si="84"/>
        <v>0.19311048094533922</v>
      </c>
      <c r="K77" s="61">
        <f>IFERROR(K66/K$26,0)</f>
        <v>0.17632217490561863</v>
      </c>
      <c r="L77" s="80">
        <f t="shared" si="84"/>
        <v>0.14791233377578328</v>
      </c>
      <c r="M77" s="80">
        <f t="shared" si="84"/>
        <v>0.16582327989446666</v>
      </c>
      <c r="N77" s="80">
        <f t="shared" si="84"/>
        <v>0.16829521276252218</v>
      </c>
      <c r="O77" s="80">
        <f t="shared" si="84"/>
        <v>0.20818085882346704</v>
      </c>
      <c r="P77" s="80">
        <f t="shared" si="84"/>
        <v>0.21560552695201116</v>
      </c>
      <c r="Q77" s="80">
        <f t="shared" si="84"/>
        <v>0.21636066760941941</v>
      </c>
      <c r="R77" s="82">
        <f t="shared" si="84"/>
        <v>0.21493013447398093</v>
      </c>
      <c r="S77" s="83">
        <f t="shared" si="84"/>
        <v>0.18597385955017789</v>
      </c>
      <c r="U77" s="80">
        <f t="shared" ref="U77:Y77" si="85">IFERROR(U66/U$26,0)</f>
        <v>0.17149530449557535</v>
      </c>
      <c r="V77" s="80">
        <f t="shared" si="85"/>
        <v>0.17119217968372957</v>
      </c>
      <c r="W77" s="80">
        <f t="shared" si="85"/>
        <v>0.18189190329618812</v>
      </c>
      <c r="X77" s="82">
        <f t="shared" si="85"/>
        <v>0.21563018926285449</v>
      </c>
      <c r="Y77" s="84">
        <f t="shared" si="85"/>
        <v>0.18597385955017792</v>
      </c>
    </row>
    <row r="78" spans="2:31" ht="14.5" customHeight="1" x14ac:dyDescent="0.35">
      <c r="C78" s="7"/>
      <c r="F78" s="66"/>
      <c r="G78" s="90"/>
      <c r="H78" s="66"/>
      <c r="I78" s="66"/>
      <c r="J78" s="66"/>
      <c r="K78" s="66"/>
      <c r="L78" s="66"/>
      <c r="M78" s="66"/>
      <c r="N78" s="67"/>
      <c r="O78" s="67"/>
      <c r="P78" s="67"/>
      <c r="Q78" s="67"/>
      <c r="R78" s="68"/>
    </row>
    <row r="79" spans="2:31" ht="15.5" x14ac:dyDescent="0.35">
      <c r="C79" s="19" t="s">
        <v>31</v>
      </c>
      <c r="D79" s="20"/>
      <c r="E79" s="20"/>
      <c r="F79" s="20"/>
      <c r="G79" s="20"/>
      <c r="H79" s="20"/>
      <c r="I79" s="20"/>
      <c r="J79" s="20"/>
      <c r="K79" s="20"/>
      <c r="L79" s="21"/>
      <c r="M79" s="21"/>
      <c r="N79" s="20"/>
      <c r="O79" s="20"/>
      <c r="P79" s="20"/>
      <c r="Q79" s="20"/>
      <c r="R79" s="20"/>
      <c r="S79" s="21"/>
      <c r="U79" s="22"/>
      <c r="V79" s="22"/>
      <c r="W79" s="22"/>
      <c r="X79" s="22"/>
      <c r="Y79" s="22"/>
    </row>
    <row r="80" spans="2:31" s="23" customFormat="1" ht="18" customHeight="1" x14ac:dyDescent="0.35">
      <c r="B80"/>
      <c r="C80" s="2"/>
      <c r="D80" s="32" t="s">
        <v>19</v>
      </c>
      <c r="E80" s="33">
        <v>2024</v>
      </c>
      <c r="F80" s="38">
        <v>3162.6609941999986</v>
      </c>
      <c r="G80" s="38">
        <v>6328.1765964000024</v>
      </c>
      <c r="H80" s="38">
        <v>-1535.2097358999988</v>
      </c>
      <c r="I80" s="38">
        <v>8695.2871847000006</v>
      </c>
      <c r="J80" s="38">
        <v>9824.7812991999981</v>
      </c>
      <c r="K80" s="91">
        <f>SUM(F80:J80)</f>
        <v>26475.696338599999</v>
      </c>
      <c r="L80" s="38">
        <v>11506.328489999994</v>
      </c>
      <c r="M80" s="38">
        <v>14980.553738199998</v>
      </c>
      <c r="N80" s="38">
        <v>12312.840006263243</v>
      </c>
      <c r="O80" s="38">
        <v>20217.853487063243</v>
      </c>
      <c r="P80" s="38">
        <v>18128.643547063239</v>
      </c>
      <c r="Q80" s="38">
        <v>-935.17021923675293</v>
      </c>
      <c r="R80" s="92">
        <v>5797.755575000002</v>
      </c>
      <c r="S80" s="37">
        <f>SUM(K80:R80)</f>
        <v>108484.50096295297</v>
      </c>
      <c r="T80" s="2"/>
      <c r="U80" s="38">
        <f>SUM(F80:G80,H80)</f>
        <v>7955.6278547000011</v>
      </c>
      <c r="V80" s="38">
        <f>SUM(I80,J80,L80)</f>
        <v>30026.396973899995</v>
      </c>
      <c r="W80" s="38">
        <f>SUM(M80:O80)</f>
        <v>47511.247231526482</v>
      </c>
      <c r="X80" s="39">
        <f>SUM(P80:R80)</f>
        <v>22991.22890282649</v>
      </c>
      <c r="Y80" s="40">
        <f>SUM(U80:X80)</f>
        <v>108484.50096295297</v>
      </c>
      <c r="AA80"/>
      <c r="AC80"/>
      <c r="AD80"/>
      <c r="AE80"/>
    </row>
    <row r="81" spans="2:32" s="23" customFormat="1" ht="17.5" customHeight="1" x14ac:dyDescent="0.35">
      <c r="B81"/>
      <c r="C81" s="2"/>
      <c r="D81" s="24" t="s">
        <v>19</v>
      </c>
      <c r="E81" s="25">
        <v>2025</v>
      </c>
      <c r="F81" s="26">
        <v>14366.120535999999</v>
      </c>
      <c r="G81" s="26">
        <v>5805.9191723000013</v>
      </c>
      <c r="H81" s="26">
        <v>7376.6237156000025</v>
      </c>
      <c r="I81" s="26">
        <v>3460.6934809999989</v>
      </c>
      <c r="J81" s="26">
        <v>16937.22883</v>
      </c>
      <c r="K81" s="28">
        <f t="shared" ref="K81:K83" si="86">SUM(F81:J81)</f>
        <v>47946.5857349</v>
      </c>
      <c r="L81" s="27">
        <v>13442.739</v>
      </c>
      <c r="M81" s="27">
        <v>9559.5878400000001</v>
      </c>
      <c r="N81" s="27">
        <v>19138.198868800002</v>
      </c>
      <c r="O81" s="27">
        <v>18614.144</v>
      </c>
      <c r="P81" s="26">
        <v>19941.734</v>
      </c>
      <c r="Q81" s="26">
        <v>2644.9385790000001</v>
      </c>
      <c r="R81" s="27">
        <v>1557.3802000000001</v>
      </c>
      <c r="S81" s="29">
        <f t="shared" ref="S81:S83" si="87">SUM(K81:R81)</f>
        <v>132845.3082227</v>
      </c>
      <c r="T81" s="2"/>
      <c r="U81" s="26">
        <f>SUM(F81:G81,H81)</f>
        <v>27548.663423900001</v>
      </c>
      <c r="V81" s="26">
        <f>SUM(I81,J81,L81)</f>
        <v>33840.661310999996</v>
      </c>
      <c r="W81" s="26">
        <f t="shared" ref="W81:W83" si="88">SUM(M81:O81)</f>
        <v>47311.930708800006</v>
      </c>
      <c r="X81" s="30">
        <f t="shared" ref="X81:X83" si="89">SUM(P81:R81)</f>
        <v>24144.052779000001</v>
      </c>
      <c r="Y81" s="31">
        <f t="shared" ref="Y81:Y83" si="90">SUM(U81:X81)</f>
        <v>132845.3082227</v>
      </c>
      <c r="AC81"/>
      <c r="AD81"/>
      <c r="AE81"/>
      <c r="AF81" s="50"/>
    </row>
    <row r="82" spans="2:32" s="23" customFormat="1" ht="18" customHeight="1" x14ac:dyDescent="0.35">
      <c r="B82"/>
      <c r="C82" s="2"/>
      <c r="D82" s="32" t="s">
        <v>20</v>
      </c>
      <c r="E82" s="33">
        <v>2026</v>
      </c>
      <c r="F82" s="34">
        <v>3336.37802499998</v>
      </c>
      <c r="G82" s="34">
        <v>5783.1197939108761</v>
      </c>
      <c r="H82" s="34">
        <v>4946.1592094043754</v>
      </c>
      <c r="I82" s="34">
        <v>7645.2313821952075</v>
      </c>
      <c r="J82" s="34">
        <v>16156.89440312901</v>
      </c>
      <c r="K82" s="35">
        <f t="shared" si="86"/>
        <v>37867.782813639446</v>
      </c>
      <c r="L82" s="34">
        <v>18284.680830863377</v>
      </c>
      <c r="M82" s="34">
        <v>16882.808933116212</v>
      </c>
      <c r="N82" s="34">
        <v>24483.95346793369</v>
      </c>
      <c r="O82" s="34">
        <v>25196.505640743657</v>
      </c>
      <c r="P82" s="34">
        <v>25638.16223522829</v>
      </c>
      <c r="Q82" s="34">
        <v>10308.447565266499</v>
      </c>
      <c r="R82" s="36">
        <v>5188.9162038381628</v>
      </c>
      <c r="S82" s="37">
        <f t="shared" si="87"/>
        <v>163851.25769062931</v>
      </c>
      <c r="T82" s="2"/>
      <c r="U82" s="38">
        <f>SUM(F82:G82,H82)</f>
        <v>14065.65702831523</v>
      </c>
      <c r="V82" s="38">
        <f>SUM(I82,J82,L82)</f>
        <v>42086.80661618759</v>
      </c>
      <c r="W82" s="38">
        <f t="shared" si="88"/>
        <v>66563.268041793548</v>
      </c>
      <c r="X82" s="39">
        <f t="shared" si="89"/>
        <v>41135.526004332947</v>
      </c>
      <c r="Y82" s="40">
        <f t="shared" si="90"/>
        <v>163851.25769062934</v>
      </c>
      <c r="AA82"/>
      <c r="AC82"/>
      <c r="AD82"/>
      <c r="AE82"/>
      <c r="AF82" s="50"/>
    </row>
    <row r="83" spans="2:32" s="23" customFormat="1" ht="18" customHeight="1" x14ac:dyDescent="0.35">
      <c r="B83"/>
      <c r="C83" s="2"/>
      <c r="D83" s="41" t="s">
        <v>19</v>
      </c>
      <c r="E83" s="42">
        <v>2026</v>
      </c>
      <c r="F83" s="43">
        <v>2313</v>
      </c>
      <c r="G83" s="43">
        <v>5640</v>
      </c>
      <c r="H83" s="43">
        <v>-944.86354999999105</v>
      </c>
      <c r="I83" s="44">
        <v>9737.1957100000218</v>
      </c>
      <c r="J83" s="44">
        <v>26676.70888545</v>
      </c>
      <c r="K83" s="45">
        <f t="shared" si="86"/>
        <v>43422.041045450031</v>
      </c>
      <c r="L83" s="46">
        <f t="shared" ref="L83:R83" si="91">L82</f>
        <v>18284.680830863377</v>
      </c>
      <c r="M83" s="46">
        <f t="shared" si="91"/>
        <v>16882.808933116212</v>
      </c>
      <c r="N83" s="46">
        <f t="shared" si="91"/>
        <v>24483.95346793369</v>
      </c>
      <c r="O83" s="46">
        <f t="shared" si="91"/>
        <v>25196.505640743657</v>
      </c>
      <c r="P83" s="46">
        <f t="shared" si="91"/>
        <v>25638.16223522829</v>
      </c>
      <c r="Q83" s="46">
        <f t="shared" si="91"/>
        <v>10308.447565266499</v>
      </c>
      <c r="R83" s="46">
        <f t="shared" si="91"/>
        <v>5188.9162038381628</v>
      </c>
      <c r="S83" s="47">
        <f t="shared" si="87"/>
        <v>169405.5159224399</v>
      </c>
      <c r="T83" s="2"/>
      <c r="U83" s="44">
        <f>SUM(F83:G83,H83)</f>
        <v>7008.1364500000091</v>
      </c>
      <c r="V83" s="44">
        <f>SUM(I83,J83,L83)</f>
        <v>54698.585426313395</v>
      </c>
      <c r="W83" s="44">
        <f t="shared" si="88"/>
        <v>66563.268041793548</v>
      </c>
      <c r="X83" s="48">
        <f t="shared" si="89"/>
        <v>41135.526004332947</v>
      </c>
      <c r="Y83" s="49">
        <f t="shared" si="90"/>
        <v>169405.5159224399</v>
      </c>
      <c r="AB83" s="50"/>
      <c r="AC83"/>
      <c r="AD83"/>
      <c r="AE83"/>
    </row>
    <row r="84" spans="2:32" s="23" customFormat="1" ht="17.5" customHeight="1" x14ac:dyDescent="0.35">
      <c r="B84"/>
      <c r="C84" s="51"/>
      <c r="D84" s="32" t="s">
        <v>22</v>
      </c>
      <c r="E84" s="32"/>
      <c r="F84" s="52">
        <f>F81/F80-1</f>
        <v>3.5424155678860352</v>
      </c>
      <c r="G84" s="52">
        <f t="shared" ref="G84:S84" si="92">G81/G80-1</f>
        <v>-8.2528895353063514E-2</v>
      </c>
      <c r="H84" s="53">
        <f t="shared" si="92"/>
        <v>-5.8049615261692846</v>
      </c>
      <c r="I84" s="53">
        <f t="shared" si="92"/>
        <v>-0.60200354427748581</v>
      </c>
      <c r="J84" s="53">
        <f t="shared" si="92"/>
        <v>0.72392934908170892</v>
      </c>
      <c r="K84" s="54">
        <f>K81/K80-1</f>
        <v>0.81096599393296076</v>
      </c>
      <c r="L84" s="53">
        <f t="shared" si="92"/>
        <v>0.16829091153471887</v>
      </c>
      <c r="M84" s="53">
        <f t="shared" si="92"/>
        <v>-0.3618668570559368</v>
      </c>
      <c r="N84" s="53">
        <f t="shared" si="92"/>
        <v>0.55432855937905989</v>
      </c>
      <c r="O84" s="53">
        <f t="shared" si="92"/>
        <v>-7.9321451611537586E-2</v>
      </c>
      <c r="P84" s="53">
        <f t="shared" si="92"/>
        <v>0.10001247187798978</v>
      </c>
      <c r="Q84" s="53">
        <f t="shared" si="92"/>
        <v>-3.8282964155538326</v>
      </c>
      <c r="R84" s="55">
        <f t="shared" si="92"/>
        <v>-0.73138222543988507</v>
      </c>
      <c r="S84" s="56">
        <f t="shared" si="92"/>
        <v>0.22455564659938054</v>
      </c>
      <c r="T84" s="2"/>
      <c r="U84" s="52">
        <f t="shared" ref="U84:Y84" si="93">U81/U80-1</f>
        <v>2.4627893520213981</v>
      </c>
      <c r="V84" s="52">
        <f t="shared" si="93"/>
        <v>0.12703037065737499</v>
      </c>
      <c r="W84" s="52">
        <f t="shared" si="93"/>
        <v>-4.1951439783339817E-3</v>
      </c>
      <c r="X84" s="57">
        <f t="shared" si="93"/>
        <v>5.0141898940938567E-2</v>
      </c>
      <c r="Y84" s="58">
        <f t="shared" si="93"/>
        <v>0.22455564659938054</v>
      </c>
      <c r="AC84"/>
      <c r="AD84"/>
      <c r="AE84"/>
    </row>
    <row r="85" spans="2:32" s="23" customFormat="1" ht="17.5" customHeight="1" x14ac:dyDescent="0.35">
      <c r="B85"/>
      <c r="C85" s="51"/>
      <c r="D85" s="24" t="s">
        <v>23</v>
      </c>
      <c r="E85" s="24"/>
      <c r="F85" s="59">
        <f>F83/F81-1</f>
        <v>-0.83899619982974083</v>
      </c>
      <c r="G85" s="59">
        <f t="shared" ref="G85:S85" si="94">G83/G81-1</f>
        <v>-2.8577589073509713E-2</v>
      </c>
      <c r="H85" s="60">
        <f t="shared" si="94"/>
        <v>-1.1280888908569111</v>
      </c>
      <c r="I85" s="60">
        <f t="shared" si="94"/>
        <v>1.8136544780574932</v>
      </c>
      <c r="J85" s="60">
        <f t="shared" si="94"/>
        <v>0.57503385903359727</v>
      </c>
      <c r="K85" s="61">
        <f>K83/K81-1</f>
        <v>-9.4366358315198684E-2</v>
      </c>
      <c r="L85" s="59">
        <f t="shared" si="94"/>
        <v>0.36019012426436148</v>
      </c>
      <c r="M85" s="59">
        <f t="shared" si="94"/>
        <v>0.76606033813234053</v>
      </c>
      <c r="N85" s="59">
        <f t="shared" si="94"/>
        <v>0.2793238086708667</v>
      </c>
      <c r="O85" s="59">
        <f t="shared" si="94"/>
        <v>0.35362150635257028</v>
      </c>
      <c r="P85" s="59">
        <f t="shared" si="94"/>
        <v>0.28565360641297732</v>
      </c>
      <c r="Q85" s="59">
        <f t="shared" si="94"/>
        <v>2.8974241772993921</v>
      </c>
      <c r="R85" s="62">
        <f t="shared" si="94"/>
        <v>2.3318236637644185</v>
      </c>
      <c r="S85" s="63">
        <f t="shared" si="94"/>
        <v>0.2752088740571168</v>
      </c>
      <c r="T85" s="2"/>
      <c r="U85" s="59">
        <f t="shared" ref="U85:Y85" si="95">U83/U81-1</f>
        <v>-0.74560883981325721</v>
      </c>
      <c r="V85" s="59">
        <f t="shared" si="95"/>
        <v>0.61635687091414715</v>
      </c>
      <c r="W85" s="59">
        <f t="shared" si="95"/>
        <v>0.40690238264600764</v>
      </c>
      <c r="X85" s="64">
        <f t="shared" si="95"/>
        <v>0.7037539795353569</v>
      </c>
      <c r="Y85" s="65">
        <f t="shared" si="95"/>
        <v>0.2752088740571168</v>
      </c>
    </row>
    <row r="86" spans="2:32" s="23" customFormat="1" ht="17.5" customHeight="1" x14ac:dyDescent="0.35">
      <c r="B86"/>
      <c r="C86" s="51"/>
      <c r="D86" s="32" t="s">
        <v>24</v>
      </c>
      <c r="E86" s="32"/>
      <c r="F86" s="52">
        <f>F83/F82-1</f>
        <v>-0.30673323506259043</v>
      </c>
      <c r="G86" s="52">
        <f t="shared" ref="G86:S86" si="96">G83/G82-1</f>
        <v>-2.4747852199355935E-2</v>
      </c>
      <c r="H86" s="53">
        <f t="shared" si="96"/>
        <v>-1.191029748537709</v>
      </c>
      <c r="I86" s="53">
        <f t="shared" si="96"/>
        <v>0.27362995614190821</v>
      </c>
      <c r="J86" s="53">
        <f t="shared" si="96"/>
        <v>0.65110374678711014</v>
      </c>
      <c r="K86" s="54">
        <f>K83/K82-1</f>
        <v>0.14667503136228022</v>
      </c>
      <c r="L86" s="53">
        <f t="shared" si="96"/>
        <v>0</v>
      </c>
      <c r="M86" s="53">
        <f t="shared" si="96"/>
        <v>0</v>
      </c>
      <c r="N86" s="53">
        <f t="shared" si="96"/>
        <v>0</v>
      </c>
      <c r="O86" s="53">
        <f t="shared" si="96"/>
        <v>0</v>
      </c>
      <c r="P86" s="53">
        <f t="shared" si="96"/>
        <v>0</v>
      </c>
      <c r="Q86" s="53">
        <f t="shared" si="96"/>
        <v>0</v>
      </c>
      <c r="R86" s="55">
        <f t="shared" si="96"/>
        <v>0</v>
      </c>
      <c r="S86" s="56">
        <f t="shared" si="96"/>
        <v>3.3898172709163399E-2</v>
      </c>
      <c r="T86" s="2"/>
      <c r="U86" s="52">
        <f t="shared" ref="U86:Y86" si="97">U83/U82-1</f>
        <v>-0.50175548601163089</v>
      </c>
      <c r="V86" s="52">
        <f t="shared" si="97"/>
        <v>0.29966110104621269</v>
      </c>
      <c r="W86" s="52">
        <f t="shared" si="97"/>
        <v>0</v>
      </c>
      <c r="X86" s="57">
        <f t="shared" si="97"/>
        <v>0</v>
      </c>
      <c r="Y86" s="58">
        <f t="shared" si="97"/>
        <v>3.3898172709163177E-2</v>
      </c>
    </row>
    <row r="87" spans="2:32" ht="14.5" customHeight="1" x14ac:dyDescent="0.35">
      <c r="C87" s="7"/>
      <c r="F87" s="66"/>
      <c r="G87" s="66"/>
      <c r="H87" s="66"/>
      <c r="I87" s="66"/>
      <c r="J87" s="66"/>
      <c r="K87" s="66"/>
      <c r="L87" s="66"/>
      <c r="M87" s="66"/>
      <c r="N87" s="67"/>
      <c r="O87" s="67"/>
      <c r="P87" s="67"/>
      <c r="Q87" s="67"/>
      <c r="R87" s="68"/>
    </row>
    <row r="88" spans="2:32" x14ac:dyDescent="0.35">
      <c r="D88" s="8" t="s">
        <v>32</v>
      </c>
      <c r="F88" s="66"/>
      <c r="G88" s="66"/>
      <c r="H88" s="66"/>
      <c r="I88" s="66"/>
      <c r="J88" s="77"/>
      <c r="K88" s="77"/>
      <c r="L88" s="66"/>
      <c r="M88" s="66"/>
      <c r="N88" s="78"/>
      <c r="S88" s="79"/>
    </row>
    <row r="89" spans="2:32" ht="15.5" x14ac:dyDescent="0.35">
      <c r="D89" s="24" t="s">
        <v>19</v>
      </c>
      <c r="E89" s="25">
        <v>2024</v>
      </c>
      <c r="F89" s="80">
        <f t="shared" ref="F89:S91" si="98">IFERROR(F80/F62,0)</f>
        <v>0.21263933278164934</v>
      </c>
      <c r="G89" s="80">
        <f t="shared" si="98"/>
        <v>0.62906482376252781</v>
      </c>
      <c r="H89" s="81">
        <f t="shared" si="98"/>
        <v>-0.12587638184181241</v>
      </c>
      <c r="I89" s="81">
        <f t="shared" si="98"/>
        <v>0.82989859153716405</v>
      </c>
      <c r="J89" s="81">
        <f t="shared" si="98"/>
        <v>0.74948867162161659</v>
      </c>
      <c r="K89" s="61">
        <f t="shared" si="98"/>
        <v>0.43606257083892935</v>
      </c>
      <c r="L89" s="80">
        <f t="shared" si="98"/>
        <v>0.62603816518310573</v>
      </c>
      <c r="M89" s="80">
        <f t="shared" si="98"/>
        <v>0.90103228711990868</v>
      </c>
      <c r="N89" s="80">
        <f t="shared" si="98"/>
        <v>0.72953690329101561</v>
      </c>
      <c r="O89" s="80">
        <f t="shared" si="98"/>
        <v>0.97504779009569964</v>
      </c>
      <c r="P89" s="80">
        <f t="shared" si="98"/>
        <v>0.94714241668222099</v>
      </c>
      <c r="Q89" s="80">
        <f t="shared" si="98"/>
        <v>-7.0838902417416111E-2</v>
      </c>
      <c r="R89" s="82">
        <f t="shared" si="98"/>
        <v>0.75739654777105025</v>
      </c>
      <c r="S89" s="83">
        <f t="shared" si="98"/>
        <v>0.62588281712317062</v>
      </c>
      <c r="U89" s="80">
        <f t="shared" ref="U89:Y91" si="99">IFERROR(U80/U62,0)</f>
        <v>0.21426884881264494</v>
      </c>
      <c r="V89" s="80">
        <f t="shared" si="99"/>
        <v>0.71549732453003967</v>
      </c>
      <c r="W89" s="80">
        <f t="shared" si="99"/>
        <v>0.87596348470734053</v>
      </c>
      <c r="X89" s="82">
        <f t="shared" si="99"/>
        <v>0.57483001601895412</v>
      </c>
      <c r="Y89" s="84">
        <f t="shared" si="99"/>
        <v>0.62588281712317062</v>
      </c>
    </row>
    <row r="90" spans="2:32" ht="15.5" x14ac:dyDescent="0.35">
      <c r="D90" s="32" t="s">
        <v>19</v>
      </c>
      <c r="E90" s="33">
        <v>2025</v>
      </c>
      <c r="F90" s="85">
        <f t="shared" si="98"/>
        <v>0.8068621627351904</v>
      </c>
      <c r="G90" s="85">
        <f t="shared" si="98"/>
        <v>0.38504779634524533</v>
      </c>
      <c r="H90" s="86">
        <f t="shared" si="98"/>
        <v>0.52141914817718815</v>
      </c>
      <c r="I90" s="86">
        <f t="shared" si="98"/>
        <v>0.21154832750004315</v>
      </c>
      <c r="J90" s="86">
        <f t="shared" si="98"/>
        <v>0.89595341508418802</v>
      </c>
      <c r="K90" s="54">
        <f t="shared" si="98"/>
        <v>0.58262845735779434</v>
      </c>
      <c r="L90" s="85">
        <f t="shared" si="98"/>
        <v>0.88241592626888965</v>
      </c>
      <c r="M90" s="85">
        <f t="shared" si="98"/>
        <v>1.2850529762959644</v>
      </c>
      <c r="N90" s="85">
        <f t="shared" si="98"/>
        <v>1.3202259582857192</v>
      </c>
      <c r="O90" s="85">
        <f t="shared" si="98"/>
        <v>1.0200062224706361</v>
      </c>
      <c r="P90" s="85">
        <f t="shared" si="98"/>
        <v>1.0843329182744581</v>
      </c>
      <c r="Q90" s="85">
        <f t="shared" si="98"/>
        <v>0.14204881992071092</v>
      </c>
      <c r="R90" s="87">
        <f t="shared" si="98"/>
        <v>0.11245044556463253</v>
      </c>
      <c r="S90" s="88">
        <f t="shared" si="98"/>
        <v>0.70448033407215371</v>
      </c>
      <c r="U90" s="85">
        <f t="shared" si="99"/>
        <v>0.58576080404499986</v>
      </c>
      <c r="V90" s="85">
        <f t="shared" si="99"/>
        <v>0.67015144189441977</v>
      </c>
      <c r="W90" s="85">
        <f t="shared" si="99"/>
        <v>1.1773745510020708</v>
      </c>
      <c r="X90" s="87">
        <f t="shared" si="99"/>
        <v>0.47471415048091964</v>
      </c>
      <c r="Y90" s="89">
        <f t="shared" si="99"/>
        <v>0.70448033407215382</v>
      </c>
    </row>
    <row r="91" spans="2:32" ht="15.5" x14ac:dyDescent="0.35">
      <c r="D91" s="24" t="s">
        <v>20</v>
      </c>
      <c r="E91" s="25">
        <v>2026</v>
      </c>
      <c r="F91" s="80">
        <f t="shared" si="98"/>
        <v>0.20114461944837078</v>
      </c>
      <c r="G91" s="80">
        <f t="shared" si="98"/>
        <v>0.37125352526599542</v>
      </c>
      <c r="H91" s="81">
        <f t="shared" si="98"/>
        <v>0.32331829599000372</v>
      </c>
      <c r="I91" s="81">
        <f t="shared" si="98"/>
        <v>0.4785025804675867</v>
      </c>
      <c r="J91" s="81">
        <f t="shared" si="98"/>
        <v>0.94152407256153403</v>
      </c>
      <c r="K91" s="61">
        <f t="shared" si="98"/>
        <v>0.4698228913415895</v>
      </c>
      <c r="L91" s="80">
        <f t="shared" si="98"/>
        <v>1.0227908041528324</v>
      </c>
      <c r="M91" s="80">
        <f t="shared" si="98"/>
        <v>0.78112385590015643</v>
      </c>
      <c r="N91" s="80">
        <f t="shared" si="98"/>
        <v>1.1466227575626973</v>
      </c>
      <c r="O91" s="80">
        <f t="shared" si="98"/>
        <v>0.87002387823835081</v>
      </c>
      <c r="P91" s="80">
        <f t="shared" si="98"/>
        <v>0.95178705176292733</v>
      </c>
      <c r="Q91" s="80">
        <f t="shared" si="98"/>
        <v>0.37854131811680586</v>
      </c>
      <c r="R91" s="82">
        <f t="shared" si="98"/>
        <v>0.20702363723507008</v>
      </c>
      <c r="S91" s="83">
        <f t="shared" si="98"/>
        <v>0.65635563778777495</v>
      </c>
      <c r="U91" s="80">
        <f t="shared" si="99"/>
        <v>0.29635398512868488</v>
      </c>
      <c r="V91" s="80">
        <f t="shared" si="99"/>
        <v>0.82498860836680399</v>
      </c>
      <c r="W91" s="80">
        <f t="shared" si="99"/>
        <v>0.92542433525790835</v>
      </c>
      <c r="X91" s="82">
        <f t="shared" si="99"/>
        <v>0.51916991989441374</v>
      </c>
      <c r="Y91" s="84">
        <f t="shared" si="99"/>
        <v>0.65635563778777506</v>
      </c>
    </row>
    <row r="92" spans="2:32" ht="15.5" x14ac:dyDescent="0.35">
      <c r="D92" s="32" t="s">
        <v>19</v>
      </c>
      <c r="E92" s="33">
        <v>2026</v>
      </c>
      <c r="F92" s="85">
        <f t="shared" ref="F92:S92" si="100">IFERROR(F83/F66,0)</f>
        <v>0.1179846202923682</v>
      </c>
      <c r="G92" s="85">
        <f t="shared" si="100"/>
        <v>0.29983450123249616</v>
      </c>
      <c r="H92" s="86">
        <f t="shared" si="100"/>
        <v>-5.8181392634353721E-2</v>
      </c>
      <c r="I92" s="86">
        <f t="shared" si="100"/>
        <v>0.50695286793542993</v>
      </c>
      <c r="J92" s="86">
        <f t="shared" si="100"/>
        <v>1.2146007336893236</v>
      </c>
      <c r="K92" s="54">
        <f>IFERROR(K83/K66,0)</f>
        <v>0.45313780665684661</v>
      </c>
      <c r="L92" s="85">
        <f t="shared" si="100"/>
        <v>1.0692725777195644</v>
      </c>
      <c r="M92" s="85">
        <f t="shared" si="100"/>
        <v>0.8665961335695862</v>
      </c>
      <c r="N92" s="85">
        <f t="shared" si="100"/>
        <v>1.2150540308405733</v>
      </c>
      <c r="O92" s="85">
        <f t="shared" si="100"/>
        <v>0.90500121874175599</v>
      </c>
      <c r="P92" s="85">
        <f t="shared" si="100"/>
        <v>0.95561288804865896</v>
      </c>
      <c r="Q92" s="85">
        <f t="shared" si="100"/>
        <v>0.37993466040722773</v>
      </c>
      <c r="R92" s="87">
        <f t="shared" si="100"/>
        <v>0.19089600837681137</v>
      </c>
      <c r="S92" s="88">
        <f t="shared" si="100"/>
        <v>0.64771795886690509</v>
      </c>
      <c r="U92" s="85">
        <f t="shared" ref="U92:Y92" si="101">IFERROR(U83/U66,0)</f>
        <v>0.12822594945270685</v>
      </c>
      <c r="V92" s="85">
        <f t="shared" si="101"/>
        <v>0.93869682982585489</v>
      </c>
      <c r="W92" s="85">
        <f t="shared" si="101"/>
        <v>0.98650743481846215</v>
      </c>
      <c r="X92" s="87">
        <f t="shared" si="101"/>
        <v>0.50695048757825489</v>
      </c>
      <c r="Y92" s="89">
        <f t="shared" si="101"/>
        <v>0.64771795886690509</v>
      </c>
    </row>
    <row r="93" spans="2:32" ht="14.5" customHeight="1" x14ac:dyDescent="0.35">
      <c r="C93" s="7"/>
      <c r="F93" s="66"/>
      <c r="G93" s="66"/>
      <c r="H93" s="66"/>
      <c r="I93" s="66"/>
      <c r="J93" s="66"/>
      <c r="K93" s="66"/>
      <c r="L93" s="66"/>
      <c r="M93" s="66"/>
      <c r="N93" s="67"/>
      <c r="O93" s="67"/>
      <c r="P93" s="67"/>
      <c r="Q93" s="67"/>
      <c r="R93" s="68"/>
    </row>
    <row r="94" spans="2:32" ht="15.5" outlineLevel="1" x14ac:dyDescent="0.35">
      <c r="C94" s="71" t="s">
        <v>33</v>
      </c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U94" s="71"/>
      <c r="V94" s="71"/>
      <c r="W94" s="71"/>
      <c r="X94" s="71"/>
      <c r="Y94" s="71"/>
    </row>
    <row r="95" spans="2:32" s="23" customFormat="1" ht="18" customHeight="1" outlineLevel="1" x14ac:dyDescent="0.35">
      <c r="B95"/>
      <c r="C95" s="2"/>
      <c r="D95" s="24" t="s">
        <v>19</v>
      </c>
      <c r="E95" s="25">
        <v>2024</v>
      </c>
      <c r="F95" s="26">
        <v>18412.283937758661</v>
      </c>
      <c r="G95" s="26">
        <v>13425.105106316989</v>
      </c>
      <c r="H95" s="26">
        <v>17137.98175920486</v>
      </c>
      <c r="I95" s="26">
        <v>16163.728174942018</v>
      </c>
      <c r="J95" s="26">
        <v>17931.609162525361</v>
      </c>
      <c r="K95" s="28">
        <f>SUM(F95:J95)</f>
        <v>83070.708140747898</v>
      </c>
      <c r="L95" s="27">
        <v>22177.244938542048</v>
      </c>
      <c r="M95" s="27">
        <v>20786.914071124404</v>
      </c>
      <c r="N95" s="27">
        <v>20800.317519408629</v>
      </c>
      <c r="O95" s="27">
        <v>26093.037598754254</v>
      </c>
      <c r="P95" s="26">
        <v>23348.862859074794</v>
      </c>
      <c r="Q95" s="26">
        <v>18624.53776337552</v>
      </c>
      <c r="R95" s="27">
        <v>10533.289367175392</v>
      </c>
      <c r="S95" s="29">
        <f>SUM(K95:R95)</f>
        <v>225434.91225820294</v>
      </c>
      <c r="T95" s="2"/>
      <c r="U95" s="26">
        <f>SUM(F95:G95,H95)</f>
        <v>48975.370803280515</v>
      </c>
      <c r="V95" s="26">
        <f>SUM(I95,J95,L95)</f>
        <v>56272.582276009431</v>
      </c>
      <c r="W95" s="26">
        <f>SUM(M95:O95)</f>
        <v>67680.269189287283</v>
      </c>
      <c r="X95" s="30">
        <f>SUM(P95:R95)</f>
        <v>52506.689989625702</v>
      </c>
      <c r="Y95" s="31">
        <f>SUM(U95:X95)</f>
        <v>225434.91225820294</v>
      </c>
      <c r="AA95"/>
    </row>
    <row r="96" spans="2:32" s="23" customFormat="1" ht="17.5" customHeight="1" outlineLevel="1" x14ac:dyDescent="0.35">
      <c r="B96"/>
      <c r="C96" s="2"/>
      <c r="D96" s="32" t="s">
        <v>19</v>
      </c>
      <c r="E96" s="33">
        <v>2025</v>
      </c>
      <c r="F96" s="34">
        <v>19580.559948563794</v>
      </c>
      <c r="G96" s="34">
        <v>17479.308122625953</v>
      </c>
      <c r="H96" s="34">
        <v>19159.014236894971</v>
      </c>
      <c r="I96" s="34">
        <v>21578.866374132234</v>
      </c>
      <c r="J96" s="34">
        <v>22972.808709352794</v>
      </c>
      <c r="K96" s="35">
        <f t="shared" ref="K96:K99" si="102">SUM(F96:J96)</f>
        <v>100770.55739156975</v>
      </c>
      <c r="L96" s="34">
        <v>19295.22273578294</v>
      </c>
      <c r="M96" s="34">
        <v>11837.151191674735</v>
      </c>
      <c r="N96" s="34">
        <v>19145.986010597513</v>
      </c>
      <c r="O96" s="34">
        <v>23310.816453887921</v>
      </c>
      <c r="P96" s="34">
        <v>33732.86973974976</v>
      </c>
      <c r="Q96" s="34">
        <v>34781.758271627747</v>
      </c>
      <c r="R96" s="36">
        <f>24592.3715281149-1576.205</f>
        <v>23016.166528114903</v>
      </c>
      <c r="S96" s="37">
        <f t="shared" ref="S96:S99" si="103">SUM(K96:R96)</f>
        <v>265890.52832300524</v>
      </c>
      <c r="T96" s="2"/>
      <c r="U96" s="38">
        <f>SUM(F96:G96,H96)</f>
        <v>56218.882308084721</v>
      </c>
      <c r="V96" s="38">
        <f>SUM(I96,J96,L96)</f>
        <v>63846.897819267964</v>
      </c>
      <c r="W96" s="38">
        <f t="shared" ref="W96:W99" si="104">SUM(M96:O96)</f>
        <v>54293.953656160171</v>
      </c>
      <c r="X96" s="39">
        <f t="shared" ref="X96:X99" si="105">SUM(P96:R96)</f>
        <v>91530.794539492403</v>
      </c>
      <c r="Y96" s="40">
        <f t="shared" ref="Y96:Y99" si="106">SUM(U96:X96)</f>
        <v>265890.52832300524</v>
      </c>
    </row>
    <row r="97" spans="2:27" s="23" customFormat="1" ht="18" customHeight="1" outlineLevel="1" x14ac:dyDescent="0.35">
      <c r="B97"/>
      <c r="C97" s="2"/>
      <c r="D97" s="24" t="s">
        <v>20</v>
      </c>
      <c r="E97" s="25">
        <v>2026</v>
      </c>
      <c r="F97" s="26">
        <f>F46</f>
        <v>16586.961332348001</v>
      </c>
      <c r="G97" s="26">
        <f t="shared" ref="G97:R98" si="107">G46</f>
        <v>15577.279137665808</v>
      </c>
      <c r="H97" s="26">
        <f t="shared" si="107"/>
        <v>15298.111089751937</v>
      </c>
      <c r="I97" s="26">
        <f t="shared" si="107"/>
        <v>15977.408888212021</v>
      </c>
      <c r="J97" s="26">
        <f t="shared" si="107"/>
        <v>17160.362516459252</v>
      </c>
      <c r="K97" s="28">
        <f t="shared" si="102"/>
        <v>80600.122964437018</v>
      </c>
      <c r="L97" s="27">
        <f t="shared" si="107"/>
        <v>17877.244062639376</v>
      </c>
      <c r="M97" s="27">
        <f t="shared" si="107"/>
        <v>21613.485243848678</v>
      </c>
      <c r="N97" s="27">
        <f t="shared" si="107"/>
        <v>21353.102671690962</v>
      </c>
      <c r="O97" s="27">
        <f t="shared" si="107"/>
        <v>28960.705873685056</v>
      </c>
      <c r="P97" s="26">
        <f t="shared" si="107"/>
        <v>26936.868060708064</v>
      </c>
      <c r="Q97" s="26">
        <f t="shared" si="107"/>
        <v>27232.027448284094</v>
      </c>
      <c r="R97" s="27">
        <f t="shared" si="107"/>
        <v>25064.36594941224</v>
      </c>
      <c r="S97" s="29">
        <f t="shared" si="103"/>
        <v>249637.92227470549</v>
      </c>
      <c r="T97" s="2"/>
      <c r="U97" s="26">
        <f>SUM(F97:G97,H97)</f>
        <v>47462.351559765746</v>
      </c>
      <c r="V97" s="26">
        <f>SUM(I97,J97,L97)</f>
        <v>51015.015467310644</v>
      </c>
      <c r="W97" s="26">
        <f t="shared" si="104"/>
        <v>71927.293789224699</v>
      </c>
      <c r="X97" s="30">
        <f t="shared" si="105"/>
        <v>79233.261458404391</v>
      </c>
      <c r="Y97" s="31">
        <f t="shared" si="106"/>
        <v>249637.92227470549</v>
      </c>
      <c r="AA97"/>
    </row>
    <row r="98" spans="2:27" s="23" customFormat="1" ht="18" customHeight="1" outlineLevel="1" x14ac:dyDescent="0.35">
      <c r="B98"/>
      <c r="C98" s="2"/>
      <c r="D98" s="32" t="s">
        <v>21</v>
      </c>
      <c r="E98" s="33">
        <v>2026</v>
      </c>
      <c r="F98" s="34">
        <f>F47</f>
        <v>22496.568074697767</v>
      </c>
      <c r="G98" s="34">
        <f t="shared" si="107"/>
        <v>21677.649170688626</v>
      </c>
      <c r="H98" s="34">
        <f t="shared" si="107"/>
        <v>21418.494532591951</v>
      </c>
      <c r="I98" s="34">
        <f t="shared" si="107"/>
        <v>28184.803782433108</v>
      </c>
      <c r="J98" s="34">
        <f t="shared" si="107"/>
        <v>17728.989235090387</v>
      </c>
      <c r="K98" s="35">
        <f t="shared" si="102"/>
        <v>111506.50479550184</v>
      </c>
      <c r="L98" s="34">
        <f t="shared" si="107"/>
        <v>17099.983355565186</v>
      </c>
      <c r="M98" s="34">
        <f t="shared" si="107"/>
        <v>19481.630887379197</v>
      </c>
      <c r="N98" s="34">
        <f t="shared" si="107"/>
        <v>20150.333689761494</v>
      </c>
      <c r="O98" s="34">
        <f t="shared" si="107"/>
        <v>27841.227938651544</v>
      </c>
      <c r="P98" s="34">
        <f t="shared" si="107"/>
        <v>26828.844807274687</v>
      </c>
      <c r="Q98" s="34">
        <f t="shared" si="107"/>
        <v>27132.086344036114</v>
      </c>
      <c r="R98" s="36">
        <f t="shared" si="107"/>
        <v>27181.863461632907</v>
      </c>
      <c r="S98" s="37">
        <f t="shared" si="103"/>
        <v>277222.47527980298</v>
      </c>
      <c r="T98" s="2"/>
      <c r="U98" s="38">
        <f>SUM(F98:G98,H98)</f>
        <v>65592.711777978344</v>
      </c>
      <c r="V98" s="38">
        <f>SUM(I98,J98,L98)</f>
        <v>63013.77637308868</v>
      </c>
      <c r="W98" s="38">
        <f t="shared" si="104"/>
        <v>67473.192515792238</v>
      </c>
      <c r="X98" s="39">
        <f t="shared" si="105"/>
        <v>81142.794612943704</v>
      </c>
      <c r="Y98" s="40">
        <f t="shared" si="106"/>
        <v>277222.47527980298</v>
      </c>
      <c r="AA98"/>
    </row>
    <row r="99" spans="2:27" s="23" customFormat="1" ht="18" customHeight="1" outlineLevel="1" x14ac:dyDescent="0.35">
      <c r="B99"/>
      <c r="C99" s="2"/>
      <c r="D99" s="41" t="s">
        <v>19</v>
      </c>
      <c r="E99" s="42">
        <v>2026</v>
      </c>
      <c r="F99" s="43">
        <f>F48</f>
        <v>22496.568074697767</v>
      </c>
      <c r="G99" s="43">
        <f>G48</f>
        <v>21677.649170688626</v>
      </c>
      <c r="H99" s="43">
        <f>H48</f>
        <v>21418.494532591951</v>
      </c>
      <c r="I99" s="44">
        <f>I48</f>
        <v>28184.803782433108</v>
      </c>
      <c r="J99" s="44">
        <f>J48</f>
        <v>34075.191812229416</v>
      </c>
      <c r="K99" s="45">
        <f t="shared" si="102"/>
        <v>127852.70737264087</v>
      </c>
      <c r="L99" s="46">
        <f>L98</f>
        <v>17099.983355565186</v>
      </c>
      <c r="M99" s="46">
        <f t="shared" ref="M99:R99" si="108">M98</f>
        <v>19481.630887379197</v>
      </c>
      <c r="N99" s="46">
        <f t="shared" si="108"/>
        <v>20150.333689761494</v>
      </c>
      <c r="O99" s="46">
        <f t="shared" si="108"/>
        <v>27841.227938651544</v>
      </c>
      <c r="P99" s="46">
        <f t="shared" si="108"/>
        <v>26828.844807274687</v>
      </c>
      <c r="Q99" s="46">
        <f t="shared" si="108"/>
        <v>27132.086344036114</v>
      </c>
      <c r="R99" s="46">
        <f t="shared" si="108"/>
        <v>27181.863461632907</v>
      </c>
      <c r="S99" s="47">
        <f t="shared" si="103"/>
        <v>293568.67785694206</v>
      </c>
      <c r="T99" s="2"/>
      <c r="U99" s="44">
        <f>SUM(F99:G99,H99)</f>
        <v>65592.711777978344</v>
      </c>
      <c r="V99" s="44">
        <f>SUM(I99,J99,L99)</f>
        <v>79359.978950227713</v>
      </c>
      <c r="W99" s="44">
        <f t="shared" si="104"/>
        <v>67473.192515792238</v>
      </c>
      <c r="X99" s="48">
        <f t="shared" si="105"/>
        <v>81142.794612943704</v>
      </c>
      <c r="Y99" s="49">
        <f t="shared" si="106"/>
        <v>293568.677856942</v>
      </c>
    </row>
    <row r="100" spans="2:27" s="23" customFormat="1" ht="17.5" customHeight="1" outlineLevel="1" x14ac:dyDescent="0.35">
      <c r="B100"/>
      <c r="C100" s="51"/>
      <c r="D100" s="32" t="s">
        <v>22</v>
      </c>
      <c r="E100" s="32"/>
      <c r="F100" s="52">
        <f>F96/F95-1</f>
        <v>6.3450901297981366E-2</v>
      </c>
      <c r="G100" s="52">
        <f t="shared" ref="G100:S100" si="109">G96/G95-1</f>
        <v>0.30198668719556743</v>
      </c>
      <c r="H100" s="53">
        <f t="shared" si="109"/>
        <v>0.11792709935664436</v>
      </c>
      <c r="I100" s="53">
        <f t="shared" si="109"/>
        <v>0.33501789566005491</v>
      </c>
      <c r="J100" s="53">
        <f t="shared" si="109"/>
        <v>0.28113481066511636</v>
      </c>
      <c r="K100" s="54">
        <f>K96/K95-1</f>
        <v>0.21306968060068465</v>
      </c>
      <c r="L100" s="53">
        <f t="shared" si="109"/>
        <v>-0.12995402317762261</v>
      </c>
      <c r="M100" s="53">
        <f t="shared" si="109"/>
        <v>-0.43054793264778046</v>
      </c>
      <c r="N100" s="53">
        <f t="shared" si="109"/>
        <v>-7.9533954578696719E-2</v>
      </c>
      <c r="O100" s="53">
        <f t="shared" si="109"/>
        <v>-0.10662695496208396</v>
      </c>
      <c r="P100" s="53">
        <f t="shared" si="109"/>
        <v>0.44473287385981219</v>
      </c>
      <c r="Q100" s="53">
        <f t="shared" si="109"/>
        <v>0.86752330251249599</v>
      </c>
      <c r="R100" s="55">
        <f t="shared" si="109"/>
        <v>1.1850882213337428</v>
      </c>
      <c r="S100" s="56">
        <f t="shared" si="109"/>
        <v>0.17945586005093239</v>
      </c>
      <c r="T100" s="2"/>
      <c r="U100" s="52">
        <f t="shared" ref="U100:Y100" si="110">U96/U95-1</f>
        <v>0.14790110592320449</v>
      </c>
      <c r="V100" s="52">
        <f t="shared" si="110"/>
        <v>0.13460046148420091</v>
      </c>
      <c r="W100" s="52">
        <f t="shared" si="110"/>
        <v>-0.19778756339884584</v>
      </c>
      <c r="X100" s="57">
        <f t="shared" si="110"/>
        <v>0.74322156962431074</v>
      </c>
      <c r="Y100" s="58">
        <f t="shared" si="110"/>
        <v>0.17945586005093239</v>
      </c>
    </row>
    <row r="101" spans="2:27" s="23" customFormat="1" ht="17.5" customHeight="1" outlineLevel="1" x14ac:dyDescent="0.35">
      <c r="B101"/>
      <c r="C101" s="51"/>
      <c r="D101" s="24" t="s">
        <v>23</v>
      </c>
      <c r="E101" s="24"/>
      <c r="F101" s="59">
        <f>F99/F96-1</f>
        <v>0.14892363312356949</v>
      </c>
      <c r="G101" s="59">
        <f t="shared" ref="G101:S101" si="111">G99/G96-1</f>
        <v>0.24018920077438088</v>
      </c>
      <c r="H101" s="60">
        <f t="shared" si="111"/>
        <v>0.11793301407678092</v>
      </c>
      <c r="I101" s="60">
        <f t="shared" si="111"/>
        <v>0.30612995575243795</v>
      </c>
      <c r="J101" s="60">
        <f t="shared" si="111"/>
        <v>0.4832836612771938</v>
      </c>
      <c r="K101" s="61">
        <f>K99/K96-1</f>
        <v>0.26875062202778643</v>
      </c>
      <c r="L101" s="59">
        <f t="shared" si="111"/>
        <v>-0.11377113445530163</v>
      </c>
      <c r="M101" s="59">
        <f t="shared" si="111"/>
        <v>0.64580400908294155</v>
      </c>
      <c r="N101" s="59">
        <f t="shared" si="111"/>
        <v>5.2457349473046921E-2</v>
      </c>
      <c r="O101" s="59">
        <f t="shared" si="111"/>
        <v>0.19434803983487292</v>
      </c>
      <c r="P101" s="59">
        <f t="shared" si="111"/>
        <v>-0.20466758345020331</v>
      </c>
      <c r="Q101" s="59">
        <f t="shared" si="111"/>
        <v>-0.2199334452229702</v>
      </c>
      <c r="R101" s="62">
        <f t="shared" si="111"/>
        <v>0.18099004143150799</v>
      </c>
      <c r="S101" s="63">
        <f t="shared" si="111"/>
        <v>0.10409603421568003</v>
      </c>
      <c r="T101" s="2"/>
      <c r="U101" s="59">
        <f t="shared" ref="U101:Y101" si="112">U99/U96-1</f>
        <v>0.16673809732687617</v>
      </c>
      <c r="V101" s="59">
        <f t="shared" si="112"/>
        <v>0.24297313825446576</v>
      </c>
      <c r="W101" s="59">
        <f t="shared" si="112"/>
        <v>0.24273861032658028</v>
      </c>
      <c r="X101" s="64">
        <f t="shared" si="112"/>
        <v>-0.11349185789124372</v>
      </c>
      <c r="Y101" s="65">
        <f t="shared" si="112"/>
        <v>0.10409603421567981</v>
      </c>
    </row>
    <row r="102" spans="2:27" s="23" customFormat="1" ht="17.5" customHeight="1" outlineLevel="1" x14ac:dyDescent="0.35">
      <c r="B102"/>
      <c r="C102" s="51"/>
      <c r="D102" s="32" t="s">
        <v>24</v>
      </c>
      <c r="E102" s="32"/>
      <c r="F102" s="52">
        <f>F99/F97-1</f>
        <v>0.35628025073072389</v>
      </c>
      <c r="G102" s="52">
        <f t="shared" ref="G102:S102" si="113">G99/G97-1</f>
        <v>0.39161974174759084</v>
      </c>
      <c r="H102" s="53">
        <f t="shared" si="113"/>
        <v>0.40007445408995634</v>
      </c>
      <c r="I102" s="53">
        <f t="shared" si="113"/>
        <v>0.76404096431603397</v>
      </c>
      <c r="J102" s="53">
        <f t="shared" si="113"/>
        <v>0.98569183952532535</v>
      </c>
      <c r="K102" s="54">
        <f>K99/K97-1</f>
        <v>0.58625945805384183</v>
      </c>
      <c r="L102" s="53">
        <f t="shared" si="113"/>
        <v>-4.3477658208993408E-2</v>
      </c>
      <c r="M102" s="53">
        <f t="shared" si="113"/>
        <v>-9.8635381217669127E-2</v>
      </c>
      <c r="N102" s="53">
        <f t="shared" si="113"/>
        <v>-5.6327597933767626E-2</v>
      </c>
      <c r="O102" s="53">
        <f t="shared" si="113"/>
        <v>-3.8655063861917749E-2</v>
      </c>
      <c r="P102" s="53">
        <f t="shared" si="113"/>
        <v>-4.0102380569977392E-3</v>
      </c>
      <c r="Q102" s="53">
        <f t="shared" si="113"/>
        <v>-3.6699839715488292E-3</v>
      </c>
      <c r="R102" s="55">
        <f t="shared" si="113"/>
        <v>8.4482388921963691E-2</v>
      </c>
      <c r="S102" s="56">
        <f t="shared" si="113"/>
        <v>0.17597789302978772</v>
      </c>
      <c r="T102" s="2"/>
      <c r="U102" s="52">
        <f t="shared" ref="U102:Y102" si="114">U99/U97-1</f>
        <v>0.38199456247721741</v>
      </c>
      <c r="V102" s="52">
        <f t="shared" si="114"/>
        <v>0.55562001154503093</v>
      </c>
      <c r="W102" s="52">
        <f t="shared" si="114"/>
        <v>-6.1925050127490278E-2</v>
      </c>
      <c r="X102" s="57">
        <f t="shared" si="114"/>
        <v>2.4100145814921037E-2</v>
      </c>
      <c r="Y102" s="58">
        <f t="shared" si="114"/>
        <v>0.1759778930297875</v>
      </c>
    </row>
    <row r="103" spans="2:27" s="23" customFormat="1" ht="17.5" customHeight="1" outlineLevel="1" x14ac:dyDescent="0.35">
      <c r="B103"/>
      <c r="C103" s="51"/>
      <c r="D103" s="24" t="s">
        <v>25</v>
      </c>
      <c r="E103" s="24"/>
      <c r="F103" s="59">
        <f>F99/F98-1</f>
        <v>0</v>
      </c>
      <c r="G103" s="59">
        <f t="shared" ref="G103:Y103" si="115">G99/G98-1</f>
        <v>0</v>
      </c>
      <c r="H103" s="60">
        <f t="shared" si="115"/>
        <v>0</v>
      </c>
      <c r="I103" s="60">
        <f t="shared" si="115"/>
        <v>0</v>
      </c>
      <c r="J103" s="60">
        <f t="shared" si="115"/>
        <v>0.92200420229177782</v>
      </c>
      <c r="K103" s="61">
        <f t="shared" si="115"/>
        <v>0.14659416154346583</v>
      </c>
      <c r="L103" s="59">
        <f t="shared" si="115"/>
        <v>0</v>
      </c>
      <c r="M103" s="59">
        <f t="shared" si="115"/>
        <v>0</v>
      </c>
      <c r="N103" s="59">
        <f t="shared" si="115"/>
        <v>0</v>
      </c>
      <c r="O103" s="59">
        <f t="shared" si="115"/>
        <v>0</v>
      </c>
      <c r="P103" s="59">
        <f t="shared" si="115"/>
        <v>0</v>
      </c>
      <c r="Q103" s="59">
        <f t="shared" si="115"/>
        <v>0</v>
      </c>
      <c r="R103" s="62">
        <f t="shared" si="115"/>
        <v>0</v>
      </c>
      <c r="S103" s="63">
        <f t="shared" si="115"/>
        <v>5.8964203968818518E-2</v>
      </c>
      <c r="T103" s="2"/>
      <c r="U103" s="59">
        <f t="shared" si="115"/>
        <v>0</v>
      </c>
      <c r="V103" s="59">
        <f t="shared" si="115"/>
        <v>0.25940680781226777</v>
      </c>
      <c r="W103" s="59">
        <f t="shared" si="115"/>
        <v>0</v>
      </c>
      <c r="X103" s="64">
        <f t="shared" si="115"/>
        <v>0</v>
      </c>
      <c r="Y103" s="65">
        <f t="shared" si="115"/>
        <v>5.8964203968818296E-2</v>
      </c>
    </row>
    <row r="104" spans="2:27" ht="14.5" customHeight="1" outlineLevel="1" x14ac:dyDescent="0.35">
      <c r="C104" s="7"/>
      <c r="F104" s="66"/>
      <c r="G104" s="66"/>
      <c r="H104" s="66"/>
      <c r="I104" s="66"/>
      <c r="J104" s="66"/>
      <c r="K104" s="66"/>
      <c r="L104" s="66"/>
      <c r="M104" s="66"/>
      <c r="N104" s="67"/>
      <c r="O104" s="67"/>
      <c r="P104" s="67"/>
      <c r="Q104" s="67"/>
      <c r="R104" s="68"/>
    </row>
    <row r="105" spans="2:27" outlineLevel="1" x14ac:dyDescent="0.35">
      <c r="D105" s="8" t="s">
        <v>34</v>
      </c>
      <c r="F105" s="76"/>
      <c r="G105" s="77"/>
      <c r="I105" s="66"/>
      <c r="J105" s="66"/>
      <c r="K105" s="77"/>
      <c r="L105" s="66"/>
      <c r="M105" s="66"/>
      <c r="N105" s="78"/>
      <c r="S105" s="79"/>
    </row>
    <row r="106" spans="2:27" ht="15.5" outlineLevel="1" x14ac:dyDescent="0.35">
      <c r="D106" s="24" t="s">
        <v>19</v>
      </c>
      <c r="E106" s="25">
        <v>2024</v>
      </c>
      <c r="F106" s="80">
        <f>IFERROR(F95/F33,0)</f>
        <v>0.24582718122995639</v>
      </c>
      <c r="G106" s="80">
        <f t="shared" ref="G106:V110" si="116">IFERROR(G95/G33,0)</f>
        <v>0.18016633101084131</v>
      </c>
      <c r="H106" s="81">
        <f t="shared" si="116"/>
        <v>0.21747452118156488</v>
      </c>
      <c r="I106" s="81">
        <f t="shared" si="116"/>
        <v>0.20156505181655493</v>
      </c>
      <c r="J106" s="81">
        <f t="shared" si="116"/>
        <v>0.22082017264814655</v>
      </c>
      <c r="K106" s="61">
        <f t="shared" si="116"/>
        <v>0.21321250531220823</v>
      </c>
      <c r="L106" s="80">
        <f t="shared" si="116"/>
        <v>0.26490589885037086</v>
      </c>
      <c r="M106" s="80">
        <f t="shared" si="116"/>
        <v>0.24110666387229548</v>
      </c>
      <c r="N106" s="80">
        <f t="shared" si="116"/>
        <v>0.23997954525599741</v>
      </c>
      <c r="O106" s="80">
        <f t="shared" si="116"/>
        <v>0.29885717201171391</v>
      </c>
      <c r="P106" s="80">
        <f t="shared" si="116"/>
        <v>0.24602847593184249</v>
      </c>
      <c r="Q106" s="80">
        <f t="shared" si="116"/>
        <v>0.20869717980825706</v>
      </c>
      <c r="R106" s="82">
        <f t="shared" si="116"/>
        <v>0.1249569845755345</v>
      </c>
      <c r="S106" s="83">
        <f t="shared" si="116"/>
        <v>0.22499128287396467</v>
      </c>
      <c r="U106" s="80">
        <f t="shared" ref="U106:Y110" si="117">IFERROR(U95/U33,0)</f>
        <v>0.21459821418585123</v>
      </c>
      <c r="V106" s="80">
        <f t="shared" si="117"/>
        <v>0.22957798334787502</v>
      </c>
      <c r="W106" s="80">
        <f t="shared" si="117"/>
        <v>0.26010927842530118</v>
      </c>
      <c r="X106" s="82">
        <f t="shared" si="117"/>
        <v>0.19559910581745915</v>
      </c>
      <c r="Y106" s="84">
        <f t="shared" si="117"/>
        <v>0.22499128287396467</v>
      </c>
    </row>
    <row r="107" spans="2:27" ht="15.5" outlineLevel="1" x14ac:dyDescent="0.35">
      <c r="D107" s="32" t="s">
        <v>19</v>
      </c>
      <c r="E107" s="33">
        <v>2025</v>
      </c>
      <c r="F107" s="85">
        <f>IFERROR(F96/F34,0)</f>
        <v>0.21110109157930837</v>
      </c>
      <c r="G107" s="85">
        <f t="shared" si="116"/>
        <v>0.19017614588442022</v>
      </c>
      <c r="H107" s="86">
        <f t="shared" si="116"/>
        <v>0.20522608007434537</v>
      </c>
      <c r="I107" s="86">
        <f t="shared" si="116"/>
        <v>0.22881448319783093</v>
      </c>
      <c r="J107" s="86">
        <f t="shared" si="116"/>
        <v>0.2376703494391256</v>
      </c>
      <c r="K107" s="54">
        <f t="shared" si="116"/>
        <v>0.21486865842152186</v>
      </c>
      <c r="L107" s="85">
        <f t="shared" si="116"/>
        <v>0.20302551757066764</v>
      </c>
      <c r="M107" s="85">
        <f t="shared" si="116"/>
        <v>0.12791424451648681</v>
      </c>
      <c r="N107" s="85">
        <f t="shared" si="116"/>
        <v>0.19282776818413033</v>
      </c>
      <c r="O107" s="85">
        <f t="shared" si="116"/>
        <v>0.2281595839972777</v>
      </c>
      <c r="P107" s="85">
        <f t="shared" si="116"/>
        <v>0.30540254171595238</v>
      </c>
      <c r="Q107" s="85">
        <f t="shared" si="116"/>
        <v>0.33682231510086091</v>
      </c>
      <c r="R107" s="87">
        <f t="shared" si="116"/>
        <v>0.22716474233692019</v>
      </c>
      <c r="S107" s="88">
        <f t="shared" si="116"/>
        <v>0.22666367742502957</v>
      </c>
      <c r="U107" s="85">
        <f t="shared" si="117"/>
        <v>0.20221075830872287</v>
      </c>
      <c r="V107" s="85">
        <f t="shared" si="117"/>
        <v>0.22323781389990971</v>
      </c>
      <c r="W107" s="85">
        <f t="shared" si="117"/>
        <v>0.18467377639066679</v>
      </c>
      <c r="X107" s="87">
        <f t="shared" si="117"/>
        <v>0.29053938152357522</v>
      </c>
      <c r="Y107" s="89">
        <f t="shared" si="117"/>
        <v>0.22666367742502957</v>
      </c>
    </row>
    <row r="108" spans="2:27" ht="15.5" outlineLevel="1" x14ac:dyDescent="0.35">
      <c r="D108" s="24" t="s">
        <v>20</v>
      </c>
      <c r="E108" s="25">
        <v>2026</v>
      </c>
      <c r="F108" s="80">
        <f>IFERROR(F97/F35,0)</f>
        <v>0.15879838274745298</v>
      </c>
      <c r="G108" s="80">
        <f t="shared" si="116"/>
        <v>0.14893620387575968</v>
      </c>
      <c r="H108" s="81">
        <f t="shared" si="116"/>
        <v>0.14037780600390126</v>
      </c>
      <c r="I108" s="81">
        <f t="shared" si="116"/>
        <v>0.14445646161707765</v>
      </c>
      <c r="J108" s="81">
        <f t="shared" si="116"/>
        <v>0.15176656630946037</v>
      </c>
      <c r="K108" s="61">
        <f t="shared" si="116"/>
        <v>0.148792232073124</v>
      </c>
      <c r="L108" s="80">
        <f t="shared" si="116"/>
        <v>0.15128446490218073</v>
      </c>
      <c r="M108" s="80">
        <f t="shared" si="116"/>
        <v>0.18005225311323356</v>
      </c>
      <c r="N108" s="80">
        <f t="shared" si="116"/>
        <v>0.1761543987382497</v>
      </c>
      <c r="O108" s="80">
        <f t="shared" si="116"/>
        <v>0.2143562350104378</v>
      </c>
      <c r="P108" s="80">
        <f t="shared" si="116"/>
        <v>0.2147726954764185</v>
      </c>
      <c r="Q108" s="80">
        <f t="shared" si="116"/>
        <v>0.21611268994834693</v>
      </c>
      <c r="R108" s="82">
        <f t="shared" si="116"/>
        <v>0.19793710612400872</v>
      </c>
      <c r="S108" s="83">
        <f t="shared" si="116"/>
        <v>0.17651163625612112</v>
      </c>
      <c r="U108" s="80">
        <f t="shared" si="117"/>
        <v>0.14924264734992446</v>
      </c>
      <c r="V108" s="80">
        <f t="shared" si="117"/>
        <v>0.14923472845940725</v>
      </c>
      <c r="W108" s="80">
        <f t="shared" si="117"/>
        <v>0.19111114721183256</v>
      </c>
      <c r="X108" s="82">
        <f t="shared" si="117"/>
        <v>0.20958033957336197</v>
      </c>
      <c r="Y108" s="84">
        <f t="shared" si="117"/>
        <v>0.17651163625612112</v>
      </c>
    </row>
    <row r="109" spans="2:27" ht="15.5" outlineLevel="1" x14ac:dyDescent="0.35">
      <c r="D109" s="32" t="s">
        <v>21</v>
      </c>
      <c r="E109" s="33">
        <v>2026</v>
      </c>
      <c r="F109" s="85">
        <f>IFERROR(F98/F36,0)</f>
        <v>0.21103844529187057</v>
      </c>
      <c r="G109" s="85">
        <f t="shared" si="116"/>
        <v>0.20678604637572967</v>
      </c>
      <c r="H109" s="86">
        <f t="shared" si="116"/>
        <v>0.19968075130890373</v>
      </c>
      <c r="I109" s="86">
        <f t="shared" si="116"/>
        <v>0.25383084923030907</v>
      </c>
      <c r="J109" s="86">
        <f t="shared" si="116"/>
        <v>0.15883426090623462</v>
      </c>
      <c r="K109" s="54">
        <f t="shared" si="116"/>
        <v>0.2059779959648749</v>
      </c>
      <c r="L109" s="85">
        <f t="shared" si="116"/>
        <v>0.14791122108272348</v>
      </c>
      <c r="M109" s="85">
        <f t="shared" si="116"/>
        <v>0.1658222689092417</v>
      </c>
      <c r="N109" s="85">
        <f t="shared" si="116"/>
        <v>0.1682937741298686</v>
      </c>
      <c r="O109" s="85">
        <f t="shared" si="116"/>
        <v>0.20817953334547715</v>
      </c>
      <c r="P109" s="85">
        <f t="shared" si="116"/>
        <v>0.2156040774312217</v>
      </c>
      <c r="Q109" s="85">
        <f t="shared" si="116"/>
        <v>0.21636008928731998</v>
      </c>
      <c r="R109" s="87">
        <f t="shared" si="116"/>
        <v>0.21492984582055361</v>
      </c>
      <c r="S109" s="88">
        <f t="shared" si="116"/>
        <v>0.19742058607980606</v>
      </c>
      <c r="U109" s="85">
        <f t="shared" si="116"/>
        <v>0.20581697661300169</v>
      </c>
      <c r="V109" s="85">
        <f t="shared" si="116"/>
        <v>0.18628416814731089</v>
      </c>
      <c r="W109" s="85">
        <f t="shared" si="117"/>
        <v>0.181890640898209</v>
      </c>
      <c r="X109" s="87">
        <f t="shared" si="117"/>
        <v>0.21562942020737691</v>
      </c>
      <c r="Y109" s="89">
        <f t="shared" si="117"/>
        <v>0.19742058607980609</v>
      </c>
    </row>
    <row r="110" spans="2:27" ht="15.5" outlineLevel="1" x14ac:dyDescent="0.35">
      <c r="D110" s="24" t="s">
        <v>19</v>
      </c>
      <c r="E110" s="25">
        <v>2026</v>
      </c>
      <c r="F110" s="80">
        <f t="shared" ref="F110:S110" si="118">IFERROR(F99/F37,0)</f>
        <v>0.21103844529187057</v>
      </c>
      <c r="G110" s="80">
        <f t="shared" si="118"/>
        <v>0.20678604637572967</v>
      </c>
      <c r="H110" s="81">
        <f t="shared" si="118"/>
        <v>0.19968075130890373</v>
      </c>
      <c r="I110" s="81">
        <f t="shared" si="118"/>
        <v>0.25383084923030907</v>
      </c>
      <c r="J110" s="81">
        <f t="shared" si="118"/>
        <v>0.29960250781725667</v>
      </c>
      <c r="K110" s="61">
        <f t="shared" si="116"/>
        <v>0.23525395197575882</v>
      </c>
      <c r="L110" s="80">
        <f t="shared" si="118"/>
        <v>0.14791122108272348</v>
      </c>
      <c r="M110" s="80">
        <f t="shared" si="118"/>
        <v>0.1658222689092417</v>
      </c>
      <c r="N110" s="80">
        <f t="shared" si="118"/>
        <v>0.1682937741298686</v>
      </c>
      <c r="O110" s="80">
        <f t="shared" si="118"/>
        <v>0.20817953334547715</v>
      </c>
      <c r="P110" s="80">
        <f t="shared" si="118"/>
        <v>0.2156040774312217</v>
      </c>
      <c r="Q110" s="80">
        <f t="shared" si="118"/>
        <v>0.21636008928731998</v>
      </c>
      <c r="R110" s="82">
        <f t="shared" si="118"/>
        <v>0.21492984582055361</v>
      </c>
      <c r="S110" s="83">
        <f t="shared" si="118"/>
        <v>0.20874688939763641</v>
      </c>
      <c r="U110" s="80">
        <f t="shared" si="116"/>
        <v>0.20581697661300169</v>
      </c>
      <c r="V110" s="80">
        <f t="shared" si="116"/>
        <v>0.23314962518126142</v>
      </c>
      <c r="W110" s="80">
        <f t="shared" si="117"/>
        <v>0.181890640898209</v>
      </c>
      <c r="X110" s="82">
        <f t="shared" si="117"/>
        <v>0.21562942020737691</v>
      </c>
      <c r="Y110" s="84">
        <f t="shared" si="117"/>
        <v>0.20874688939763641</v>
      </c>
    </row>
    <row r="111" spans="2:27" ht="14.5" customHeight="1" x14ac:dyDescent="0.35">
      <c r="C111" s="7"/>
      <c r="F111" s="66"/>
      <c r="G111" s="66"/>
      <c r="H111" s="66"/>
      <c r="I111" s="66"/>
      <c r="J111" s="66"/>
      <c r="K111" s="66"/>
      <c r="L111" s="66"/>
      <c r="M111" s="66"/>
      <c r="N111" s="67"/>
      <c r="O111" s="67"/>
      <c r="P111" s="67"/>
      <c r="Q111" s="67"/>
      <c r="R111" s="68"/>
    </row>
    <row r="112" spans="2:27" ht="15.5" outlineLevel="1" x14ac:dyDescent="0.35">
      <c r="C112" s="71" t="s">
        <v>35</v>
      </c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U112" s="71"/>
      <c r="V112" s="71"/>
      <c r="W112" s="71"/>
      <c r="X112" s="71"/>
      <c r="Y112" s="71"/>
    </row>
    <row r="113" spans="2:27" s="23" customFormat="1" ht="18" customHeight="1" outlineLevel="1" x14ac:dyDescent="0.35">
      <c r="B113"/>
      <c r="C113" s="2"/>
      <c r="D113" s="24" t="s">
        <v>19</v>
      </c>
      <c r="E113" s="25">
        <v>2024</v>
      </c>
      <c r="F113" s="26">
        <v>16305.770145758728</v>
      </c>
      <c r="G113" s="26">
        <v>10653.976908516994</v>
      </c>
      <c r="H113" s="26">
        <v>14247.63644100477</v>
      </c>
      <c r="I113" s="26">
        <v>11740.269434542037</v>
      </c>
      <c r="J113" s="26">
        <v>14522.586125525357</v>
      </c>
      <c r="K113" s="28">
        <f>SUM(F113:J113)</f>
        <v>67470.239055347891</v>
      </c>
      <c r="L113" s="27">
        <v>19284.948053542081</v>
      </c>
      <c r="M113" s="27">
        <v>17640.656944424398</v>
      </c>
      <c r="N113" s="27">
        <v>17792.408021008589</v>
      </c>
      <c r="O113" s="27">
        <v>22838.84335875422</v>
      </c>
      <c r="P113" s="26">
        <v>20433.620181274797</v>
      </c>
      <c r="Q113" s="26">
        <v>15462.21609457562</v>
      </c>
      <c r="R113" s="27">
        <v>7181.9104695753904</v>
      </c>
      <c r="S113" s="29">
        <f>SUM(K113:R113)</f>
        <v>188104.84217850296</v>
      </c>
      <c r="T113" s="2"/>
      <c r="U113" s="26">
        <f>SUM(F113:G113,H113)</f>
        <v>41207.38349528049</v>
      </c>
      <c r="V113" s="26">
        <f>SUM(I113,J113,L113)</f>
        <v>45547.803613609474</v>
      </c>
      <c r="W113" s="26">
        <f>SUM(M113:O113)</f>
        <v>58271.908324187214</v>
      </c>
      <c r="X113" s="30">
        <f>SUM(P113:R113)</f>
        <v>43077.746745425808</v>
      </c>
      <c r="Y113" s="31">
        <f>SUM(U113:X113)</f>
        <v>188104.84217850299</v>
      </c>
      <c r="AA113"/>
    </row>
    <row r="114" spans="2:27" s="23" customFormat="1" ht="17.5" customHeight="1" outlineLevel="1" x14ac:dyDescent="0.35">
      <c r="B114"/>
      <c r="C114" s="2"/>
      <c r="D114" s="32" t="s">
        <v>19</v>
      </c>
      <c r="E114" s="33">
        <v>2025</v>
      </c>
      <c r="F114" s="34">
        <v>18020.5036885638</v>
      </c>
      <c r="G114" s="34">
        <v>15323.214502625939</v>
      </c>
      <c r="H114" s="34">
        <v>14396.05861689501</v>
      </c>
      <c r="I114" s="34">
        <v>16980.53498413226</v>
      </c>
      <c r="J114" s="34">
        <v>19157.999819352826</v>
      </c>
      <c r="K114" s="35">
        <f t="shared" ref="K114:K117" si="119">SUM(F114:J114)</f>
        <v>83878.311611569836</v>
      </c>
      <c r="L114" s="34">
        <v>15830.854125782962</v>
      </c>
      <c r="M114" s="34">
        <v>7836.4149281984091</v>
      </c>
      <c r="N114" s="34">
        <v>14611.775744682423</v>
      </c>
      <c r="O114" s="34">
        <v>18396.098543887918</v>
      </c>
      <c r="P114" s="34">
        <v>18540.954539749793</v>
      </c>
      <c r="Q114" s="34">
        <v>18620.300491627673</v>
      </c>
      <c r="R114" s="36">
        <f>15425.6850281149-1576.205</f>
        <v>13849.4800281149</v>
      </c>
      <c r="S114" s="37">
        <f t="shared" ref="S114:S117" si="120">SUM(K114:R114)</f>
        <v>191564.19001361393</v>
      </c>
      <c r="T114" s="2"/>
      <c r="U114" s="38">
        <f>SUM(F114:G114,H114)</f>
        <v>47739.776808084745</v>
      </c>
      <c r="V114" s="38">
        <f>SUM(I114,J114,L114)</f>
        <v>51969.388929268054</v>
      </c>
      <c r="W114" s="38">
        <f t="shared" ref="W114:W117" si="121">SUM(M114:O114)</f>
        <v>40844.289216768753</v>
      </c>
      <c r="X114" s="39">
        <f t="shared" ref="X114:X117" si="122">SUM(P114:R114)</f>
        <v>51010.73505949237</v>
      </c>
      <c r="Y114" s="40">
        <f t="shared" ref="Y114:Y117" si="123">SUM(U114:X114)</f>
        <v>191564.19001361393</v>
      </c>
    </row>
    <row r="115" spans="2:27" s="23" customFormat="1" ht="18" customHeight="1" outlineLevel="1" x14ac:dyDescent="0.35">
      <c r="B115"/>
      <c r="C115" s="2"/>
      <c r="D115" s="24" t="s">
        <v>20</v>
      </c>
      <c r="E115" s="25">
        <v>2026</v>
      </c>
      <c r="F115" s="26">
        <f>F64</f>
        <v>16586.961332348001</v>
      </c>
      <c r="G115" s="26">
        <f t="shared" ref="G115:R116" si="124">G64</f>
        <v>15577.279137665808</v>
      </c>
      <c r="H115" s="26">
        <f t="shared" si="124"/>
        <v>15298.111089751937</v>
      </c>
      <c r="I115" s="26">
        <f t="shared" si="124"/>
        <v>15977.408888212021</v>
      </c>
      <c r="J115" s="26">
        <f t="shared" si="124"/>
        <v>17160.362516459252</v>
      </c>
      <c r="K115" s="28">
        <f t="shared" si="119"/>
        <v>80600.122964437018</v>
      </c>
      <c r="L115" s="27">
        <f t="shared" si="124"/>
        <v>17877.244062639376</v>
      </c>
      <c r="M115" s="27">
        <f t="shared" si="124"/>
        <v>21613.485243848678</v>
      </c>
      <c r="N115" s="27">
        <f t="shared" si="124"/>
        <v>21353.102671690962</v>
      </c>
      <c r="O115" s="27">
        <f t="shared" si="124"/>
        <v>28960.705873685056</v>
      </c>
      <c r="P115" s="26">
        <f t="shared" si="124"/>
        <v>26936.868060708064</v>
      </c>
      <c r="Q115" s="26">
        <f t="shared" si="124"/>
        <v>27232.027448284094</v>
      </c>
      <c r="R115" s="27">
        <f t="shared" si="124"/>
        <v>25064.36594941224</v>
      </c>
      <c r="S115" s="29">
        <f t="shared" si="120"/>
        <v>249637.92227470549</v>
      </c>
      <c r="T115" s="2"/>
      <c r="U115" s="26">
        <f>SUM(F115:G115,H115)</f>
        <v>47462.351559765746</v>
      </c>
      <c r="V115" s="26">
        <f>SUM(I115,J115,L115)</f>
        <v>51015.015467310644</v>
      </c>
      <c r="W115" s="26">
        <f t="shared" si="121"/>
        <v>71927.293789224699</v>
      </c>
      <c r="X115" s="30">
        <f t="shared" si="122"/>
        <v>79233.261458404391</v>
      </c>
      <c r="Y115" s="31">
        <f t="shared" si="123"/>
        <v>249637.92227470549</v>
      </c>
      <c r="AA115"/>
    </row>
    <row r="116" spans="2:27" s="23" customFormat="1" ht="18" customHeight="1" outlineLevel="1" x14ac:dyDescent="0.35">
      <c r="B116"/>
      <c r="C116" s="2"/>
      <c r="D116" s="32" t="s">
        <v>21</v>
      </c>
      <c r="E116" s="33">
        <v>2026</v>
      </c>
      <c r="F116" s="34">
        <f>F65</f>
        <v>19604.250064697761</v>
      </c>
      <c r="G116" s="34">
        <f t="shared" si="124"/>
        <v>18810.376980688623</v>
      </c>
      <c r="H116" s="34">
        <f t="shared" si="124"/>
        <v>16239.961046275952</v>
      </c>
      <c r="I116" s="34">
        <f t="shared" si="124"/>
        <v>19207.299782433107</v>
      </c>
      <c r="J116" s="34">
        <f t="shared" si="124"/>
        <v>17729.102903673669</v>
      </c>
      <c r="K116" s="35">
        <f t="shared" si="119"/>
        <v>91590.990777769111</v>
      </c>
      <c r="L116" s="34">
        <f t="shared" si="124"/>
        <v>17100.111993762228</v>
      </c>
      <c r="M116" s="34">
        <f t="shared" si="124"/>
        <v>19481.749662988255</v>
      </c>
      <c r="N116" s="34">
        <f t="shared" si="124"/>
        <v>20150.505941695214</v>
      </c>
      <c r="O116" s="34">
        <f t="shared" si="124"/>
        <v>27841.405203602862</v>
      </c>
      <c r="P116" s="34">
        <f t="shared" si="124"/>
        <v>26829.025179412209</v>
      </c>
      <c r="Q116" s="34">
        <f t="shared" si="124"/>
        <v>27132.158867047117</v>
      </c>
      <c r="R116" s="36">
        <f t="shared" si="124"/>
        <v>27181.899967209967</v>
      </c>
      <c r="S116" s="37">
        <f t="shared" si="120"/>
        <v>257307.84759348695</v>
      </c>
      <c r="T116" s="2"/>
      <c r="U116" s="38">
        <f>SUM(F116:G116,H116)</f>
        <v>54654.588091662336</v>
      </c>
      <c r="V116" s="38">
        <f>SUM(I116,J116,L116)</f>
        <v>54036.514679869004</v>
      </c>
      <c r="W116" s="38">
        <f t="shared" si="121"/>
        <v>67473.660808286324</v>
      </c>
      <c r="X116" s="39">
        <f t="shared" si="122"/>
        <v>81143.084013669286</v>
      </c>
      <c r="Y116" s="40">
        <f t="shared" si="123"/>
        <v>257307.84759348695</v>
      </c>
      <c r="AA116"/>
    </row>
    <row r="117" spans="2:27" s="23" customFormat="1" ht="18" customHeight="1" outlineLevel="1" x14ac:dyDescent="0.35">
      <c r="B117"/>
      <c r="C117" s="2"/>
      <c r="D117" s="41" t="s">
        <v>19</v>
      </c>
      <c r="E117" s="42">
        <v>2026</v>
      </c>
      <c r="F117" s="43">
        <f>F66</f>
        <v>19604.250064697761</v>
      </c>
      <c r="G117" s="43">
        <f>G66</f>
        <v>18810.376980688623</v>
      </c>
      <c r="H117" s="43">
        <f>H66</f>
        <v>16239.961046275952</v>
      </c>
      <c r="I117" s="44">
        <f>I66</f>
        <v>19207.299782433107</v>
      </c>
      <c r="J117" s="44">
        <f>J66</f>
        <v>21963.356472229414</v>
      </c>
      <c r="K117" s="45">
        <f t="shared" si="119"/>
        <v>95825.244346324849</v>
      </c>
      <c r="L117" s="46">
        <f>L116</f>
        <v>17100.111993762228</v>
      </c>
      <c r="M117" s="46">
        <f t="shared" ref="M117:R117" si="125">M116</f>
        <v>19481.749662988255</v>
      </c>
      <c r="N117" s="46">
        <f t="shared" si="125"/>
        <v>20150.505941695214</v>
      </c>
      <c r="O117" s="46">
        <f t="shared" si="125"/>
        <v>27841.405203602862</v>
      </c>
      <c r="P117" s="46">
        <f t="shared" si="125"/>
        <v>26829.025179412209</v>
      </c>
      <c r="Q117" s="46">
        <f t="shared" si="125"/>
        <v>27132.158867047117</v>
      </c>
      <c r="R117" s="46">
        <f t="shared" si="125"/>
        <v>27181.899967209967</v>
      </c>
      <c r="S117" s="47">
        <f t="shared" si="120"/>
        <v>261542.1011620427</v>
      </c>
      <c r="T117" s="2"/>
      <c r="U117" s="44">
        <f>SUM(F117:G117,H117)</f>
        <v>54654.588091662336</v>
      </c>
      <c r="V117" s="44">
        <f>SUM(I117,J117,L117)</f>
        <v>58270.768248424749</v>
      </c>
      <c r="W117" s="44">
        <f t="shared" si="121"/>
        <v>67473.660808286324</v>
      </c>
      <c r="X117" s="48">
        <f t="shared" si="122"/>
        <v>81143.084013669286</v>
      </c>
      <c r="Y117" s="49">
        <f t="shared" si="123"/>
        <v>261542.1011620427</v>
      </c>
    </row>
    <row r="118" spans="2:27" s="23" customFormat="1" ht="17.5" customHeight="1" outlineLevel="1" x14ac:dyDescent="0.35">
      <c r="B118"/>
      <c r="C118" s="51"/>
      <c r="D118" s="32" t="s">
        <v>22</v>
      </c>
      <c r="E118" s="32"/>
      <c r="F118" s="52">
        <f>F114/F113-1</f>
        <v>0.10516115016199268</v>
      </c>
      <c r="G118" s="52">
        <f t="shared" ref="G118:S118" si="126">G114/G113-1</f>
        <v>0.43826240982146936</v>
      </c>
      <c r="H118" s="53">
        <f t="shared" si="126"/>
        <v>1.0417319146569515E-2</v>
      </c>
      <c r="I118" s="53">
        <f t="shared" si="126"/>
        <v>0.44634968377918116</v>
      </c>
      <c r="J118" s="53">
        <f t="shared" si="126"/>
        <v>0.319186517729106</v>
      </c>
      <c r="K118" s="54">
        <f>K114/K113-1</f>
        <v>0.2431897794635336</v>
      </c>
      <c r="L118" s="53">
        <f t="shared" si="126"/>
        <v>-0.17910828269639556</v>
      </c>
      <c r="M118" s="53">
        <f t="shared" si="126"/>
        <v>-0.55577533462124107</v>
      </c>
      <c r="N118" s="53">
        <f t="shared" si="126"/>
        <v>-0.17876345194931442</v>
      </c>
      <c r="O118" s="53">
        <f t="shared" si="126"/>
        <v>-0.19452582361896975</v>
      </c>
      <c r="P118" s="53">
        <f t="shared" si="126"/>
        <v>-9.2625076943508411E-2</v>
      </c>
      <c r="Q118" s="53">
        <f t="shared" si="126"/>
        <v>0.20424526327503312</v>
      </c>
      <c r="R118" s="55">
        <f t="shared" si="126"/>
        <v>0.92838383140324932</v>
      </c>
      <c r="S118" s="56">
        <f t="shared" si="126"/>
        <v>1.8390530488461287E-2</v>
      </c>
      <c r="T118" s="2"/>
      <c r="U118" s="52">
        <f t="shared" ref="U118:Y118" si="127">U114/U113-1</f>
        <v>0.15852482634701648</v>
      </c>
      <c r="V118" s="52">
        <f t="shared" si="127"/>
        <v>0.14098561963896405</v>
      </c>
      <c r="W118" s="52">
        <f t="shared" si="127"/>
        <v>-0.29907410978309579</v>
      </c>
      <c r="X118" s="57">
        <f t="shared" si="127"/>
        <v>0.18415513608331713</v>
      </c>
      <c r="Y118" s="58">
        <f t="shared" si="127"/>
        <v>1.8390530488461065E-2</v>
      </c>
    </row>
    <row r="119" spans="2:27" s="23" customFormat="1" ht="17.5" customHeight="1" outlineLevel="1" x14ac:dyDescent="0.35">
      <c r="B119"/>
      <c r="C119" s="51"/>
      <c r="D119" s="24" t="s">
        <v>23</v>
      </c>
      <c r="E119" s="24"/>
      <c r="F119" s="59">
        <f>F117/F114-1</f>
        <v>8.7885799614970894E-2</v>
      </c>
      <c r="G119" s="59">
        <f t="shared" ref="G119:S119" si="128">G117/G114-1</f>
        <v>0.22757382124129966</v>
      </c>
      <c r="H119" s="60">
        <f t="shared" si="128"/>
        <v>0.12808383728147388</v>
      </c>
      <c r="I119" s="60">
        <f t="shared" si="128"/>
        <v>0.13113631580993679</v>
      </c>
      <c r="J119" s="60">
        <f t="shared" si="128"/>
        <v>0.14643264846691895</v>
      </c>
      <c r="K119" s="61">
        <f>K117/K114-1</f>
        <v>0.14243172645248037</v>
      </c>
      <c r="L119" s="59">
        <f t="shared" si="128"/>
        <v>8.0176208933167237E-2</v>
      </c>
      <c r="M119" s="59">
        <f t="shared" si="128"/>
        <v>1.486053870486808</v>
      </c>
      <c r="N119" s="59">
        <f t="shared" si="128"/>
        <v>0.37905934869199376</v>
      </c>
      <c r="O119" s="59">
        <f t="shared" si="128"/>
        <v>0.51344075142786938</v>
      </c>
      <c r="P119" s="59">
        <f t="shared" si="128"/>
        <v>0.44701423661299056</v>
      </c>
      <c r="Q119" s="59">
        <f t="shared" si="128"/>
        <v>0.45712787391624898</v>
      </c>
      <c r="R119" s="62">
        <f t="shared" si="128"/>
        <v>0.96266573994329141</v>
      </c>
      <c r="S119" s="63">
        <f t="shared" si="128"/>
        <v>0.36529745535141833</v>
      </c>
      <c r="T119" s="2"/>
      <c r="U119" s="59">
        <f t="shared" ref="U119:Y119" si="129">U117/U114-1</f>
        <v>0.14484381255855738</v>
      </c>
      <c r="V119" s="59">
        <f t="shared" si="129"/>
        <v>0.12125174932753335</v>
      </c>
      <c r="W119" s="59">
        <f t="shared" si="129"/>
        <v>0.65197294657743243</v>
      </c>
      <c r="X119" s="64">
        <f t="shared" si="129"/>
        <v>0.5907060331327203</v>
      </c>
      <c r="Y119" s="65">
        <f t="shared" si="129"/>
        <v>0.36529745535141833</v>
      </c>
    </row>
    <row r="120" spans="2:27" s="23" customFormat="1" ht="17.5" customHeight="1" outlineLevel="1" x14ac:dyDescent="0.35">
      <c r="B120"/>
      <c r="C120" s="51"/>
      <c r="D120" s="32" t="s">
        <v>24</v>
      </c>
      <c r="E120" s="32"/>
      <c r="F120" s="52">
        <f t="shared" ref="F120:S120" si="130">F117/F115-1</f>
        <v>0.18190726269225843</v>
      </c>
      <c r="G120" s="52">
        <f t="shared" si="130"/>
        <v>0.2075521542915153</v>
      </c>
      <c r="H120" s="53">
        <f t="shared" si="130"/>
        <v>6.1566421566578322E-2</v>
      </c>
      <c r="I120" s="53">
        <f t="shared" si="130"/>
        <v>0.20215361056473102</v>
      </c>
      <c r="J120" s="53">
        <f t="shared" si="130"/>
        <v>0.27988883982861079</v>
      </c>
      <c r="K120" s="54">
        <f t="shared" si="130"/>
        <v>0.1888969994326879</v>
      </c>
      <c r="L120" s="53">
        <f t="shared" si="130"/>
        <v>-4.3470462569856205E-2</v>
      </c>
      <c r="M120" s="53">
        <f t="shared" si="130"/>
        <v>-9.8629885777775095E-2</v>
      </c>
      <c r="N120" s="53">
        <f t="shared" si="130"/>
        <v>-5.6319531099810582E-2</v>
      </c>
      <c r="O120" s="53">
        <f t="shared" si="130"/>
        <v>-3.8648942983784074E-2</v>
      </c>
      <c r="P120" s="53">
        <f t="shared" si="130"/>
        <v>-4.0035419504899084E-3</v>
      </c>
      <c r="Q120" s="53">
        <f t="shared" si="130"/>
        <v>-3.6673208201862817E-3</v>
      </c>
      <c r="R120" s="55">
        <f t="shared" si="130"/>
        <v>8.4483845395154855E-2</v>
      </c>
      <c r="S120" s="56">
        <f t="shared" si="130"/>
        <v>4.768577938346108E-2</v>
      </c>
      <c r="T120" s="2"/>
      <c r="U120" s="52">
        <f>U117/U115-1</f>
        <v>0.15153561287076034</v>
      </c>
      <c r="V120" s="52">
        <f>V117/V115-1</f>
        <v>0.14222778753764054</v>
      </c>
      <c r="W120" s="52">
        <f>W117/W115-1</f>
        <v>-6.1918539490576019E-2</v>
      </c>
      <c r="X120" s="57">
        <f>X117/X115-1</f>
        <v>2.410379833054721E-2</v>
      </c>
      <c r="Y120" s="58">
        <f>Y117/Y115-1</f>
        <v>4.768577938346108E-2</v>
      </c>
    </row>
    <row r="121" spans="2:27" s="23" customFormat="1" ht="17.5" customHeight="1" outlineLevel="1" x14ac:dyDescent="0.35">
      <c r="B121"/>
      <c r="C121" s="51"/>
      <c r="D121" s="24" t="s">
        <v>25</v>
      </c>
      <c r="E121" s="24"/>
      <c r="F121" s="59">
        <f>F117/F116-1</f>
        <v>0</v>
      </c>
      <c r="G121" s="59">
        <f t="shared" ref="G121:Y121" si="131">G117/G116-1</f>
        <v>0</v>
      </c>
      <c r="H121" s="60">
        <f t="shared" si="131"/>
        <v>0</v>
      </c>
      <c r="I121" s="60">
        <f t="shared" si="131"/>
        <v>0</v>
      </c>
      <c r="J121" s="60">
        <f t="shared" si="131"/>
        <v>0.23883067245767742</v>
      </c>
      <c r="K121" s="61">
        <f t="shared" si="131"/>
        <v>4.623002254478803E-2</v>
      </c>
      <c r="L121" s="59">
        <f t="shared" si="131"/>
        <v>0</v>
      </c>
      <c r="M121" s="59">
        <f t="shared" si="131"/>
        <v>0</v>
      </c>
      <c r="N121" s="59">
        <f t="shared" si="131"/>
        <v>0</v>
      </c>
      <c r="O121" s="59">
        <f t="shared" si="131"/>
        <v>0</v>
      </c>
      <c r="P121" s="59">
        <f t="shared" si="131"/>
        <v>0</v>
      </c>
      <c r="Q121" s="59">
        <f t="shared" si="131"/>
        <v>0</v>
      </c>
      <c r="R121" s="62">
        <f t="shared" si="131"/>
        <v>0</v>
      </c>
      <c r="S121" s="63">
        <f t="shared" si="131"/>
        <v>1.6455983010845943E-2</v>
      </c>
      <c r="T121" s="2"/>
      <c r="U121" s="59">
        <f t="shared" si="131"/>
        <v>0</v>
      </c>
      <c r="V121" s="59">
        <f t="shared" si="131"/>
        <v>7.83591168609028E-2</v>
      </c>
      <c r="W121" s="59">
        <f t="shared" si="131"/>
        <v>0</v>
      </c>
      <c r="X121" s="64">
        <f t="shared" si="131"/>
        <v>0</v>
      </c>
      <c r="Y121" s="65">
        <f t="shared" si="131"/>
        <v>1.6455983010845943E-2</v>
      </c>
    </row>
    <row r="122" spans="2:27" ht="14.5" customHeight="1" outlineLevel="1" x14ac:dyDescent="0.35">
      <c r="C122" s="7"/>
      <c r="F122" s="66"/>
      <c r="G122" s="66"/>
      <c r="H122" s="66"/>
      <c r="I122" s="66"/>
      <c r="J122" s="66"/>
      <c r="K122" s="66"/>
      <c r="L122" s="66"/>
      <c r="M122" s="66"/>
      <c r="N122" s="67"/>
      <c r="O122" s="67"/>
      <c r="P122" s="67"/>
      <c r="Q122" s="67"/>
      <c r="R122" s="68"/>
    </row>
    <row r="123" spans="2:27" outlineLevel="1" x14ac:dyDescent="0.35">
      <c r="D123" s="8" t="s">
        <v>36</v>
      </c>
      <c r="F123" s="76"/>
      <c r="G123" s="77"/>
      <c r="I123" s="66"/>
      <c r="J123" s="66"/>
      <c r="K123" s="77"/>
      <c r="L123" s="66"/>
      <c r="M123" s="66"/>
      <c r="N123" s="78"/>
      <c r="S123" s="79"/>
    </row>
    <row r="124" spans="2:27" ht="15.5" outlineLevel="1" x14ac:dyDescent="0.35">
      <c r="D124" s="24" t="s">
        <v>19</v>
      </c>
      <c r="E124" s="25">
        <v>2024</v>
      </c>
      <c r="F124" s="80">
        <f>IFERROR(F113/F33,0)</f>
        <v>0.21770256890810194</v>
      </c>
      <c r="G124" s="80">
        <f t="shared" ref="G124:V128" si="132">IFERROR(G113/G33,0)</f>
        <v>0.14297749738872029</v>
      </c>
      <c r="H124" s="81">
        <f t="shared" si="132"/>
        <v>0.18079712982027857</v>
      </c>
      <c r="I124" s="81">
        <f t="shared" si="132"/>
        <v>0.14640360140319364</v>
      </c>
      <c r="J124" s="81">
        <f t="shared" si="132"/>
        <v>0.17883949769762061</v>
      </c>
      <c r="K124" s="61">
        <f t="shared" si="132"/>
        <v>0.17317173556087623</v>
      </c>
      <c r="L124" s="80">
        <f t="shared" si="132"/>
        <v>0.23035758105046775</v>
      </c>
      <c r="M124" s="80">
        <f t="shared" si="132"/>
        <v>0.20461334134700351</v>
      </c>
      <c r="N124" s="80">
        <f t="shared" si="132"/>
        <v>0.20527638493531017</v>
      </c>
      <c r="O124" s="80">
        <f t="shared" si="132"/>
        <v>0.26158518771082712</v>
      </c>
      <c r="P124" s="80">
        <f t="shared" si="132"/>
        <v>0.21531037555498253</v>
      </c>
      <c r="Q124" s="80">
        <f t="shared" si="132"/>
        <v>0.17326179760924848</v>
      </c>
      <c r="R124" s="82">
        <f t="shared" si="132"/>
        <v>8.5199394461357783E-2</v>
      </c>
      <c r="S124" s="83">
        <f t="shared" si="132"/>
        <v>0.18773467398018812</v>
      </c>
      <c r="U124" s="80">
        <f t="shared" ref="U124:Y128" si="133">IFERROR(U113/U33,0)</f>
        <v>0.18056077502462486</v>
      </c>
      <c r="V124" s="80">
        <f t="shared" si="133"/>
        <v>0.18582358364591225</v>
      </c>
      <c r="W124" s="80">
        <f t="shared" si="133"/>
        <v>0.22395100090808687</v>
      </c>
      <c r="X124" s="82">
        <f t="shared" si="133"/>
        <v>0.16047419377799393</v>
      </c>
      <c r="Y124" s="84">
        <f t="shared" si="133"/>
        <v>0.18773467398018814</v>
      </c>
    </row>
    <row r="125" spans="2:27" ht="15.5" outlineLevel="1" x14ac:dyDescent="0.35">
      <c r="D125" s="32" t="s">
        <v>19</v>
      </c>
      <c r="E125" s="33">
        <v>2025</v>
      </c>
      <c r="F125" s="85">
        <f>IFERROR(F114/F34,0)</f>
        <v>0.19428188006154543</v>
      </c>
      <c r="G125" s="85">
        <f t="shared" si="132"/>
        <v>0.16671769020980343</v>
      </c>
      <c r="H125" s="86">
        <f t="shared" si="132"/>
        <v>0.15420661219492268</v>
      </c>
      <c r="I125" s="86">
        <f t="shared" si="132"/>
        <v>0.18005544264709586</v>
      </c>
      <c r="J125" s="86">
        <f t="shared" si="132"/>
        <v>0.19820338771926202</v>
      </c>
      <c r="K125" s="54">
        <f>IFERROR(K114/K34,0)</f>
        <v>0.17885006050535274</v>
      </c>
      <c r="L125" s="85">
        <f t="shared" si="132"/>
        <v>0.16657321848440471</v>
      </c>
      <c r="M125" s="85">
        <f t="shared" si="132"/>
        <v>8.4681616296598095E-2</v>
      </c>
      <c r="N125" s="85">
        <f t="shared" si="132"/>
        <v>0.14716171340011283</v>
      </c>
      <c r="O125" s="85">
        <f t="shared" si="132"/>
        <v>0.18005573503824449</v>
      </c>
      <c r="P125" s="85">
        <f t="shared" si="132"/>
        <v>0.16786163424474534</v>
      </c>
      <c r="Q125" s="85">
        <f t="shared" si="132"/>
        <v>0.18031672437272164</v>
      </c>
      <c r="R125" s="87">
        <f t="shared" si="132"/>
        <v>0.1366914667672384</v>
      </c>
      <c r="S125" s="88">
        <f t="shared" si="132"/>
        <v>0.16330270974784492</v>
      </c>
      <c r="U125" s="85">
        <f t="shared" si="133"/>
        <v>0.17171270707499905</v>
      </c>
      <c r="V125" s="85">
        <f t="shared" si="133"/>
        <v>0.18170863691959696</v>
      </c>
      <c r="W125" s="85">
        <f t="shared" si="133"/>
        <v>0.13892650333445489</v>
      </c>
      <c r="X125" s="87">
        <f t="shared" si="133"/>
        <v>0.16191957569922849</v>
      </c>
      <c r="Y125" s="89">
        <f t="shared" si="133"/>
        <v>0.16330270974784492</v>
      </c>
    </row>
    <row r="126" spans="2:27" ht="15.5" outlineLevel="1" x14ac:dyDescent="0.35">
      <c r="D126" s="24" t="s">
        <v>20</v>
      </c>
      <c r="E126" s="25">
        <v>2026</v>
      </c>
      <c r="F126" s="80">
        <f>IFERROR(F115/F35,0)</f>
        <v>0.15879838274745298</v>
      </c>
      <c r="G126" s="80">
        <f t="shared" si="132"/>
        <v>0.14893620387575968</v>
      </c>
      <c r="H126" s="81">
        <f t="shared" si="132"/>
        <v>0.14037780600390126</v>
      </c>
      <c r="I126" s="81">
        <f t="shared" si="132"/>
        <v>0.14445646161707765</v>
      </c>
      <c r="J126" s="81">
        <f t="shared" si="132"/>
        <v>0.15176656630946037</v>
      </c>
      <c r="K126" s="61">
        <f t="shared" si="132"/>
        <v>0.148792232073124</v>
      </c>
      <c r="L126" s="80">
        <f t="shared" si="132"/>
        <v>0.15128446490218073</v>
      </c>
      <c r="M126" s="80">
        <f t="shared" si="132"/>
        <v>0.18005225311323356</v>
      </c>
      <c r="N126" s="80">
        <f t="shared" si="132"/>
        <v>0.1761543987382497</v>
      </c>
      <c r="O126" s="80">
        <f t="shared" si="132"/>
        <v>0.2143562350104378</v>
      </c>
      <c r="P126" s="80">
        <f t="shared" si="132"/>
        <v>0.2147726954764185</v>
      </c>
      <c r="Q126" s="80">
        <f t="shared" si="132"/>
        <v>0.21611268994834693</v>
      </c>
      <c r="R126" s="82">
        <f t="shared" si="132"/>
        <v>0.19793710612400872</v>
      </c>
      <c r="S126" s="83">
        <f t="shared" si="132"/>
        <v>0.17651163625612112</v>
      </c>
      <c r="U126" s="80">
        <f t="shared" si="133"/>
        <v>0.14924264734992446</v>
      </c>
      <c r="V126" s="80">
        <f t="shared" si="133"/>
        <v>0.14923472845940725</v>
      </c>
      <c r="W126" s="80">
        <f t="shared" si="133"/>
        <v>0.19111114721183256</v>
      </c>
      <c r="X126" s="82">
        <f t="shared" si="133"/>
        <v>0.20958033957336197</v>
      </c>
      <c r="Y126" s="84">
        <f t="shared" si="133"/>
        <v>0.17651163625612112</v>
      </c>
    </row>
    <row r="127" spans="2:27" ht="15.5" outlineLevel="1" x14ac:dyDescent="0.35">
      <c r="D127" s="32" t="s">
        <v>21</v>
      </c>
      <c r="E127" s="33">
        <v>2026</v>
      </c>
      <c r="F127" s="85">
        <f>IFERROR(F116/F36,0)</f>
        <v>0.18390584915127997</v>
      </c>
      <c r="G127" s="85">
        <f t="shared" si="132"/>
        <v>0.17943474663909195</v>
      </c>
      <c r="H127" s="86">
        <f t="shared" si="132"/>
        <v>0.15140222007728968</v>
      </c>
      <c r="I127" s="86">
        <f t="shared" si="132"/>
        <v>0.17297992396295647</v>
      </c>
      <c r="J127" s="86">
        <f t="shared" si="132"/>
        <v>0.15883527926465171</v>
      </c>
      <c r="K127" s="54">
        <f t="shared" si="132"/>
        <v>0.1691894904556569</v>
      </c>
      <c r="L127" s="85">
        <f t="shared" si="132"/>
        <v>0.14791233377578328</v>
      </c>
      <c r="M127" s="85">
        <f t="shared" si="132"/>
        <v>0.16582327989446666</v>
      </c>
      <c r="N127" s="85">
        <f t="shared" si="132"/>
        <v>0.16829521276252218</v>
      </c>
      <c r="O127" s="85">
        <f t="shared" si="132"/>
        <v>0.20818085882346704</v>
      </c>
      <c r="P127" s="85">
        <f t="shared" si="132"/>
        <v>0.21560552695201116</v>
      </c>
      <c r="Q127" s="85">
        <f t="shared" si="132"/>
        <v>0.21636066760941941</v>
      </c>
      <c r="R127" s="87">
        <f t="shared" si="132"/>
        <v>0.21493013447398093</v>
      </c>
      <c r="S127" s="88">
        <f t="shared" si="132"/>
        <v>0.18323862819408451</v>
      </c>
      <c r="U127" s="85">
        <f t="shared" si="132"/>
        <v>0.17149530449557535</v>
      </c>
      <c r="V127" s="85">
        <f t="shared" si="132"/>
        <v>0.1597451821823887</v>
      </c>
      <c r="W127" s="85">
        <f t="shared" si="133"/>
        <v>0.18189190329618812</v>
      </c>
      <c r="X127" s="87">
        <f t="shared" si="133"/>
        <v>0.21563018926285449</v>
      </c>
      <c r="Y127" s="89">
        <f t="shared" si="133"/>
        <v>0.18323862819408454</v>
      </c>
    </row>
    <row r="128" spans="2:27" ht="15.5" outlineLevel="1" x14ac:dyDescent="0.35">
      <c r="D128" s="24" t="s">
        <v>19</v>
      </c>
      <c r="E128" s="25">
        <v>2026</v>
      </c>
      <c r="F128" s="80">
        <f t="shared" ref="F128" si="134">IFERROR(F117/F37,0)</f>
        <v>0.18390584915127997</v>
      </c>
      <c r="G128" s="80">
        <f t="shared" si="132"/>
        <v>0.17943474663909195</v>
      </c>
      <c r="H128" s="81">
        <f t="shared" si="132"/>
        <v>0.15140222007728968</v>
      </c>
      <c r="I128" s="81">
        <f t="shared" si="132"/>
        <v>0.17297992396295647</v>
      </c>
      <c r="J128" s="81">
        <f t="shared" si="132"/>
        <v>0.19311048094533922</v>
      </c>
      <c r="K128" s="61">
        <f t="shared" si="132"/>
        <v>0.17632217490561863</v>
      </c>
      <c r="L128" s="80">
        <f t="shared" si="132"/>
        <v>0.14791233377578328</v>
      </c>
      <c r="M128" s="80">
        <f t="shared" si="132"/>
        <v>0.16582327989446666</v>
      </c>
      <c r="N128" s="80">
        <f t="shared" si="132"/>
        <v>0.16829521276252218</v>
      </c>
      <c r="O128" s="80">
        <f t="shared" si="132"/>
        <v>0.20818085882346704</v>
      </c>
      <c r="P128" s="80">
        <f t="shared" si="132"/>
        <v>0.21560552695201116</v>
      </c>
      <c r="Q128" s="80">
        <f t="shared" si="132"/>
        <v>0.21636066760941941</v>
      </c>
      <c r="R128" s="82">
        <f t="shared" si="132"/>
        <v>0.21493013447398093</v>
      </c>
      <c r="S128" s="83">
        <f t="shared" si="132"/>
        <v>0.18597385955017789</v>
      </c>
      <c r="U128" s="80">
        <f t="shared" si="132"/>
        <v>0.17149530449557535</v>
      </c>
      <c r="V128" s="80">
        <f t="shared" si="132"/>
        <v>0.17119217968372957</v>
      </c>
      <c r="W128" s="80">
        <f t="shared" si="133"/>
        <v>0.18189190329618812</v>
      </c>
      <c r="X128" s="82">
        <f t="shared" si="133"/>
        <v>0.21563018926285449</v>
      </c>
      <c r="Y128" s="84">
        <f t="shared" si="133"/>
        <v>0.18597385955017792</v>
      </c>
    </row>
    <row r="129" spans="2:28" ht="14.5" customHeight="1" x14ac:dyDescent="0.35">
      <c r="C129" s="7"/>
      <c r="F129" s="66"/>
      <c r="G129" s="66"/>
      <c r="H129" s="66"/>
      <c r="I129" s="66"/>
      <c r="J129" s="66"/>
      <c r="K129" s="66"/>
      <c r="L129" s="66"/>
      <c r="M129" s="66"/>
      <c r="N129" s="67"/>
      <c r="O129" s="67"/>
      <c r="P129" s="67"/>
      <c r="Q129" s="67"/>
      <c r="R129" s="68"/>
    </row>
    <row r="130" spans="2:28" ht="15.5" hidden="1" outlineLevel="1" x14ac:dyDescent="0.35">
      <c r="C130" s="71"/>
      <c r="D130" s="71" t="s">
        <v>37</v>
      </c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U130" s="71"/>
      <c r="V130" s="71"/>
      <c r="W130" s="71"/>
      <c r="X130" s="71"/>
      <c r="Y130" s="71"/>
    </row>
    <row r="131" spans="2:28" s="23" customFormat="1" ht="18" hidden="1" customHeight="1" outlineLevel="1" x14ac:dyDescent="0.35">
      <c r="B131"/>
      <c r="C131" s="2"/>
      <c r="D131" s="24" t="s">
        <v>19</v>
      </c>
      <c r="E131" s="25">
        <v>2024</v>
      </c>
      <c r="F131" s="26">
        <f t="shared" ref="F131:R135" si="135">F95-F113</f>
        <v>2106.5137919999324</v>
      </c>
      <c r="G131" s="26">
        <f t="shared" si="135"/>
        <v>2771.1281977999952</v>
      </c>
      <c r="H131" s="26">
        <f t="shared" si="135"/>
        <v>2890.3453182000903</v>
      </c>
      <c r="I131" s="26">
        <f t="shared" si="135"/>
        <v>4423.4587403999813</v>
      </c>
      <c r="J131" s="26">
        <f t="shared" si="135"/>
        <v>3409.0230370000045</v>
      </c>
      <c r="K131" s="28">
        <f>SUM(F131:J131)</f>
        <v>15600.469085400004</v>
      </c>
      <c r="L131" s="27">
        <f t="shared" ref="L131:R133" si="136">L95-L113</f>
        <v>2892.296884999967</v>
      </c>
      <c r="M131" s="27">
        <f t="shared" si="136"/>
        <v>3146.2571267000058</v>
      </c>
      <c r="N131" s="27">
        <f t="shared" si="136"/>
        <v>3007.9094984000403</v>
      </c>
      <c r="O131" s="27">
        <f t="shared" si="136"/>
        <v>3254.1942400000335</v>
      </c>
      <c r="P131" s="26">
        <f t="shared" si="136"/>
        <v>2915.2426777999972</v>
      </c>
      <c r="Q131" s="26">
        <f t="shared" si="136"/>
        <v>3162.3216687998993</v>
      </c>
      <c r="R131" s="27">
        <f t="shared" si="136"/>
        <v>3351.3788976000014</v>
      </c>
      <c r="S131" s="29">
        <f>SUM(K131:R131)</f>
        <v>37330.070079699944</v>
      </c>
      <c r="T131" s="2"/>
      <c r="U131" s="26">
        <f>SUM(F131:G131,H131)</f>
        <v>7767.9873080000179</v>
      </c>
      <c r="V131" s="26">
        <f>SUM(I131,J131,L131)</f>
        <v>10724.778662399953</v>
      </c>
      <c r="W131" s="26">
        <f>SUM(M131:O131)</f>
        <v>9408.3608651000795</v>
      </c>
      <c r="X131" s="30">
        <f>SUM(P131:R131)</f>
        <v>9428.9432441998979</v>
      </c>
      <c r="Y131" s="31">
        <f>SUM(U131:X131)</f>
        <v>37330.070079699944</v>
      </c>
      <c r="AA131"/>
    </row>
    <row r="132" spans="2:28" s="23" customFormat="1" ht="17.5" hidden="1" customHeight="1" outlineLevel="1" x14ac:dyDescent="0.35">
      <c r="B132"/>
      <c r="C132" s="2"/>
      <c r="D132" s="32" t="s">
        <v>19</v>
      </c>
      <c r="E132" s="33">
        <v>2025</v>
      </c>
      <c r="F132" s="34">
        <f t="shared" si="135"/>
        <v>1560.0562599999939</v>
      </c>
      <c r="G132" s="34">
        <f t="shared" si="135"/>
        <v>2156.0936200000142</v>
      </c>
      <c r="H132" s="34">
        <f t="shared" si="135"/>
        <v>4762.9556199999606</v>
      </c>
      <c r="I132" s="34">
        <f t="shared" si="135"/>
        <v>4598.3313899999739</v>
      </c>
      <c r="J132" s="34">
        <f t="shared" si="135"/>
        <v>3814.8088899999675</v>
      </c>
      <c r="K132" s="35">
        <f t="shared" ref="K132:K135" si="137">SUM(F132:J132)</f>
        <v>16892.24577999991</v>
      </c>
      <c r="L132" s="34">
        <f t="shared" si="136"/>
        <v>3464.3686099999777</v>
      </c>
      <c r="M132" s="34">
        <f t="shared" si="136"/>
        <v>4000.7362634763258</v>
      </c>
      <c r="N132" s="34">
        <f t="shared" si="136"/>
        <v>4534.2102659150896</v>
      </c>
      <c r="O132" s="34">
        <f t="shared" si="136"/>
        <v>4914.717910000003</v>
      </c>
      <c r="P132" s="34">
        <f t="shared" si="136"/>
        <v>15191.915199999967</v>
      </c>
      <c r="Q132" s="34">
        <f t="shared" si="136"/>
        <v>16161.457780000073</v>
      </c>
      <c r="R132" s="36">
        <f t="shared" si="136"/>
        <v>9166.6865000000034</v>
      </c>
      <c r="S132" s="37">
        <f t="shared" ref="S132:S135" si="138">SUM(K132:R132)</f>
        <v>74326.338309391344</v>
      </c>
      <c r="T132" s="2"/>
      <c r="U132" s="38">
        <f>SUM(F132:G132,H132)</f>
        <v>8479.1054999999687</v>
      </c>
      <c r="V132" s="38">
        <f>SUM(I132,J132,L132)</f>
        <v>11877.508889999919</v>
      </c>
      <c r="W132" s="38">
        <f t="shared" ref="W132:W135" si="139">SUM(M132:O132)</f>
        <v>13449.664439391418</v>
      </c>
      <c r="X132" s="39">
        <f t="shared" ref="X132:X135" si="140">SUM(P132:R132)</f>
        <v>40520.05948000004</v>
      </c>
      <c r="Y132" s="40">
        <f t="shared" ref="Y132:Y135" si="141">SUM(U132:X132)</f>
        <v>74326.338309391344</v>
      </c>
    </row>
    <row r="133" spans="2:28" s="23" customFormat="1" ht="18" hidden="1" customHeight="1" outlineLevel="1" x14ac:dyDescent="0.35">
      <c r="B133"/>
      <c r="C133" s="2"/>
      <c r="D133" s="24" t="s">
        <v>20</v>
      </c>
      <c r="E133" s="25">
        <v>2026</v>
      </c>
      <c r="F133" s="26">
        <f t="shared" si="135"/>
        <v>0</v>
      </c>
      <c r="G133" s="26">
        <f t="shared" si="135"/>
        <v>0</v>
      </c>
      <c r="H133" s="26">
        <f t="shared" si="135"/>
        <v>0</v>
      </c>
      <c r="I133" s="26">
        <f t="shared" si="135"/>
        <v>0</v>
      </c>
      <c r="J133" s="26">
        <f t="shared" si="135"/>
        <v>0</v>
      </c>
      <c r="K133" s="28">
        <f t="shared" si="137"/>
        <v>0</v>
      </c>
      <c r="L133" s="27">
        <f t="shared" si="136"/>
        <v>0</v>
      </c>
      <c r="M133" s="27">
        <f t="shared" si="136"/>
        <v>0</v>
      </c>
      <c r="N133" s="27">
        <f t="shared" si="136"/>
        <v>0</v>
      </c>
      <c r="O133" s="27">
        <f t="shared" si="136"/>
        <v>0</v>
      </c>
      <c r="P133" s="26">
        <f t="shared" si="136"/>
        <v>0</v>
      </c>
      <c r="Q133" s="26">
        <f t="shared" si="136"/>
        <v>0</v>
      </c>
      <c r="R133" s="27">
        <f t="shared" si="136"/>
        <v>0</v>
      </c>
      <c r="S133" s="29">
        <f t="shared" si="138"/>
        <v>0</v>
      </c>
      <c r="T133" s="2"/>
      <c r="U133" s="26">
        <f>SUM(F133:G133,H133)</f>
        <v>0</v>
      </c>
      <c r="V133" s="26">
        <f>SUM(I133,J133,L133)</f>
        <v>0</v>
      </c>
      <c r="W133" s="26">
        <f t="shared" si="139"/>
        <v>0</v>
      </c>
      <c r="X133" s="30">
        <f t="shared" si="140"/>
        <v>0</v>
      </c>
      <c r="Y133" s="31">
        <f t="shared" si="141"/>
        <v>0</v>
      </c>
      <c r="AA133"/>
    </row>
    <row r="134" spans="2:28" s="23" customFormat="1" ht="18" hidden="1" customHeight="1" outlineLevel="1" x14ac:dyDescent="0.35">
      <c r="B134"/>
      <c r="C134" s="2"/>
      <c r="D134" s="32" t="s">
        <v>21</v>
      </c>
      <c r="E134" s="33">
        <v>2026</v>
      </c>
      <c r="F134" s="34">
        <f>F98-F116</f>
        <v>2892.3180100000063</v>
      </c>
      <c r="G134" s="34">
        <f t="shared" si="135"/>
        <v>2867.2721900000033</v>
      </c>
      <c r="H134" s="34">
        <f t="shared" si="135"/>
        <v>5178.5334863159987</v>
      </c>
      <c r="I134" s="34">
        <f t="shared" si="135"/>
        <v>8977.5040000000008</v>
      </c>
      <c r="J134" s="34">
        <f t="shared" si="135"/>
        <v>-0.11366858328256058</v>
      </c>
      <c r="K134" s="35">
        <f t="shared" si="137"/>
        <v>19915.514017732727</v>
      </c>
      <c r="L134" s="34">
        <f t="shared" si="135"/>
        <v>-0.12863819704216439</v>
      </c>
      <c r="M134" s="34">
        <f t="shared" si="135"/>
        <v>-0.1187756090585026</v>
      </c>
      <c r="N134" s="34">
        <f t="shared" si="135"/>
        <v>-0.17225193371996284</v>
      </c>
      <c r="O134" s="34">
        <f t="shared" si="135"/>
        <v>-0.17726495131864795</v>
      </c>
      <c r="P134" s="34">
        <f t="shared" si="135"/>
        <v>-0.18037213752177195</v>
      </c>
      <c r="Q134" s="34">
        <f t="shared" si="135"/>
        <v>-7.2523011003795546E-2</v>
      </c>
      <c r="R134" s="36">
        <f t="shared" si="135"/>
        <v>-3.650557705987012E-2</v>
      </c>
      <c r="S134" s="37">
        <f t="shared" si="138"/>
        <v>19914.627686316002</v>
      </c>
      <c r="T134" s="2"/>
      <c r="U134" s="38">
        <f>SUM(F134:G134,H134)</f>
        <v>10938.123686316008</v>
      </c>
      <c r="V134" s="38">
        <f>SUM(I134,J134,L134)</f>
        <v>8977.2616932196761</v>
      </c>
      <c r="W134" s="38">
        <f t="shared" si="139"/>
        <v>-0.46829249409711338</v>
      </c>
      <c r="X134" s="39">
        <f t="shared" si="140"/>
        <v>-0.28940072558543761</v>
      </c>
      <c r="Y134" s="40">
        <f t="shared" si="141"/>
        <v>19914.627686316002</v>
      </c>
      <c r="AA134"/>
    </row>
    <row r="135" spans="2:28" s="23" customFormat="1" ht="18" hidden="1" customHeight="1" outlineLevel="1" x14ac:dyDescent="0.35">
      <c r="B135"/>
      <c r="C135" s="2"/>
      <c r="D135" s="41" t="s">
        <v>19</v>
      </c>
      <c r="E135" s="42">
        <v>2026</v>
      </c>
      <c r="F135" s="43">
        <f>F99-F117</f>
        <v>2892.3180100000063</v>
      </c>
      <c r="G135" s="43">
        <f>G99-G117</f>
        <v>2867.2721900000033</v>
      </c>
      <c r="H135" s="43">
        <f t="shared" si="135"/>
        <v>5178.5334863159987</v>
      </c>
      <c r="I135" s="44">
        <f t="shared" si="135"/>
        <v>8977.5040000000008</v>
      </c>
      <c r="J135" s="44">
        <f t="shared" si="135"/>
        <v>12111.835340000001</v>
      </c>
      <c r="K135" s="45">
        <f t="shared" si="137"/>
        <v>32027.463026316011</v>
      </c>
      <c r="L135" s="46">
        <f t="shared" si="135"/>
        <v>-0.12863819704216439</v>
      </c>
      <c r="M135" s="46">
        <f t="shared" si="135"/>
        <v>-0.1187756090585026</v>
      </c>
      <c r="N135" s="46">
        <f t="shared" si="135"/>
        <v>-0.17225193371996284</v>
      </c>
      <c r="O135" s="46">
        <f t="shared" si="135"/>
        <v>-0.17726495131864795</v>
      </c>
      <c r="P135" s="46">
        <f t="shared" si="135"/>
        <v>-0.18037213752177195</v>
      </c>
      <c r="Q135" s="46">
        <f t="shared" si="135"/>
        <v>-7.2523011003795546E-2</v>
      </c>
      <c r="R135" s="46">
        <f t="shared" si="135"/>
        <v>-3.650557705987012E-2</v>
      </c>
      <c r="S135" s="47">
        <f t="shared" si="138"/>
        <v>32026.576694899286</v>
      </c>
      <c r="T135" s="2"/>
      <c r="U135" s="44">
        <f>SUM(F135:G135,H135)</f>
        <v>10938.123686316008</v>
      </c>
      <c r="V135" s="44">
        <f>SUM(I135,J135,L135)</f>
        <v>21089.21070180296</v>
      </c>
      <c r="W135" s="44">
        <f t="shared" si="139"/>
        <v>-0.46829249409711338</v>
      </c>
      <c r="X135" s="48">
        <f t="shared" si="140"/>
        <v>-0.28940072558543761</v>
      </c>
      <c r="Y135" s="49">
        <f t="shared" si="141"/>
        <v>32026.576694899286</v>
      </c>
      <c r="AB135" s="50"/>
    </row>
    <row r="136" spans="2:28" s="23" customFormat="1" ht="17.5" hidden="1" customHeight="1" outlineLevel="1" x14ac:dyDescent="0.35">
      <c r="B136"/>
      <c r="C136" s="51"/>
      <c r="D136" s="32" t="s">
        <v>22</v>
      </c>
      <c r="E136" s="32"/>
      <c r="F136" s="52">
        <f>F132/F131-1</f>
        <v>-0.25941322296358171</v>
      </c>
      <c r="G136" s="52">
        <f t="shared" ref="G136:S136" si="142">G132/G131-1</f>
        <v>-0.22194374778050985</v>
      </c>
      <c r="H136" s="53">
        <f t="shared" si="142"/>
        <v>0.64788462818207626</v>
      </c>
      <c r="I136" s="53">
        <f t="shared" si="142"/>
        <v>3.953301248248553E-2</v>
      </c>
      <c r="J136" s="53">
        <f t="shared" si="142"/>
        <v>0.1190328867231889</v>
      </c>
      <c r="K136" s="54">
        <f>K132/K131-1</f>
        <v>8.2803708499306516E-2</v>
      </c>
      <c r="L136" s="53">
        <f t="shared" si="142"/>
        <v>0.19779149504564675</v>
      </c>
      <c r="M136" s="53">
        <f t="shared" si="142"/>
        <v>0.27158592014777638</v>
      </c>
      <c r="N136" s="53">
        <f t="shared" si="142"/>
        <v>0.50742908599042469</v>
      </c>
      <c r="O136" s="53">
        <f t="shared" si="142"/>
        <v>0.51027183613967453</v>
      </c>
      <c r="P136" s="53">
        <f t="shared" si="142"/>
        <v>4.2112008772678315</v>
      </c>
      <c r="Q136" s="53">
        <f t="shared" si="142"/>
        <v>4.1106305659706477</v>
      </c>
      <c r="R136" s="55">
        <f t="shared" si="142"/>
        <v>1.7351984899602</v>
      </c>
      <c r="S136" s="56">
        <f t="shared" si="142"/>
        <v>0.99105809741862583</v>
      </c>
      <c r="T136" s="2"/>
      <c r="U136" s="52">
        <f t="shared" ref="U136:Y136" si="143">U132/U131-1</f>
        <v>9.1544715999676285E-2</v>
      </c>
      <c r="V136" s="52">
        <f t="shared" si="143"/>
        <v>0.10748289208441464</v>
      </c>
      <c r="W136" s="52">
        <f t="shared" si="143"/>
        <v>0.42954385277486362</v>
      </c>
      <c r="X136" s="57">
        <f t="shared" si="143"/>
        <v>3.2974125976339366</v>
      </c>
      <c r="Y136" s="58">
        <f t="shared" si="143"/>
        <v>0.99105809741862583</v>
      </c>
    </row>
    <row r="137" spans="2:28" s="23" customFormat="1" ht="17.5" hidden="1" customHeight="1" outlineLevel="1" x14ac:dyDescent="0.35">
      <c r="B137"/>
      <c r="C137" s="51"/>
      <c r="D137" s="24" t="s">
        <v>23</v>
      </c>
      <c r="E137" s="24"/>
      <c r="F137" s="59">
        <f>F135/F132-1</f>
        <v>0.85398314417200405</v>
      </c>
      <c r="G137" s="59">
        <f t="shared" ref="G137:S137" si="144">G135/G132-1</f>
        <v>0.32984586726803844</v>
      </c>
      <c r="H137" s="60">
        <f t="shared" si="144"/>
        <v>8.7252097116126803E-2</v>
      </c>
      <c r="I137" s="60">
        <f t="shared" si="144"/>
        <v>0.95233949852406163</v>
      </c>
      <c r="J137" s="60">
        <f t="shared" si="144"/>
        <v>2.1749520590008125</v>
      </c>
      <c r="K137" s="61">
        <f>K135/K132-1</f>
        <v>0.89598608991564066</v>
      </c>
      <c r="L137" s="59">
        <f t="shared" si="144"/>
        <v>-1.000037131786921</v>
      </c>
      <c r="M137" s="59">
        <f t="shared" si="144"/>
        <v>-1.0000296884376365</v>
      </c>
      <c r="N137" s="59">
        <f t="shared" si="144"/>
        <v>-1.0000379894013771</v>
      </c>
      <c r="O137" s="59">
        <f t="shared" si="144"/>
        <v>-1.0000360681842915</v>
      </c>
      <c r="P137" s="59">
        <f t="shared" si="144"/>
        <v>-1.0000118729031295</v>
      </c>
      <c r="Q137" s="59">
        <f t="shared" si="144"/>
        <v>-1.0000044874052818</v>
      </c>
      <c r="R137" s="62">
        <f t="shared" si="144"/>
        <v>-1.0000039824179718</v>
      </c>
      <c r="S137" s="63">
        <f t="shared" si="144"/>
        <v>-0.5691086440773494</v>
      </c>
      <c r="T137" s="2"/>
      <c r="U137" s="59">
        <f t="shared" ref="U137:Y137" si="145">U135/U132-1</f>
        <v>0.29000915088461254</v>
      </c>
      <c r="V137" s="59">
        <f t="shared" si="145"/>
        <v>0.77555840177553459</v>
      </c>
      <c r="W137" s="59">
        <f t="shared" si="145"/>
        <v>-1.0000348181544758</v>
      </c>
      <c r="X137" s="64">
        <f t="shared" si="145"/>
        <v>-1.0000071421594465</v>
      </c>
      <c r="Y137" s="65">
        <f t="shared" si="145"/>
        <v>-0.5691086440773494</v>
      </c>
    </row>
    <row r="138" spans="2:28" s="23" customFormat="1" ht="17.5" hidden="1" customHeight="1" outlineLevel="1" x14ac:dyDescent="0.35">
      <c r="B138"/>
      <c r="C138" s="51"/>
      <c r="D138" s="32" t="s">
        <v>24</v>
      </c>
      <c r="E138" s="32"/>
      <c r="F138" s="52" t="e">
        <f>F135/F133-1</f>
        <v>#DIV/0!</v>
      </c>
      <c r="G138" s="52" t="e">
        <f t="shared" ref="G138:S138" si="146">G135/G133-1</f>
        <v>#DIV/0!</v>
      </c>
      <c r="H138" s="53" t="e">
        <f t="shared" si="146"/>
        <v>#DIV/0!</v>
      </c>
      <c r="I138" s="53" t="e">
        <f t="shared" si="146"/>
        <v>#DIV/0!</v>
      </c>
      <c r="J138" s="53" t="e">
        <f t="shared" si="146"/>
        <v>#DIV/0!</v>
      </c>
      <c r="K138" s="54" t="e">
        <f>K135/K133-1</f>
        <v>#DIV/0!</v>
      </c>
      <c r="L138" s="53" t="e">
        <f t="shared" si="146"/>
        <v>#DIV/0!</v>
      </c>
      <c r="M138" s="53" t="e">
        <f t="shared" si="146"/>
        <v>#DIV/0!</v>
      </c>
      <c r="N138" s="53" t="e">
        <f t="shared" si="146"/>
        <v>#DIV/0!</v>
      </c>
      <c r="O138" s="53" t="e">
        <f t="shared" si="146"/>
        <v>#DIV/0!</v>
      </c>
      <c r="P138" s="53" t="e">
        <f t="shared" si="146"/>
        <v>#DIV/0!</v>
      </c>
      <c r="Q138" s="53" t="e">
        <f t="shared" si="146"/>
        <v>#DIV/0!</v>
      </c>
      <c r="R138" s="55" t="e">
        <f t="shared" si="146"/>
        <v>#DIV/0!</v>
      </c>
      <c r="S138" s="56" t="e">
        <f t="shared" si="146"/>
        <v>#DIV/0!</v>
      </c>
      <c r="T138" s="2"/>
      <c r="U138" s="52" t="e">
        <f t="shared" ref="U138:Y138" si="147">U135/U133-1</f>
        <v>#DIV/0!</v>
      </c>
      <c r="V138" s="52" t="e">
        <f t="shared" si="147"/>
        <v>#DIV/0!</v>
      </c>
      <c r="W138" s="52" t="e">
        <f t="shared" si="147"/>
        <v>#DIV/0!</v>
      </c>
      <c r="X138" s="57" t="e">
        <f t="shared" si="147"/>
        <v>#DIV/0!</v>
      </c>
      <c r="Y138" s="58" t="e">
        <f t="shared" si="147"/>
        <v>#DIV/0!</v>
      </c>
    </row>
    <row r="139" spans="2:28" s="23" customFormat="1" ht="17.5" hidden="1" customHeight="1" outlineLevel="1" x14ac:dyDescent="0.35">
      <c r="B139"/>
      <c r="C139" s="51"/>
      <c r="D139" s="24" t="s">
        <v>25</v>
      </c>
      <c r="E139" s="24"/>
      <c r="F139" s="59">
        <f>F135/F134-1</f>
        <v>0</v>
      </c>
      <c r="G139" s="59">
        <f t="shared" ref="G139:Y139" si="148">G135/G134-1</f>
        <v>0</v>
      </c>
      <c r="H139" s="60">
        <f t="shared" si="148"/>
        <v>0</v>
      </c>
      <c r="I139" s="60">
        <f t="shared" si="148"/>
        <v>0</v>
      </c>
      <c r="J139" s="60">
        <f t="shared" si="148"/>
        <v>-106554.93944597742</v>
      </c>
      <c r="K139" s="61">
        <f t="shared" si="148"/>
        <v>0.60816652775312918</v>
      </c>
      <c r="L139" s="59">
        <f t="shared" si="148"/>
        <v>0</v>
      </c>
      <c r="M139" s="59">
        <f t="shared" si="148"/>
        <v>0</v>
      </c>
      <c r="N139" s="59">
        <f t="shared" si="148"/>
        <v>0</v>
      </c>
      <c r="O139" s="59">
        <f t="shared" si="148"/>
        <v>0</v>
      </c>
      <c r="P139" s="59">
        <f t="shared" si="148"/>
        <v>0</v>
      </c>
      <c r="Q139" s="59">
        <f t="shared" si="148"/>
        <v>0</v>
      </c>
      <c r="R139" s="62">
        <f t="shared" si="148"/>
        <v>0</v>
      </c>
      <c r="S139" s="63">
        <f t="shared" si="148"/>
        <v>0.60819359514844473</v>
      </c>
      <c r="T139" s="2"/>
      <c r="U139" s="59">
        <f t="shared" si="148"/>
        <v>0</v>
      </c>
      <c r="V139" s="59">
        <f t="shared" si="148"/>
        <v>1.3491807883612403</v>
      </c>
      <c r="W139" s="59">
        <f t="shared" si="148"/>
        <v>0</v>
      </c>
      <c r="X139" s="64">
        <f t="shared" si="148"/>
        <v>0</v>
      </c>
      <c r="Y139" s="65">
        <f t="shared" si="148"/>
        <v>0.60819359514844473</v>
      </c>
    </row>
    <row r="140" spans="2:28" ht="14.5" hidden="1" customHeight="1" outlineLevel="1" x14ac:dyDescent="0.35">
      <c r="C140" s="7"/>
      <c r="F140" s="66"/>
      <c r="G140" s="66"/>
      <c r="H140" s="66"/>
      <c r="I140" s="66"/>
      <c r="J140" s="66"/>
      <c r="K140" s="66"/>
      <c r="L140" s="66"/>
      <c r="M140" s="66"/>
      <c r="N140" s="67"/>
      <c r="O140" s="67"/>
      <c r="P140" s="67"/>
      <c r="Q140" s="67"/>
      <c r="R140" s="68"/>
    </row>
    <row r="141" spans="2:28" hidden="1" outlineLevel="1" x14ac:dyDescent="0.35">
      <c r="D141" s="8" t="s">
        <v>38</v>
      </c>
      <c r="F141" s="76"/>
      <c r="G141" s="77"/>
      <c r="I141" s="66"/>
      <c r="J141" s="66"/>
      <c r="K141" s="77"/>
      <c r="L141" s="66"/>
      <c r="M141" s="66"/>
      <c r="N141" s="78"/>
      <c r="S141" s="79"/>
    </row>
    <row r="142" spans="2:28" ht="15.5" hidden="1" outlineLevel="1" x14ac:dyDescent="0.35">
      <c r="D142" s="24" t="s">
        <v>19</v>
      </c>
      <c r="E142" s="25">
        <v>2024</v>
      </c>
      <c r="F142" s="80">
        <f t="shared" ref="F142:S142" si="149">IFERROR(F131/F$22,0)</f>
        <v>3.0268909078227938E-2</v>
      </c>
      <c r="G142" s="80">
        <f t="shared" si="149"/>
        <v>3.9946566618511536E-2</v>
      </c>
      <c r="H142" s="81">
        <f t="shared" si="149"/>
        <v>3.9803531654142438E-2</v>
      </c>
      <c r="I142" s="81">
        <f t="shared" si="149"/>
        <v>5.9352022213200697E-2</v>
      </c>
      <c r="J142" s="81">
        <f t="shared" si="149"/>
        <v>4.4556750453640867E-2</v>
      </c>
      <c r="K142" s="61">
        <f>IFERROR(K131/K$22,0)</f>
        <v>4.3021727898945608E-2</v>
      </c>
      <c r="L142" s="80">
        <f t="shared" si="149"/>
        <v>3.6515532098606744E-2</v>
      </c>
      <c r="M142" s="80">
        <f t="shared" si="149"/>
        <v>3.852298183796745E-2</v>
      </c>
      <c r="N142" s="80">
        <f t="shared" si="149"/>
        <v>3.6819084364613501E-2</v>
      </c>
      <c r="O142" s="80">
        <f t="shared" si="149"/>
        <v>3.9944141958186123E-2</v>
      </c>
      <c r="P142" s="80">
        <f t="shared" si="149"/>
        <v>3.2601851425014775E-2</v>
      </c>
      <c r="Q142" s="80">
        <f t="shared" si="149"/>
        <v>3.7953478306507971E-2</v>
      </c>
      <c r="R142" s="82">
        <f t="shared" si="149"/>
        <v>4.0655831398261628E-2</v>
      </c>
      <c r="S142" s="83">
        <f t="shared" si="149"/>
        <v>3.9635497277407478E-2</v>
      </c>
      <c r="U142" s="80">
        <f t="shared" ref="U142:Y142" si="150">IFERROR(U131/U$22,0)</f>
        <v>3.6714274002128337E-2</v>
      </c>
      <c r="V142" s="80">
        <f t="shared" si="150"/>
        <v>4.657961359482557E-2</v>
      </c>
      <c r="W142" s="80">
        <f t="shared" si="150"/>
        <v>3.8427330692783E-2</v>
      </c>
      <c r="X142" s="82">
        <f t="shared" si="150"/>
        <v>3.695111240082892E-2</v>
      </c>
      <c r="Y142" s="84">
        <f t="shared" si="150"/>
        <v>3.9635497277407478E-2</v>
      </c>
    </row>
    <row r="143" spans="2:28" ht="15.5" hidden="1" outlineLevel="1" x14ac:dyDescent="0.35">
      <c r="D143" s="32" t="s">
        <v>19</v>
      </c>
      <c r="E143" s="33">
        <v>2025</v>
      </c>
      <c r="F143" s="85">
        <f>IFERROR(F132/F$23,0)</f>
        <v>1.7077260661354579E-2</v>
      </c>
      <c r="G143" s="85">
        <f t="shared" ref="G143:S143" si="151">IFERROR(G132/G$23,0)</f>
        <v>2.3794668495159366E-2</v>
      </c>
      <c r="H143" s="86">
        <f t="shared" si="151"/>
        <v>5.1851185586384872E-2</v>
      </c>
      <c r="I143" s="86">
        <f t="shared" si="151"/>
        <v>4.9686425249347646E-2</v>
      </c>
      <c r="J143" s="86">
        <f t="shared" si="151"/>
        <v>4.0077607692689483E-2</v>
      </c>
      <c r="K143" s="54">
        <f>IFERROR(K132/K$23,0)</f>
        <v>3.6598469655887686E-2</v>
      </c>
      <c r="L143" s="85">
        <f t="shared" si="151"/>
        <v>3.7230419685625946E-2</v>
      </c>
      <c r="M143" s="85">
        <f t="shared" si="151"/>
        <v>4.3790798153932602E-2</v>
      </c>
      <c r="N143" s="85">
        <f t="shared" si="151"/>
        <v>4.6084347009586683E-2</v>
      </c>
      <c r="O143" s="85">
        <f t="shared" si="151"/>
        <v>4.8549187970951937E-2</v>
      </c>
      <c r="P143" s="85">
        <f t="shared" si="151"/>
        <v>0.13868457934432893</v>
      </c>
      <c r="Q143" s="85">
        <f t="shared" si="151"/>
        <v>0.15650559072813927</v>
      </c>
      <c r="R143" s="87">
        <f t="shared" si="151"/>
        <v>9.047327556968178E-2</v>
      </c>
      <c r="S143" s="88">
        <f t="shared" si="151"/>
        <v>6.4090115878374293E-2</v>
      </c>
      <c r="U143" s="85">
        <f t="shared" ref="U143:Y143" si="152">IFERROR(U132/U$23,0)</f>
        <v>3.0965588590831958E-2</v>
      </c>
      <c r="V143" s="85">
        <f t="shared" si="152"/>
        <v>4.2301129214134738E-2</v>
      </c>
      <c r="W143" s="85">
        <f t="shared" si="152"/>
        <v>4.6221747601598799E-2</v>
      </c>
      <c r="X143" s="87">
        <f t="shared" si="152"/>
        <v>0.12899276133123902</v>
      </c>
      <c r="Y143" s="89">
        <f t="shared" si="152"/>
        <v>6.4090115878374293E-2</v>
      </c>
    </row>
    <row r="144" spans="2:28" ht="15.5" hidden="1" outlineLevel="1" x14ac:dyDescent="0.35">
      <c r="D144" s="24" t="s">
        <v>20</v>
      </c>
      <c r="E144" s="25">
        <v>2026</v>
      </c>
      <c r="F144" s="80">
        <f>IFERROR(F133/F$24,0)</f>
        <v>0</v>
      </c>
      <c r="G144" s="80">
        <f t="shared" ref="G144:S144" si="153">IFERROR(G133/G$24,0)</f>
        <v>0</v>
      </c>
      <c r="H144" s="81">
        <f t="shared" si="153"/>
        <v>0</v>
      </c>
      <c r="I144" s="81">
        <f t="shared" si="153"/>
        <v>0</v>
      </c>
      <c r="J144" s="81">
        <f t="shared" si="153"/>
        <v>0</v>
      </c>
      <c r="K144" s="61">
        <f>IFERROR(K133/K$24,0)</f>
        <v>0</v>
      </c>
      <c r="L144" s="80">
        <f t="shared" si="153"/>
        <v>0</v>
      </c>
      <c r="M144" s="80">
        <f t="shared" si="153"/>
        <v>0</v>
      </c>
      <c r="N144" s="80">
        <f t="shared" si="153"/>
        <v>0</v>
      </c>
      <c r="O144" s="80">
        <f t="shared" si="153"/>
        <v>0</v>
      </c>
      <c r="P144" s="80">
        <f t="shared" si="153"/>
        <v>0</v>
      </c>
      <c r="Q144" s="80">
        <f t="shared" si="153"/>
        <v>0</v>
      </c>
      <c r="R144" s="82">
        <f t="shared" si="153"/>
        <v>0</v>
      </c>
      <c r="S144" s="83">
        <f t="shared" si="153"/>
        <v>0</v>
      </c>
      <c r="U144" s="80">
        <f t="shared" ref="U144:Y144" si="154">IFERROR(U133/U$24,0)</f>
        <v>0</v>
      </c>
      <c r="V144" s="80">
        <f t="shared" si="154"/>
        <v>0</v>
      </c>
      <c r="W144" s="80">
        <f t="shared" si="154"/>
        <v>0</v>
      </c>
      <c r="X144" s="82">
        <f t="shared" si="154"/>
        <v>0</v>
      </c>
      <c r="Y144" s="84">
        <f t="shared" si="154"/>
        <v>0</v>
      </c>
    </row>
    <row r="145" spans="3:25" ht="15.5" hidden="1" outlineLevel="1" x14ac:dyDescent="0.35">
      <c r="D145" s="32" t="s">
        <v>21</v>
      </c>
      <c r="E145" s="33">
        <v>2026</v>
      </c>
      <c r="F145" s="85">
        <f>IFERROR(F134/F$25,0)</f>
        <v>2.7132596140590597E-2</v>
      </c>
      <c r="G145" s="85">
        <f t="shared" ref="G145:Y145" si="155">IFERROR(G134/G$25,0)</f>
        <v>2.7351299736637719E-2</v>
      </c>
      <c r="H145" s="86">
        <f t="shared" si="155"/>
        <v>4.827853123161404E-2</v>
      </c>
      <c r="I145" s="86">
        <f t="shared" si="155"/>
        <v>8.085092526735263E-2</v>
      </c>
      <c r="J145" s="86">
        <f t="shared" si="155"/>
        <v>-1.0183584170839114E-6</v>
      </c>
      <c r="K145" s="54">
        <f t="shared" si="155"/>
        <v>3.6788505509218014E-2</v>
      </c>
      <c r="L145" s="85">
        <f t="shared" si="155"/>
        <v>-1.1126930597972881E-6</v>
      </c>
      <c r="M145" s="85">
        <f t="shared" si="155"/>
        <v>-1.0109852249545201E-6</v>
      </c>
      <c r="N145" s="85">
        <f t="shared" si="155"/>
        <v>-1.4386326535937204E-6</v>
      </c>
      <c r="O145" s="85">
        <f t="shared" si="155"/>
        <v>-1.3254779898839548E-6</v>
      </c>
      <c r="P145" s="85">
        <f t="shared" si="155"/>
        <v>-1.4495207894353423E-6</v>
      </c>
      <c r="Q145" s="85">
        <f t="shared" si="155"/>
        <v>-5.7832209942143071E-7</v>
      </c>
      <c r="R145" s="87">
        <f t="shared" si="155"/>
        <v>-2.8865342731718951E-7</v>
      </c>
      <c r="S145" s="88">
        <f t="shared" si="155"/>
        <v>1.418195788572151E-2</v>
      </c>
      <c r="U145" s="85">
        <f t="shared" si="155"/>
        <v>3.4321672117426344E-2</v>
      </c>
      <c r="V145" s="85">
        <f t="shared" si="155"/>
        <v>2.653898596492224E-2</v>
      </c>
      <c r="W145" s="85">
        <f t="shared" si="155"/>
        <v>-1.2623979791560717E-6</v>
      </c>
      <c r="X145" s="87">
        <f t="shared" si="155"/>
        <v>-7.6905547760894685E-7</v>
      </c>
      <c r="Y145" s="89">
        <f t="shared" si="155"/>
        <v>1.418195788572151E-2</v>
      </c>
    </row>
    <row r="146" spans="3:25" ht="15.5" hidden="1" outlineLevel="1" x14ac:dyDescent="0.35">
      <c r="D146" s="24" t="s">
        <v>19</v>
      </c>
      <c r="E146" s="25">
        <v>2026</v>
      </c>
      <c r="F146" s="80">
        <f t="shared" ref="F146:S146" si="156">IFERROR(F135/F$26,0)</f>
        <v>2.7132596140590597E-2</v>
      </c>
      <c r="G146" s="80">
        <f t="shared" si="156"/>
        <v>2.7351299736637719E-2</v>
      </c>
      <c r="H146" s="81">
        <f t="shared" si="156"/>
        <v>4.827853123161404E-2</v>
      </c>
      <c r="I146" s="81">
        <f t="shared" si="156"/>
        <v>8.085092526735263E-2</v>
      </c>
      <c r="J146" s="81">
        <f t="shared" si="156"/>
        <v>0.10649202687191743</v>
      </c>
      <c r="K146" s="61">
        <f>IFERROR(K135/K$26,0)</f>
        <v>5.8931777070140169E-2</v>
      </c>
      <c r="L146" s="80">
        <f t="shared" si="156"/>
        <v>-1.1126930597972881E-6</v>
      </c>
      <c r="M146" s="80">
        <f t="shared" si="156"/>
        <v>-1.0109852249545201E-6</v>
      </c>
      <c r="N146" s="80">
        <f t="shared" si="156"/>
        <v>-1.4386326535937204E-6</v>
      </c>
      <c r="O146" s="80">
        <f t="shared" si="156"/>
        <v>-1.3254779898839548E-6</v>
      </c>
      <c r="P146" s="80">
        <f t="shared" si="156"/>
        <v>-1.4495207894353423E-6</v>
      </c>
      <c r="Q146" s="80">
        <f t="shared" si="156"/>
        <v>-5.7832209942143071E-7</v>
      </c>
      <c r="R146" s="82">
        <f t="shared" si="156"/>
        <v>-2.8865342731718951E-7</v>
      </c>
      <c r="S146" s="83">
        <f t="shared" si="156"/>
        <v>2.2773029847458468E-2</v>
      </c>
      <c r="U146" s="80">
        <f t="shared" ref="U146:Y146" si="157">IFERROR(U135/U$26,0)</f>
        <v>3.4321672117426344E-2</v>
      </c>
      <c r="V146" s="80">
        <f t="shared" si="157"/>
        <v>6.1957445497531835E-2</v>
      </c>
      <c r="W146" s="80">
        <f t="shared" si="157"/>
        <v>-1.2623979791560717E-6</v>
      </c>
      <c r="X146" s="82">
        <f t="shared" si="157"/>
        <v>-7.6905547760894685E-7</v>
      </c>
      <c r="Y146" s="84">
        <f t="shared" si="157"/>
        <v>2.2773029847458472E-2</v>
      </c>
    </row>
    <row r="147" spans="3:25" ht="14.5" customHeight="1" collapsed="1" x14ac:dyDescent="0.35">
      <c r="C147" s="7"/>
      <c r="F147" s="66"/>
      <c r="G147" s="66"/>
      <c r="H147" s="66"/>
      <c r="I147" s="66"/>
      <c r="J147" s="66"/>
      <c r="K147" s="66"/>
      <c r="L147" s="66"/>
      <c r="M147" s="66"/>
      <c r="N147" s="67"/>
      <c r="O147" s="67"/>
      <c r="P147" s="67"/>
      <c r="Q147" s="67"/>
      <c r="R147" s="68"/>
    </row>
    <row r="149" spans="3:25" hidden="1" outlineLevel="1" x14ac:dyDescent="0.35">
      <c r="D149" s="2" t="s">
        <v>39</v>
      </c>
    </row>
    <row r="150" spans="3:25" hidden="1" outlineLevel="1" x14ac:dyDescent="0.35">
      <c r="D150" s="2" t="s">
        <v>40</v>
      </c>
    </row>
    <row r="151" spans="3:25" collapsed="1" x14ac:dyDescent="0.35">
      <c r="D151"/>
      <c r="E151"/>
    </row>
    <row r="152" spans="3:25" x14ac:dyDescent="0.35">
      <c r="D152"/>
      <c r="E152"/>
    </row>
    <row r="153" spans="3:25" x14ac:dyDescent="0.35">
      <c r="D153"/>
      <c r="E153"/>
      <c r="F153"/>
      <c r="I153"/>
      <c r="J153"/>
      <c r="K153"/>
      <c r="L153"/>
      <c r="M153"/>
      <c r="N153"/>
      <c r="O153"/>
      <c r="P153"/>
      <c r="Q153"/>
      <c r="R153"/>
      <c r="S153"/>
    </row>
    <row r="154" spans="3:25" x14ac:dyDescent="0.35">
      <c r="D154"/>
      <c r="E154"/>
      <c r="F154"/>
      <c r="I154"/>
      <c r="J154"/>
      <c r="K154"/>
      <c r="L154"/>
      <c r="M154"/>
      <c r="N154"/>
      <c r="O154"/>
      <c r="P154"/>
      <c r="Q154"/>
      <c r="R154"/>
    </row>
    <row r="155" spans="3:25" x14ac:dyDescent="0.35">
      <c r="D155"/>
      <c r="E155"/>
      <c r="F155"/>
      <c r="I155"/>
      <c r="J155"/>
      <c r="K155"/>
      <c r="L155"/>
      <c r="M155"/>
      <c r="N155"/>
      <c r="O155"/>
      <c r="P155"/>
      <c r="Q155"/>
      <c r="R155"/>
    </row>
    <row r="156" spans="3:25" x14ac:dyDescent="0.35">
      <c r="D156"/>
      <c r="E156"/>
    </row>
    <row r="157" spans="3:25" x14ac:dyDescent="0.35">
      <c r="D157"/>
      <c r="E157"/>
      <c r="F157"/>
      <c r="I157"/>
      <c r="J157"/>
      <c r="K157"/>
      <c r="L157"/>
      <c r="M157"/>
      <c r="N157"/>
      <c r="O157"/>
      <c r="P157"/>
      <c r="Q157"/>
      <c r="R157"/>
    </row>
    <row r="158" spans="3:25" x14ac:dyDescent="0.35">
      <c r="D158"/>
      <c r="E158"/>
      <c r="F158"/>
      <c r="I158"/>
      <c r="J158"/>
      <c r="K158"/>
      <c r="L158"/>
      <c r="M158"/>
      <c r="N158"/>
      <c r="O158"/>
      <c r="P158"/>
      <c r="Q158"/>
      <c r="R158"/>
    </row>
    <row r="159" spans="3:25" x14ac:dyDescent="0.35">
      <c r="D159"/>
      <c r="E159"/>
      <c r="F159"/>
      <c r="I159"/>
      <c r="J159"/>
      <c r="K159"/>
      <c r="L159"/>
      <c r="M159"/>
      <c r="N159"/>
      <c r="O159"/>
      <c r="P159"/>
      <c r="Q159"/>
      <c r="R159"/>
    </row>
    <row r="160" spans="3:25" x14ac:dyDescent="0.35">
      <c r="D160"/>
      <c r="E160"/>
    </row>
    <row r="161" spans="3:6" x14ac:dyDescent="0.35">
      <c r="D161"/>
      <c r="E161"/>
    </row>
    <row r="162" spans="3:6" x14ac:dyDescent="0.35">
      <c r="D162"/>
      <c r="E162"/>
    </row>
    <row r="163" spans="3:6" x14ac:dyDescent="0.35">
      <c r="D163"/>
      <c r="E163"/>
    </row>
    <row r="164" spans="3:6" x14ac:dyDescent="0.35">
      <c r="D164"/>
      <c r="E164"/>
    </row>
    <row r="165" spans="3:6" x14ac:dyDescent="0.35">
      <c r="D165"/>
      <c r="E165"/>
    </row>
    <row r="166" spans="3:6" x14ac:dyDescent="0.35">
      <c r="C166"/>
      <c r="D166"/>
      <c r="E166"/>
      <c r="F166"/>
    </row>
    <row r="167" spans="3:6" x14ac:dyDescent="0.35">
      <c r="C167"/>
      <c r="D167"/>
      <c r="E167"/>
      <c r="F167"/>
    </row>
    <row r="168" spans="3:6" x14ac:dyDescent="0.35">
      <c r="C168"/>
      <c r="D168"/>
      <c r="E168"/>
      <c r="F168"/>
    </row>
    <row r="169" spans="3:6" x14ac:dyDescent="0.35">
      <c r="C169"/>
      <c r="D169"/>
      <c r="E169"/>
      <c r="F169"/>
    </row>
    <row r="170" spans="3:6" x14ac:dyDescent="0.35">
      <c r="C170"/>
      <c r="D170"/>
      <c r="E170"/>
      <c r="F170"/>
    </row>
    <row r="171" spans="3:6" x14ac:dyDescent="0.35">
      <c r="C171"/>
      <c r="D171"/>
      <c r="E171"/>
      <c r="F171"/>
    </row>
    <row r="172" spans="3:6" x14ac:dyDescent="0.35">
      <c r="C172"/>
      <c r="D172"/>
      <c r="E172"/>
      <c r="F172"/>
    </row>
    <row r="173" spans="3:6" x14ac:dyDescent="0.35">
      <c r="C173"/>
      <c r="D173"/>
      <c r="E173"/>
      <c r="F173"/>
    </row>
    <row r="174" spans="3:6" x14ac:dyDescent="0.35">
      <c r="C174"/>
      <c r="D174"/>
      <c r="E174"/>
      <c r="F174"/>
    </row>
    <row r="175" spans="3:6" x14ac:dyDescent="0.35">
      <c r="C175"/>
      <c r="D175"/>
      <c r="E175"/>
      <c r="F175"/>
    </row>
    <row r="176" spans="3:6" x14ac:dyDescent="0.35">
      <c r="C176"/>
      <c r="D176"/>
      <c r="E176"/>
      <c r="F176"/>
    </row>
    <row r="177" spans="3:6" x14ac:dyDescent="0.35">
      <c r="C177"/>
      <c r="D177"/>
      <c r="E177"/>
      <c r="F177"/>
    </row>
    <row r="178" spans="3:6" x14ac:dyDescent="0.35">
      <c r="C178"/>
      <c r="D178"/>
      <c r="E178"/>
      <c r="F178"/>
    </row>
    <row r="179" spans="3:6" x14ac:dyDescent="0.35">
      <c r="C179"/>
      <c r="D179"/>
      <c r="E179"/>
      <c r="F179"/>
    </row>
    <row r="180" spans="3:6" x14ac:dyDescent="0.35">
      <c r="C180"/>
      <c r="D180"/>
      <c r="E180"/>
      <c r="F180"/>
    </row>
    <row r="181" spans="3:6" x14ac:dyDescent="0.35">
      <c r="C181"/>
      <c r="D181"/>
      <c r="E181"/>
      <c r="F181"/>
    </row>
    <row r="182" spans="3:6" x14ac:dyDescent="0.35">
      <c r="C182"/>
      <c r="D182"/>
      <c r="E182"/>
      <c r="F182"/>
    </row>
    <row r="183" spans="3:6" x14ac:dyDescent="0.35">
      <c r="C183"/>
      <c r="D183"/>
      <c r="E183"/>
      <c r="F183"/>
    </row>
    <row r="184" spans="3:6" x14ac:dyDescent="0.35">
      <c r="C184"/>
      <c r="D184"/>
      <c r="E184"/>
      <c r="F18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A2CD4-DDCB-4835-91D0-4590AF466FDA}">
  <sheetPr>
    <tabColor theme="3"/>
  </sheetPr>
  <dimension ref="B1:BL55"/>
  <sheetViews>
    <sheetView showGridLines="0" zoomScaleNormal="100" workbookViewId="0">
      <pane xSplit="4" ySplit="5" topLeftCell="L6" activePane="bottomRight" state="frozen"/>
      <selection activeCell="M66" sqref="M66"/>
      <selection pane="topRight" activeCell="M66" sqref="M66"/>
      <selection pane="bottomLeft" activeCell="M66" sqref="M66"/>
      <selection pane="bottomRight" activeCell="C9" sqref="C9"/>
    </sheetView>
  </sheetViews>
  <sheetFormatPr defaultRowHeight="14.5" outlineLevelRow="1" outlineLevelCol="1" x14ac:dyDescent="0.35"/>
  <cols>
    <col min="1" max="1" width="4.7265625" customWidth="1"/>
    <col min="2" max="2" width="7.81640625" hidden="1" customWidth="1" outlineLevel="1"/>
    <col min="3" max="3" width="31.54296875" customWidth="1" collapsed="1"/>
    <col min="4" max="4" width="1.1796875" customWidth="1"/>
    <col min="5" max="5" width="10.453125" hidden="1" customWidth="1" outlineLevel="1"/>
    <col min="6" max="6" width="12.81640625" hidden="1" customWidth="1" outlineLevel="1"/>
    <col min="7" max="7" width="10.453125" hidden="1" customWidth="1" outlineLevel="1"/>
    <col min="8" max="8" width="9.1796875" hidden="1" customWidth="1" outlineLevel="1" collapsed="1"/>
    <col min="9" max="10" width="12.81640625" hidden="1" customWidth="1" outlineLevel="1"/>
    <col min="11" max="11" width="8.81640625" customWidth="1" collapsed="1"/>
    <col min="12" max="12" width="8.81640625" customWidth="1"/>
    <col min="13" max="13" width="2.26953125" customWidth="1"/>
    <col min="14" max="15" width="8.81640625" customWidth="1"/>
    <col min="16" max="16" width="8" customWidth="1"/>
    <col min="17" max="17" width="8.7265625" customWidth="1"/>
    <col min="18" max="18" width="3.81640625" style="96" hidden="1" customWidth="1"/>
    <col min="19" max="19" width="2.26953125" customWidth="1"/>
    <col min="20" max="20" width="8.7265625" hidden="1" customWidth="1" outlineLevel="1"/>
    <col min="21" max="21" width="13.81640625" hidden="1" customWidth="1" outlineLevel="1"/>
    <col min="22" max="23" width="8.7265625" hidden="1" customWidth="1" outlineLevel="1"/>
    <col min="24" max="24" width="13.1796875" hidden="1" customWidth="1" outlineLevel="1"/>
    <col min="25" max="25" width="8.7265625" hidden="1" customWidth="1" outlineLevel="1"/>
    <col min="26" max="26" width="13.1796875" hidden="1" customWidth="1" outlineLevel="1"/>
    <col min="27" max="27" width="14.54296875" hidden="1" customWidth="1" outlineLevel="1"/>
    <col min="28" max="28" width="8.81640625" customWidth="1" collapsed="1"/>
    <col min="29" max="29" width="8.81640625" customWidth="1"/>
    <col min="30" max="31" width="8" customWidth="1"/>
    <col min="32" max="32" width="4" style="96" customWidth="1"/>
    <col min="33" max="33" width="3.54296875" customWidth="1"/>
    <col min="34" max="34" width="31.54296875" hidden="1" customWidth="1" collapsed="1"/>
    <col min="35" max="35" width="10.453125" hidden="1" customWidth="1" outlineLevel="1"/>
    <col min="36" max="36" width="12.81640625" hidden="1" customWidth="1" outlineLevel="1"/>
    <col min="37" max="37" width="10.453125" hidden="1" customWidth="1" outlineLevel="1"/>
    <col min="38" max="38" width="9.1796875" hidden="1" customWidth="1" outlineLevel="1" collapsed="1"/>
    <col min="39" max="40" width="12.81640625" hidden="1" customWidth="1" outlineLevel="1"/>
    <col min="41" max="41" width="8.81640625" customWidth="1" collapsed="1"/>
    <col min="42" max="42" width="8.81640625" customWidth="1"/>
    <col min="43" max="43" width="1.1796875" customWidth="1"/>
    <col min="44" max="45" width="8.81640625" customWidth="1"/>
    <col min="46" max="47" width="8" customWidth="1"/>
    <col min="48" max="48" width="3.81640625" style="96" customWidth="1"/>
    <col min="49" max="49" width="1.1796875" customWidth="1"/>
    <col min="50" max="50" width="8.7265625" hidden="1" customWidth="1" outlineLevel="1"/>
    <col min="51" max="51" width="13.81640625" hidden="1" customWidth="1" outlineLevel="1"/>
    <col min="52" max="53" width="8.7265625" hidden="1" customWidth="1" outlineLevel="1"/>
    <col min="54" max="54" width="13.1796875" hidden="1" customWidth="1" outlineLevel="1"/>
    <col min="55" max="55" width="8.7265625" hidden="1" customWidth="1" outlineLevel="1"/>
    <col min="56" max="56" width="13.1796875" hidden="1" customWidth="1" outlineLevel="1"/>
    <col min="57" max="57" width="14.54296875" hidden="1" customWidth="1" outlineLevel="1"/>
    <col min="58" max="58" width="8.81640625" customWidth="1" collapsed="1"/>
    <col min="59" max="59" width="8.81640625" customWidth="1"/>
    <col min="60" max="60" width="8" customWidth="1"/>
    <col min="61" max="61" width="9.1796875" bestFit="1" customWidth="1"/>
    <col min="62" max="62" width="4" style="96" customWidth="1"/>
    <col min="64" max="64" width="12.453125" bestFit="1" customWidth="1"/>
  </cols>
  <sheetData>
    <row r="1" spans="2:64" x14ac:dyDescent="0.35">
      <c r="E1" s="93"/>
      <c r="F1" s="93"/>
      <c r="G1" s="93"/>
      <c r="H1" s="93"/>
      <c r="I1" s="93"/>
      <c r="J1" s="93"/>
      <c r="K1" s="93"/>
      <c r="L1" s="94"/>
      <c r="N1" s="95"/>
      <c r="O1" s="95"/>
      <c r="P1" s="95"/>
      <c r="Q1" s="95"/>
      <c r="AI1" s="93"/>
      <c r="AJ1" s="93"/>
      <c r="AK1" s="93"/>
      <c r="AL1" s="93"/>
      <c r="AM1" s="93"/>
      <c r="AN1" s="93"/>
      <c r="AO1" s="93"/>
      <c r="AP1" s="97"/>
    </row>
    <row r="2" spans="2:64" hidden="1" outlineLevel="1" x14ac:dyDescent="0.35">
      <c r="C2" s="98">
        <v>1000000</v>
      </c>
      <c r="E2" s="99" t="s">
        <v>19</v>
      </c>
      <c r="F2" s="99" t="s">
        <v>19</v>
      </c>
      <c r="G2" s="99" t="s">
        <v>19</v>
      </c>
      <c r="H2" s="93"/>
      <c r="I2" s="99" t="s">
        <v>19</v>
      </c>
      <c r="J2" s="99" t="s">
        <v>19</v>
      </c>
      <c r="K2" s="93"/>
      <c r="L2" s="97"/>
      <c r="T2" s="99" t="s">
        <v>19</v>
      </c>
      <c r="U2" s="99" t="s">
        <v>19</v>
      </c>
      <c r="V2" s="99" t="s">
        <v>19</v>
      </c>
      <c r="W2" s="99" t="s">
        <v>19</v>
      </c>
      <c r="X2" s="99" t="s">
        <v>19</v>
      </c>
      <c r="Z2" s="99" t="s">
        <v>19</v>
      </c>
      <c r="AA2" s="99" t="s">
        <v>19</v>
      </c>
      <c r="AH2" s="98"/>
      <c r="AI2" s="99" t="s">
        <v>19</v>
      </c>
      <c r="AJ2" s="99" t="s">
        <v>19</v>
      </c>
      <c r="AK2" s="99" t="s">
        <v>19</v>
      </c>
      <c r="AL2" s="93"/>
      <c r="AM2" s="99" t="s">
        <v>19</v>
      </c>
      <c r="AN2" s="99" t="s">
        <v>19</v>
      </c>
      <c r="AO2" s="93"/>
      <c r="AP2" s="97"/>
      <c r="AX2" s="99" t="s">
        <v>19</v>
      </c>
      <c r="AY2" s="99" t="s">
        <v>19</v>
      </c>
      <c r="AZ2" s="99" t="s">
        <v>19</v>
      </c>
      <c r="BA2" s="99" t="s">
        <v>19</v>
      </c>
      <c r="BB2" s="99" t="s">
        <v>19</v>
      </c>
      <c r="BD2" s="99" t="s">
        <v>19</v>
      </c>
      <c r="BE2" s="99" t="s">
        <v>19</v>
      </c>
    </row>
    <row r="3" spans="2:64" ht="16" collapsed="1" x14ac:dyDescent="0.35">
      <c r="C3" s="100">
        <v>46143</v>
      </c>
      <c r="D3" s="101"/>
      <c r="E3" s="102" t="s">
        <v>41</v>
      </c>
      <c r="F3" s="102"/>
      <c r="G3" s="102"/>
      <c r="H3" s="102"/>
      <c r="I3" s="102"/>
      <c r="J3" s="102"/>
      <c r="K3" s="103" t="s">
        <v>41</v>
      </c>
      <c r="L3" s="102"/>
      <c r="M3" s="104"/>
      <c r="N3" s="102"/>
      <c r="O3" s="102"/>
      <c r="P3" s="102"/>
      <c r="Q3" s="102"/>
      <c r="R3" s="105"/>
      <c r="S3" s="104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5"/>
      <c r="AH3" s="100">
        <f>C3</f>
        <v>46143</v>
      </c>
      <c r="AI3" s="106" t="s">
        <v>5</v>
      </c>
      <c r="AJ3" s="102"/>
      <c r="AK3" s="102"/>
      <c r="AL3" s="102"/>
      <c r="AM3" s="102"/>
      <c r="AN3" s="102"/>
      <c r="AO3" s="103" t="s">
        <v>5</v>
      </c>
      <c r="AP3" s="102"/>
      <c r="AQ3" s="104"/>
      <c r="AR3" s="102"/>
      <c r="AS3" s="102"/>
      <c r="AT3" s="102"/>
      <c r="AU3" s="102"/>
      <c r="AV3" s="105"/>
      <c r="AW3" s="104"/>
      <c r="AX3" s="102"/>
      <c r="AY3" s="102"/>
      <c r="AZ3" s="102"/>
      <c r="BA3" s="102"/>
      <c r="BB3" s="102"/>
      <c r="BC3" s="102"/>
      <c r="BD3" s="102"/>
      <c r="BE3" s="102"/>
      <c r="BF3" s="102"/>
      <c r="BG3" s="102"/>
      <c r="BH3" s="102"/>
      <c r="BI3" s="102"/>
      <c r="BJ3" s="105"/>
    </row>
    <row r="4" spans="2:64" ht="7.5" customHeight="1" x14ac:dyDescent="0.35">
      <c r="R4"/>
      <c r="AF4"/>
      <c r="AV4"/>
      <c r="BJ4"/>
    </row>
    <row r="5" spans="2:64" s="107" customFormat="1" ht="26" x14ac:dyDescent="0.35">
      <c r="C5" s="108" t="s">
        <v>42</v>
      </c>
      <c r="D5" s="109"/>
      <c r="E5" s="110" t="s">
        <v>43</v>
      </c>
      <c r="F5" s="110" t="s">
        <v>44</v>
      </c>
      <c r="G5" s="110" t="s">
        <v>45</v>
      </c>
      <c r="H5" s="111" t="s">
        <v>46</v>
      </c>
      <c r="I5" s="110" t="s">
        <v>47</v>
      </c>
      <c r="J5" s="110" t="s">
        <v>48</v>
      </c>
      <c r="K5" s="111" t="s">
        <v>19</v>
      </c>
      <c r="L5" s="112" t="s">
        <v>49</v>
      </c>
      <c r="M5" s="109"/>
      <c r="N5" s="113" t="s">
        <v>20</v>
      </c>
      <c r="O5" s="114" t="s">
        <v>49</v>
      </c>
      <c r="P5" s="115" t="s">
        <v>50</v>
      </c>
      <c r="Q5" s="115" t="s">
        <v>51</v>
      </c>
      <c r="R5" s="116"/>
      <c r="S5" s="109"/>
      <c r="T5" s="117" t="s">
        <v>52</v>
      </c>
      <c r="U5" s="117" t="s">
        <v>44</v>
      </c>
      <c r="V5" s="117" t="s">
        <v>45</v>
      </c>
      <c r="W5" s="117" t="s">
        <v>53</v>
      </c>
      <c r="X5" s="117" t="s">
        <v>54</v>
      </c>
      <c r="Y5" s="118" t="s">
        <v>55</v>
      </c>
      <c r="Z5" s="117" t="s">
        <v>47</v>
      </c>
      <c r="AA5" s="117" t="s">
        <v>48</v>
      </c>
      <c r="AB5" s="118" t="s">
        <v>56</v>
      </c>
      <c r="AC5" s="119" t="s">
        <v>49</v>
      </c>
      <c r="AD5" s="120" t="s">
        <v>50</v>
      </c>
      <c r="AE5" s="120" t="s">
        <v>51</v>
      </c>
      <c r="AF5" s="121"/>
      <c r="AH5" s="323"/>
      <c r="AI5" s="110" t="s">
        <v>43</v>
      </c>
      <c r="AJ5" s="110" t="s">
        <v>44</v>
      </c>
      <c r="AK5" s="110" t="s">
        <v>45</v>
      </c>
      <c r="AL5" s="111" t="s">
        <v>46</v>
      </c>
      <c r="AM5" s="110" t="s">
        <v>47</v>
      </c>
      <c r="AN5" s="110" t="s">
        <v>48</v>
      </c>
      <c r="AO5" s="111" t="s">
        <v>19</v>
      </c>
      <c r="AP5" s="112" t="s">
        <v>49</v>
      </c>
      <c r="AQ5" s="109"/>
      <c r="AR5" s="113" t="s">
        <v>20</v>
      </c>
      <c r="AS5" s="114" t="s">
        <v>49</v>
      </c>
      <c r="AT5" s="115" t="s">
        <v>50</v>
      </c>
      <c r="AU5" s="115" t="s">
        <v>51</v>
      </c>
      <c r="AV5" s="116"/>
      <c r="AW5" s="109"/>
      <c r="AX5" s="117" t="s">
        <v>52</v>
      </c>
      <c r="AY5" s="117" t="s">
        <v>44</v>
      </c>
      <c r="AZ5" s="117" t="s">
        <v>45</v>
      </c>
      <c r="BA5" s="117" t="s">
        <v>53</v>
      </c>
      <c r="BB5" s="117" t="s">
        <v>54</v>
      </c>
      <c r="BC5" s="118" t="s">
        <v>55</v>
      </c>
      <c r="BD5" s="117" t="s">
        <v>47</v>
      </c>
      <c r="BE5" s="117" t="s">
        <v>48</v>
      </c>
      <c r="BF5" s="118" t="s">
        <v>56</v>
      </c>
      <c r="BG5" s="119" t="s">
        <v>49</v>
      </c>
      <c r="BH5" s="120" t="s">
        <v>50</v>
      </c>
      <c r="BI5" s="120" t="s">
        <v>51</v>
      </c>
      <c r="BJ5" s="121"/>
    </row>
    <row r="6" spans="2:64" ht="7.5" customHeight="1" x14ac:dyDescent="0.35">
      <c r="L6" s="122"/>
      <c r="O6" s="122"/>
      <c r="R6"/>
      <c r="AC6" s="122"/>
      <c r="AF6"/>
      <c r="AP6" s="122"/>
      <c r="AS6" s="122"/>
      <c r="AV6"/>
      <c r="BG6" s="122"/>
      <c r="BJ6"/>
    </row>
    <row r="7" spans="2:64" hidden="1" outlineLevel="1" x14ac:dyDescent="0.35">
      <c r="B7" t="s">
        <v>57</v>
      </c>
      <c r="C7" s="123" t="s">
        <v>57</v>
      </c>
      <c r="D7" s="124"/>
      <c r="E7" s="125">
        <v>124.2270882200001</v>
      </c>
      <c r="F7" s="125">
        <v>0</v>
      </c>
      <c r="G7" s="125">
        <v>0</v>
      </c>
      <c r="H7" s="126">
        <f>SUM(E7:G7)</f>
        <v>124.2270882200001</v>
      </c>
      <c r="I7" s="125">
        <v>0</v>
      </c>
      <c r="J7" s="125">
        <v>2.3283064365386962E-16</v>
      </c>
      <c r="K7" s="126">
        <f>SUM(H7:J7)</f>
        <v>124.2270882200001</v>
      </c>
      <c r="L7" s="127"/>
      <c r="M7" s="124"/>
      <c r="N7" s="126"/>
      <c r="O7" s="127"/>
      <c r="P7" s="128"/>
      <c r="Q7" s="129"/>
      <c r="R7" s="130"/>
      <c r="S7" s="124"/>
      <c r="T7" s="125">
        <v>105.26204021000004</v>
      </c>
      <c r="U7" s="125">
        <v>0</v>
      </c>
      <c r="V7" s="125">
        <v>0</v>
      </c>
      <c r="W7" s="125">
        <v>0</v>
      </c>
      <c r="X7" s="125">
        <v>-1.2994338300000003</v>
      </c>
      <c r="Y7" s="126">
        <f>SUM(T7:X7)</f>
        <v>103.96260638000004</v>
      </c>
      <c r="Z7" s="125">
        <v>0</v>
      </c>
      <c r="AA7" s="125">
        <v>0</v>
      </c>
      <c r="AB7" s="126">
        <f>SUM(Y7:AA7)</f>
        <v>103.96260638000004</v>
      </c>
      <c r="AC7" s="127"/>
      <c r="AD7" s="128"/>
      <c r="AE7" s="129"/>
      <c r="AF7" s="130"/>
      <c r="AH7" s="123" t="s">
        <v>57</v>
      </c>
      <c r="AI7" s="125">
        <v>590.92391388929309</v>
      </c>
      <c r="AJ7" s="125">
        <v>0</v>
      </c>
      <c r="AK7" s="125">
        <v>0</v>
      </c>
      <c r="AL7" s="126">
        <f>SUM(AI7:AK7)</f>
        <v>590.92391388929309</v>
      </c>
      <c r="AM7" s="125">
        <v>0</v>
      </c>
      <c r="AN7" s="125">
        <v>3.4924596548080445E-16</v>
      </c>
      <c r="AO7" s="126">
        <f>SUM(AL7:AN7)</f>
        <v>590.92391388929309</v>
      </c>
      <c r="AP7" s="127"/>
      <c r="AQ7" s="124"/>
      <c r="AR7" s="126"/>
      <c r="AS7" s="127"/>
      <c r="AT7" s="128"/>
      <c r="AU7" s="129"/>
      <c r="AV7" s="130"/>
      <c r="AW7" s="124"/>
      <c r="AX7" s="125">
        <v>508.29343694112316</v>
      </c>
      <c r="AY7" s="125">
        <v>0</v>
      </c>
      <c r="AZ7" s="125">
        <v>0</v>
      </c>
      <c r="BA7" s="125">
        <v>0</v>
      </c>
      <c r="BB7" s="125">
        <v>-5.0745383400000019</v>
      </c>
      <c r="BC7" s="126">
        <f>SUM(AX7:BB7)</f>
        <v>503.21889860112316</v>
      </c>
      <c r="BD7" s="125">
        <v>0</v>
      </c>
      <c r="BE7" s="125">
        <v>0</v>
      </c>
      <c r="BF7" s="126">
        <f>SUM(BC7:BE7)</f>
        <v>503.21889860112316</v>
      </c>
      <c r="BG7" s="127"/>
      <c r="BH7" s="128"/>
      <c r="BI7" s="129"/>
      <c r="BJ7" s="130"/>
    </row>
    <row r="8" spans="2:64" hidden="1" outlineLevel="1" x14ac:dyDescent="0.35">
      <c r="B8" t="s">
        <v>58</v>
      </c>
      <c r="C8" s="123" t="s">
        <v>58</v>
      </c>
      <c r="D8" s="131"/>
      <c r="E8" s="125">
        <v>-10.492420040874997</v>
      </c>
      <c r="F8" s="125">
        <v>0</v>
      </c>
      <c r="G8" s="125">
        <v>0</v>
      </c>
      <c r="H8" s="126">
        <f>SUM(E8:G8)</f>
        <v>-10.492420040874997</v>
      </c>
      <c r="I8" s="125">
        <v>0</v>
      </c>
      <c r="J8" s="125">
        <v>0</v>
      </c>
      <c r="K8" s="126">
        <f>SUM(H8:J8)</f>
        <v>-10.492420040874997</v>
      </c>
      <c r="L8" s="127"/>
      <c r="M8" s="131"/>
      <c r="N8" s="126"/>
      <c r="O8" s="127"/>
      <c r="P8" s="128"/>
      <c r="Q8" s="129"/>
      <c r="R8" s="130"/>
      <c r="S8" s="131"/>
      <c r="T8" s="125">
        <v>-8.7770623911600065</v>
      </c>
      <c r="U8" s="125">
        <v>0</v>
      </c>
      <c r="V8" s="125">
        <v>0</v>
      </c>
      <c r="W8" s="125">
        <v>0</v>
      </c>
      <c r="X8" s="125">
        <v>0</v>
      </c>
      <c r="Y8" s="126">
        <f t="shared" ref="Y8:Y10" si="0">SUM(T8:X8)</f>
        <v>-8.7770623911600065</v>
      </c>
      <c r="Z8" s="125">
        <v>0</v>
      </c>
      <c r="AA8" s="125">
        <v>0</v>
      </c>
      <c r="AB8" s="126">
        <f>SUM(Y8:AA8)</f>
        <v>-8.7770623911600065</v>
      </c>
      <c r="AC8" s="127"/>
      <c r="AD8" s="128"/>
      <c r="AE8" s="129"/>
      <c r="AF8" s="130"/>
      <c r="AH8" s="123" t="s">
        <v>58</v>
      </c>
      <c r="AI8" s="125">
        <v>-47.45713467725777</v>
      </c>
      <c r="AJ8" s="125">
        <v>0</v>
      </c>
      <c r="AK8" s="125">
        <v>0</v>
      </c>
      <c r="AL8" s="126">
        <f>SUM(AI8:AK8)</f>
        <v>-47.45713467725777</v>
      </c>
      <c r="AM8" s="125">
        <v>0</v>
      </c>
      <c r="AN8" s="125">
        <v>0</v>
      </c>
      <c r="AO8" s="126">
        <f>SUM(AL8:AN8)</f>
        <v>-47.45713467725777</v>
      </c>
      <c r="AP8" s="127"/>
      <c r="AQ8" s="131"/>
      <c r="AR8" s="126"/>
      <c r="AS8" s="127"/>
      <c r="AT8" s="128"/>
      <c r="AU8" s="129"/>
      <c r="AV8" s="130"/>
      <c r="AW8" s="131"/>
      <c r="AX8" s="125">
        <v>-41.662829759255004</v>
      </c>
      <c r="AY8" s="125">
        <v>0</v>
      </c>
      <c r="AZ8" s="125">
        <v>0</v>
      </c>
      <c r="BA8" s="125">
        <v>0</v>
      </c>
      <c r="BB8" s="125">
        <v>0</v>
      </c>
      <c r="BC8" s="126">
        <f t="shared" ref="BC8:BC10" si="1">SUM(AX8:BB8)</f>
        <v>-41.662829759255004</v>
      </c>
      <c r="BD8" s="125">
        <v>0</v>
      </c>
      <c r="BE8" s="125">
        <v>0</v>
      </c>
      <c r="BF8" s="126">
        <f>SUM(BC8:BE8)</f>
        <v>-41.662829759255004</v>
      </c>
      <c r="BG8" s="127"/>
      <c r="BH8" s="128"/>
      <c r="BI8" s="129"/>
      <c r="BJ8" s="130"/>
    </row>
    <row r="9" spans="2:64" collapsed="1" x14ac:dyDescent="0.35">
      <c r="B9" t="s">
        <v>59</v>
      </c>
      <c r="C9" s="131" t="s">
        <v>59</v>
      </c>
      <c r="D9" s="124"/>
      <c r="E9" s="126">
        <f>SUM(E7:E8)</f>
        <v>113.73466817912509</v>
      </c>
      <c r="F9" s="126">
        <f t="shared" ref="F9:K9" si="2">SUM(F7:F8)</f>
        <v>0</v>
      </c>
      <c r="G9" s="126">
        <f t="shared" si="2"/>
        <v>0</v>
      </c>
      <c r="H9" s="126">
        <f t="shared" si="2"/>
        <v>113.73466817912509</v>
      </c>
      <c r="I9" s="126">
        <f t="shared" si="2"/>
        <v>0</v>
      </c>
      <c r="J9" s="126">
        <f t="shared" si="2"/>
        <v>2.3283064365386962E-16</v>
      </c>
      <c r="K9" s="126">
        <f t="shared" si="2"/>
        <v>113.73466817912509</v>
      </c>
      <c r="L9" s="132">
        <f>IFERROR(K9/K$9,0)</f>
        <v>1</v>
      </c>
      <c r="M9" s="124"/>
      <c r="N9" s="126">
        <v>113.07077002367129</v>
      </c>
      <c r="O9" s="132">
        <f>IFERROR(N9/N$9,0)</f>
        <v>1</v>
      </c>
      <c r="P9" s="133">
        <f>K9-N9</f>
        <v>0.6638981554538077</v>
      </c>
      <c r="Q9" s="134">
        <f>IFERROR(K9/N9-1,"")</f>
        <v>5.8715276752323575E-3</v>
      </c>
      <c r="R9" s="135">
        <f>IF(Q9&gt;0.05,1,IF(Q9&lt;-0.05,-1,0))</f>
        <v>0</v>
      </c>
      <c r="S9" s="124"/>
      <c r="T9" s="126">
        <f>SUM(T7:T8)</f>
        <v>96.484977818840036</v>
      </c>
      <c r="U9" s="126">
        <f t="shared" ref="U9:AB9" si="3">SUM(U7:U8)</f>
        <v>0</v>
      </c>
      <c r="V9" s="126">
        <f t="shared" si="3"/>
        <v>0</v>
      </c>
      <c r="W9" s="126">
        <f t="shared" si="3"/>
        <v>0</v>
      </c>
      <c r="X9" s="126">
        <f t="shared" si="3"/>
        <v>-1.2994338300000003</v>
      </c>
      <c r="Y9" s="126">
        <f t="shared" si="0"/>
        <v>95.185543988840038</v>
      </c>
      <c r="Z9" s="126">
        <f t="shared" si="3"/>
        <v>0</v>
      </c>
      <c r="AA9" s="126">
        <f t="shared" si="3"/>
        <v>0</v>
      </c>
      <c r="AB9" s="126">
        <f t="shared" si="3"/>
        <v>95.185543988840038</v>
      </c>
      <c r="AC9" s="132">
        <f>IFERROR(AB9/AB$9,0)</f>
        <v>1</v>
      </c>
      <c r="AD9" s="133">
        <f>$K9-AB9</f>
        <v>18.549124190285056</v>
      </c>
      <c r="AE9" s="134">
        <f>IFERROR(K9/AB9-1,"")</f>
        <v>0.19487333278738039</v>
      </c>
      <c r="AF9" s="135">
        <f>IF(AE9&gt;0.05,1,IF(AE9&lt;-0.05,-1,0))</f>
        <v>1</v>
      </c>
      <c r="AG9" s="94"/>
      <c r="AH9" s="131" t="s">
        <v>59</v>
      </c>
      <c r="AI9" s="126">
        <f>SUM(AI7:AI8)</f>
        <v>543.46677921203536</v>
      </c>
      <c r="AJ9" s="126">
        <f t="shared" ref="AJ9:AO9" si="4">SUM(AJ7:AJ8)</f>
        <v>0</v>
      </c>
      <c r="AK9" s="126">
        <f t="shared" si="4"/>
        <v>0</v>
      </c>
      <c r="AL9" s="126">
        <f t="shared" si="4"/>
        <v>543.46677921203536</v>
      </c>
      <c r="AM9" s="126">
        <f t="shared" si="4"/>
        <v>0</v>
      </c>
      <c r="AN9" s="126">
        <f t="shared" si="4"/>
        <v>3.4924596548080445E-16</v>
      </c>
      <c r="AO9" s="126">
        <f t="shared" si="4"/>
        <v>543.46677921203536</v>
      </c>
      <c r="AP9" s="132">
        <f>IFERROR(AO9/AO$9,0)</f>
        <v>1</v>
      </c>
      <c r="AQ9" s="124"/>
      <c r="AR9" s="126">
        <v>541.69577162352141</v>
      </c>
      <c r="AS9" s="132">
        <f>IFERROR(AR9/AR$9,0)</f>
        <v>1</v>
      </c>
      <c r="AT9" s="133">
        <f>AO9-AR9</f>
        <v>1.7710075885139531</v>
      </c>
      <c r="AU9" s="134">
        <f>IFERROR(AO9/AR9-1,"")</f>
        <v>3.2693768002030055E-3</v>
      </c>
      <c r="AV9" s="135">
        <f>IF(AU9&gt;0.05,1,IF(AU9&lt;-0.05,-1,0))</f>
        <v>0</v>
      </c>
      <c r="AW9" s="124"/>
      <c r="AX9" s="126">
        <f>SUM(AX7:AX8)</f>
        <v>466.63060718186819</v>
      </c>
      <c r="AY9" s="126">
        <f t="shared" ref="AY9:BB9" si="5">SUM(AY7:AY8)</f>
        <v>0</v>
      </c>
      <c r="AZ9" s="126">
        <f t="shared" si="5"/>
        <v>0</v>
      </c>
      <c r="BA9" s="126">
        <f t="shared" si="5"/>
        <v>0</v>
      </c>
      <c r="BB9" s="126">
        <f t="shared" si="5"/>
        <v>-5.0745383400000019</v>
      </c>
      <c r="BC9" s="126">
        <f t="shared" si="1"/>
        <v>461.55606884186818</v>
      </c>
      <c r="BD9" s="126">
        <f t="shared" ref="BD9:BF9" si="6">SUM(BD7:BD8)</f>
        <v>0</v>
      </c>
      <c r="BE9" s="126">
        <f t="shared" si="6"/>
        <v>0</v>
      </c>
      <c r="BF9" s="126">
        <f t="shared" si="6"/>
        <v>461.55606884186818</v>
      </c>
      <c r="BG9" s="132">
        <f>IFERROR(BF9/BF$9,0)</f>
        <v>1</v>
      </c>
      <c r="BH9" s="133">
        <f>$AO9-BF9</f>
        <v>81.91071037016718</v>
      </c>
      <c r="BI9" s="134">
        <f>IFERROR(AO9/BF9-1,"")</f>
        <v>0.177466435607047</v>
      </c>
      <c r="BJ9" s="135">
        <f>IF(BI9&gt;0.05,1,IF(BI9&lt;-0.05,-1,0))</f>
        <v>1</v>
      </c>
    </row>
    <row r="10" spans="2:64" x14ac:dyDescent="0.35">
      <c r="B10" t="s">
        <v>60</v>
      </c>
      <c r="C10" s="123" t="s">
        <v>61</v>
      </c>
      <c r="D10" s="131"/>
      <c r="E10" s="125">
        <v>-38.090190790520253</v>
      </c>
      <c r="F10" s="125">
        <v>0</v>
      </c>
      <c r="G10" s="125">
        <v>1.2186270165999999</v>
      </c>
      <c r="H10" s="125">
        <f>SUM(E10:G10)</f>
        <v>-36.871563773920251</v>
      </c>
      <c r="I10" s="125">
        <v>0</v>
      </c>
      <c r="J10" s="125">
        <v>0</v>
      </c>
      <c r="K10" s="125">
        <f>SUM(H10:J10)</f>
        <v>-36.871563773920251</v>
      </c>
      <c r="L10" s="136">
        <f t="shared" ref="L10:L11" si="7">IFERROR(K10/K$9,0)</f>
        <v>-0.32418931152856412</v>
      </c>
      <c r="M10" s="131"/>
      <c r="N10" s="125">
        <v>-38.265249946288357</v>
      </c>
      <c r="O10" s="136">
        <f t="shared" ref="O10:O11" si="8">IFERROR(N10/N$9,0)</f>
        <v>-0.33841858455795032</v>
      </c>
      <c r="P10" s="137">
        <f>K10-N10</f>
        <v>1.3936861723681062</v>
      </c>
      <c r="Q10" s="138">
        <f t="shared" ref="Q10:Q11" si="9">IFERROR(K10/N10-1,"")</f>
        <v>-3.6421718774197864E-2</v>
      </c>
      <c r="R10" s="139"/>
      <c r="S10" s="131"/>
      <c r="T10" s="125">
        <v>-33.679461150429255</v>
      </c>
      <c r="U10" s="125">
        <v>0</v>
      </c>
      <c r="V10" s="125">
        <v>1.8643878955674447</v>
      </c>
      <c r="W10" s="125">
        <v>0</v>
      </c>
      <c r="X10" s="125">
        <v>1.2994338300000003</v>
      </c>
      <c r="Y10" s="125">
        <f t="shared" si="0"/>
        <v>-30.51563942486181</v>
      </c>
      <c r="Z10" s="125">
        <v>0</v>
      </c>
      <c r="AA10" s="125">
        <v>0</v>
      </c>
      <c r="AB10" s="125">
        <f>SUM(Y10:AA10)</f>
        <v>-30.51563942486181</v>
      </c>
      <c r="AC10" s="136">
        <f t="shared" ref="AC10:AC11" si="10">IFERROR(AB10/AB$9,0)</f>
        <v>-0.32059111232730458</v>
      </c>
      <c r="AD10" s="137">
        <f t="shared" ref="AD10:AD11" si="11">$K10-AB10</f>
        <v>-6.3559243490584407</v>
      </c>
      <c r="AE10" s="138">
        <f>IFERROR(K10/AB10-1,"")</f>
        <v>0.20828416080575773</v>
      </c>
      <c r="AF10" s="139"/>
      <c r="AH10" s="123" t="s">
        <v>61</v>
      </c>
      <c r="AI10" s="125">
        <v>-185.92998806810837</v>
      </c>
      <c r="AJ10" s="125">
        <v>0</v>
      </c>
      <c r="AK10" s="125">
        <v>4.1597062411844838</v>
      </c>
      <c r="AL10" s="125">
        <f>SUM(AI10:AK10)</f>
        <v>-181.77028182692388</v>
      </c>
      <c r="AM10" s="125">
        <v>0</v>
      </c>
      <c r="AN10" s="125">
        <v>0</v>
      </c>
      <c r="AO10" s="125">
        <f>SUM(AL10:AN10)</f>
        <v>-181.77028182692388</v>
      </c>
      <c r="AP10" s="136">
        <f t="shared" ref="AP10:AP11" si="12">IFERROR(AO10/AO$9,0)</f>
        <v>-0.33446438453969529</v>
      </c>
      <c r="AQ10" s="131"/>
      <c r="AR10" s="125">
        <v>-182.95621871167742</v>
      </c>
      <c r="AS10" s="136">
        <f t="shared" ref="AS10:AS11" si="13">IFERROR(AR10/AR$9,0)</f>
        <v>-0.33774717894388884</v>
      </c>
      <c r="AT10" s="137">
        <f t="shared" ref="AT10:AT11" si="14">AO10-AR10</f>
        <v>1.185936884753545</v>
      </c>
      <c r="AU10" s="138">
        <f t="shared" ref="AU10:AU11" si="15">IFERROR(AO10/AR10-1,"")</f>
        <v>-6.4820802107987685E-3</v>
      </c>
      <c r="AV10" s="139"/>
      <c r="AW10" s="131"/>
      <c r="AX10" s="125">
        <v>-170.50280094077462</v>
      </c>
      <c r="AY10" s="125">
        <v>0</v>
      </c>
      <c r="AZ10" s="125">
        <v>9.6893797543179687</v>
      </c>
      <c r="BA10" s="125">
        <v>-0.26966965999999998</v>
      </c>
      <c r="BB10" s="125">
        <v>5.074538340000001</v>
      </c>
      <c r="BC10" s="125">
        <f t="shared" si="1"/>
        <v>-156.00855250645665</v>
      </c>
      <c r="BD10" s="125">
        <v>0</v>
      </c>
      <c r="BE10" s="125">
        <v>0</v>
      </c>
      <c r="BF10" s="125">
        <f>SUM(BC10:BE10)</f>
        <v>-156.00855250645665</v>
      </c>
      <c r="BG10" s="136">
        <f t="shared" ref="BG10:BG11" si="16">IFERROR(BF10/BF$9,0)</f>
        <v>-0.33800563580046022</v>
      </c>
      <c r="BH10" s="137">
        <f t="shared" ref="BH10:BH11" si="17">$AO10-BF10</f>
        <v>-25.761729320467225</v>
      </c>
      <c r="BI10" s="138">
        <f>IFERROR(AO10/BF10-1,"")</f>
        <v>0.16513023745541799</v>
      </c>
      <c r="BJ10" s="139"/>
    </row>
    <row r="11" spans="2:64" x14ac:dyDescent="0.35">
      <c r="C11" s="140" t="s">
        <v>62</v>
      </c>
      <c r="D11" s="124"/>
      <c r="E11" s="141">
        <f>SUM(E9:E10)</f>
        <v>75.644477388604841</v>
      </c>
      <c r="F11" s="141">
        <f t="shared" ref="F11:K11" si="18">SUM(F9:F10)</f>
        <v>0</v>
      </c>
      <c r="G11" s="141">
        <f t="shared" si="18"/>
        <v>1.2186270165999999</v>
      </c>
      <c r="H11" s="141">
        <f t="shared" si="18"/>
        <v>76.863104405204837</v>
      </c>
      <c r="I11" s="141">
        <f t="shared" si="18"/>
        <v>0</v>
      </c>
      <c r="J11" s="141">
        <f t="shared" si="18"/>
        <v>2.3283064365386962E-16</v>
      </c>
      <c r="K11" s="141">
        <f t="shared" si="18"/>
        <v>76.863104405204837</v>
      </c>
      <c r="L11" s="142">
        <f t="shared" si="7"/>
        <v>0.67581068847143588</v>
      </c>
      <c r="M11" s="124"/>
      <c r="N11" s="141">
        <f>N9+N10</f>
        <v>74.805520077382937</v>
      </c>
      <c r="O11" s="142">
        <f t="shared" si="8"/>
        <v>0.66158141544204974</v>
      </c>
      <c r="P11" s="143">
        <f t="shared" ref="P11" si="19">K11-N11</f>
        <v>2.0575843278218997</v>
      </c>
      <c r="Q11" s="144">
        <f t="shared" si="9"/>
        <v>2.7505782002363199E-2</v>
      </c>
      <c r="R11" s="145">
        <f>IF(Q11&gt;0.05,1,IF(Q11&lt;-0.05,-1,0))</f>
        <v>0</v>
      </c>
      <c r="S11" s="124"/>
      <c r="T11" s="141">
        <f t="shared" ref="T11:AB11" si="20">SUM(T9:T10)</f>
        <v>62.805516668410782</v>
      </c>
      <c r="U11" s="141">
        <f t="shared" si="20"/>
        <v>0</v>
      </c>
      <c r="V11" s="141">
        <f t="shared" si="20"/>
        <v>1.8643878955674447</v>
      </c>
      <c r="W11" s="141">
        <f t="shared" si="20"/>
        <v>0</v>
      </c>
      <c r="X11" s="141">
        <f t="shared" si="20"/>
        <v>0</v>
      </c>
      <c r="Y11" s="141">
        <f t="shared" si="20"/>
        <v>64.669904563978236</v>
      </c>
      <c r="Z11" s="141">
        <f t="shared" si="20"/>
        <v>0</v>
      </c>
      <c r="AA11" s="141">
        <f t="shared" si="20"/>
        <v>0</v>
      </c>
      <c r="AB11" s="141">
        <f t="shared" si="20"/>
        <v>64.669904563978236</v>
      </c>
      <c r="AC11" s="142">
        <f t="shared" si="10"/>
        <v>0.67940888767269547</v>
      </c>
      <c r="AD11" s="143">
        <f t="shared" si="11"/>
        <v>12.193199841226601</v>
      </c>
      <c r="AE11" s="144">
        <f>IFERROR(K11/AB11-1,"")</f>
        <v>0.18854519615324028</v>
      </c>
      <c r="AF11" s="145">
        <f>IF(AE11&gt;0.05,1,IF(AE11&lt;-0.05,-1,0))</f>
        <v>1</v>
      </c>
      <c r="AG11" s="94"/>
      <c r="AH11" s="140" t="s">
        <v>62</v>
      </c>
      <c r="AI11" s="141">
        <f>SUM(AI9:AI10)</f>
        <v>357.53679114392696</v>
      </c>
      <c r="AJ11" s="141">
        <f t="shared" ref="AJ11:AO11" si="21">SUM(AJ9:AJ10)</f>
        <v>0</v>
      </c>
      <c r="AK11" s="141">
        <f t="shared" si="21"/>
        <v>4.1597062411844838</v>
      </c>
      <c r="AL11" s="141">
        <f t="shared" si="21"/>
        <v>361.69649738511146</v>
      </c>
      <c r="AM11" s="141">
        <f t="shared" si="21"/>
        <v>0</v>
      </c>
      <c r="AN11" s="141">
        <f t="shared" si="21"/>
        <v>3.4924596548080445E-16</v>
      </c>
      <c r="AO11" s="141">
        <f t="shared" si="21"/>
        <v>361.69649738511146</v>
      </c>
      <c r="AP11" s="142">
        <f t="shared" si="12"/>
        <v>0.6655356154603046</v>
      </c>
      <c r="AQ11" s="124"/>
      <c r="AR11" s="141">
        <f>AR9+AR10</f>
        <v>358.73955291184399</v>
      </c>
      <c r="AS11" s="142">
        <f t="shared" si="13"/>
        <v>0.66225282105611116</v>
      </c>
      <c r="AT11" s="143">
        <f t="shared" si="14"/>
        <v>2.9569444732674697</v>
      </c>
      <c r="AU11" s="144">
        <f t="shared" si="15"/>
        <v>8.2425939634096501E-3</v>
      </c>
      <c r="AV11" s="145">
        <f>IF(AU11&gt;0.05,1,IF(AU11&lt;-0.05,-1,0))</f>
        <v>0</v>
      </c>
      <c r="AW11" s="124"/>
      <c r="AX11" s="141">
        <f t="shared" ref="AX11:BF11" si="22">SUM(AX9:AX10)</f>
        <v>296.12780624109359</v>
      </c>
      <c r="AY11" s="141">
        <f t="shared" si="22"/>
        <v>0</v>
      </c>
      <c r="AZ11" s="141">
        <f t="shared" si="22"/>
        <v>9.6893797543179687</v>
      </c>
      <c r="BA11" s="141">
        <f t="shared" si="22"/>
        <v>-0.26966965999999998</v>
      </c>
      <c r="BB11" s="141">
        <f t="shared" si="22"/>
        <v>0</v>
      </c>
      <c r="BC11" s="141">
        <f t="shared" si="22"/>
        <v>305.5475163354115</v>
      </c>
      <c r="BD11" s="141">
        <f t="shared" si="22"/>
        <v>0</v>
      </c>
      <c r="BE11" s="141">
        <f t="shared" si="22"/>
        <v>0</v>
      </c>
      <c r="BF11" s="141">
        <f t="shared" si="22"/>
        <v>305.5475163354115</v>
      </c>
      <c r="BG11" s="142">
        <f t="shared" si="16"/>
        <v>0.66199436419953972</v>
      </c>
      <c r="BH11" s="143">
        <f t="shared" si="17"/>
        <v>56.148981049699955</v>
      </c>
      <c r="BI11" s="144">
        <f>IFERROR(AO11/BF11-1,"")</f>
        <v>0.1837651365101034</v>
      </c>
      <c r="BJ11" s="145">
        <f>IF(BI11&gt;0.05,1,IF(BI11&lt;-0.05,-1,0))</f>
        <v>1</v>
      </c>
    </row>
    <row r="12" spans="2:64" ht="7.5" customHeight="1" x14ac:dyDescent="0.35">
      <c r="L12" s="146"/>
      <c r="O12" s="146"/>
      <c r="R12"/>
      <c r="AC12" s="146"/>
      <c r="AF12"/>
      <c r="AP12" s="146"/>
      <c r="AS12" s="146"/>
      <c r="AV12"/>
      <c r="BG12" s="146"/>
      <c r="BJ12"/>
    </row>
    <row r="13" spans="2:64" x14ac:dyDescent="0.35">
      <c r="C13" s="147" t="s">
        <v>63</v>
      </c>
      <c r="D13" s="148"/>
      <c r="E13" s="149">
        <f>SUM(E14:E18)</f>
        <v>-41.175391276375422</v>
      </c>
      <c r="F13" s="149">
        <f t="shared" ref="F13:J13" si="23">SUM(F14:F18)</f>
        <v>-0.48076930000000001</v>
      </c>
      <c r="G13" s="149">
        <f t="shared" si="23"/>
        <v>-1.2186270165999999</v>
      </c>
      <c r="H13" s="149">
        <f t="shared" si="23"/>
        <v>-42.87478759297543</v>
      </c>
      <c r="I13" s="149">
        <f t="shared" si="23"/>
        <v>8.6874999999999994E-2</v>
      </c>
      <c r="J13" s="149">
        <f t="shared" si="23"/>
        <v>0</v>
      </c>
      <c r="K13" s="149">
        <f>SUM(K14:K18)</f>
        <v>-42.787912592975424</v>
      </c>
      <c r="L13" s="150">
        <f t="shared" ref="L13:L22" si="24">IFERROR(K13/K$9,0)</f>
        <v>-0.37620818065417921</v>
      </c>
      <c r="M13" s="148"/>
      <c r="N13" s="149">
        <f>SUM(N14:N18)</f>
        <v>-48.034142108911666</v>
      </c>
      <c r="O13" s="150">
        <f t="shared" ref="O13:O22" si="25">IFERROR(N13/N$9,0)</f>
        <v>-0.42481484913258971</v>
      </c>
      <c r="P13" s="151">
        <f t="shared" ref="P13:P38" si="26">K13-N13</f>
        <v>5.2462295159362426</v>
      </c>
      <c r="Q13" s="152">
        <f t="shared" ref="Q13:Q38" si="27">IFERROR(K13/N13-1,"")</f>
        <v>-0.10921876160588118</v>
      </c>
      <c r="R13" s="153"/>
      <c r="S13" s="148"/>
      <c r="T13" s="149">
        <f>SUM(T14:T18)</f>
        <v>-39.982951786254091</v>
      </c>
      <c r="U13" s="149">
        <f t="shared" ref="U13:AA13" si="28">SUM(U14:U18)</f>
        <v>-0.12618796000000002</v>
      </c>
      <c r="V13" s="149">
        <f t="shared" si="28"/>
        <v>-1.8643878955674449</v>
      </c>
      <c r="W13" s="149">
        <f t="shared" si="28"/>
        <v>0</v>
      </c>
      <c r="X13" s="149">
        <f t="shared" si="28"/>
        <v>0</v>
      </c>
      <c r="Y13" s="149">
        <f t="shared" si="28"/>
        <v>-41.973527641821534</v>
      </c>
      <c r="Z13" s="149">
        <f t="shared" si="28"/>
        <v>2.2572009999999997E-2</v>
      </c>
      <c r="AA13" s="149">
        <f t="shared" si="28"/>
        <v>0</v>
      </c>
      <c r="AB13" s="149">
        <f>SUM(AB14:AB18)</f>
        <v>-41.950955631821536</v>
      </c>
      <c r="AC13" s="150">
        <f t="shared" ref="AC13:AC22" si="29">IFERROR(AB13/AB$9,0)</f>
        <v>-0.44072822273033441</v>
      </c>
      <c r="AD13" s="151">
        <f t="shared" ref="AD13:AD38" si="30">$K13-AB13</f>
        <v>-0.83695696115388785</v>
      </c>
      <c r="AE13" s="152">
        <f t="shared" ref="AE13:AE22" si="31">IFERROR(K13/AB13-1,"")</f>
        <v>1.9950843754296343E-2</v>
      </c>
      <c r="AF13" s="153"/>
      <c r="AG13" s="94"/>
      <c r="AH13" s="147" t="s">
        <v>63</v>
      </c>
      <c r="AI13" s="149">
        <f>SUM(AI14:AI18)</f>
        <v>-230.83726089128524</v>
      </c>
      <c r="AJ13" s="149">
        <f t="shared" ref="AJ13:AN13" si="32">SUM(AJ14:AJ18)</f>
        <v>0.54364769999999274</v>
      </c>
      <c r="AK13" s="149">
        <f t="shared" si="32"/>
        <v>-4.1597062411844838</v>
      </c>
      <c r="AL13" s="149">
        <f t="shared" si="32"/>
        <v>-234.45331943246975</v>
      </c>
      <c r="AM13" s="149">
        <f t="shared" si="32"/>
        <v>0.62187499999999996</v>
      </c>
      <c r="AN13" s="149">
        <f t="shared" si="32"/>
        <v>0</v>
      </c>
      <c r="AO13" s="149">
        <f>SUM(AO14:AO18)</f>
        <v>-233.83144443246977</v>
      </c>
      <c r="AP13" s="150">
        <f t="shared" ref="AP13:AP22" si="33">IFERROR(AO13/AO$9,0)</f>
        <v>-0.43025894751377186</v>
      </c>
      <c r="AQ13" s="148"/>
      <c r="AR13" s="149">
        <f>SUM(AR14:AR18)</f>
        <v>-232.09528935940745</v>
      </c>
      <c r="AS13" s="150">
        <f t="shared" ref="AS13:AS22" si="34">IFERROR(AR13/AR$9,0)</f>
        <v>-0.42846058898298672</v>
      </c>
      <c r="AT13" s="151">
        <f t="shared" ref="AT13:AT22" si="35">AO13-AR13</f>
        <v>-1.7361550730623208</v>
      </c>
      <c r="AU13" s="152">
        <f t="shared" ref="AU13:AU22" si="36">IFERROR(AO13/AR13-1,"")</f>
        <v>7.4803546330224346E-3</v>
      </c>
      <c r="AV13" s="153"/>
      <c r="AW13" s="148"/>
      <c r="AX13" s="149">
        <f>SUM(AX14:AX18)</f>
        <v>-190.50089050550429</v>
      </c>
      <c r="AY13" s="149">
        <f t="shared" ref="AY13:BE13" si="37">SUM(AY14:AY18)</f>
        <v>-5.8884284900000008</v>
      </c>
      <c r="AZ13" s="149">
        <f t="shared" si="37"/>
        <v>-9.6893797543179545</v>
      </c>
      <c r="BA13" s="149">
        <f t="shared" si="37"/>
        <v>0.26966965999999998</v>
      </c>
      <c r="BB13" s="149">
        <f t="shared" si="37"/>
        <v>0</v>
      </c>
      <c r="BC13" s="149">
        <f t="shared" si="37"/>
        <v>-205.80902908982222</v>
      </c>
      <c r="BD13" s="149">
        <f t="shared" si="37"/>
        <v>-0.55265431000000009</v>
      </c>
      <c r="BE13" s="149">
        <f t="shared" si="37"/>
        <v>0</v>
      </c>
      <c r="BF13" s="149">
        <f>SUM(BF14:BF18)</f>
        <v>-206.36168339982223</v>
      </c>
      <c r="BG13" s="150">
        <f t="shared" ref="BG13:BG22" si="38">IFERROR(BF13/BF$9,0)</f>
        <v>-0.44709992421424094</v>
      </c>
      <c r="BH13" s="151">
        <f t="shared" ref="BH13:BH24" si="39">$AO13-BF13</f>
        <v>-27.46976103264754</v>
      </c>
      <c r="BI13" s="152">
        <f t="shared" ref="BI13:BI22" si="40">IFERROR(AO13/BF13-1,"")</f>
        <v>0.13311463921054245</v>
      </c>
      <c r="BJ13" s="153"/>
    </row>
    <row r="14" spans="2:64" x14ac:dyDescent="0.35">
      <c r="B14" t="s">
        <v>64</v>
      </c>
      <c r="C14" s="123" t="s">
        <v>64</v>
      </c>
      <c r="D14" s="148"/>
      <c r="E14" s="125">
        <v>-14.739141556989333</v>
      </c>
      <c r="F14" s="125">
        <v>-0.4652693</v>
      </c>
      <c r="G14" s="125">
        <v>2.2207366931947332</v>
      </c>
      <c r="H14" s="125">
        <f>SUM(E14:G14)</f>
        <v>-12.9836741637946</v>
      </c>
      <c r="I14" s="125">
        <v>8.6874999999999994E-2</v>
      </c>
      <c r="J14" s="125">
        <v>0</v>
      </c>
      <c r="K14" s="125">
        <f t="shared" ref="K14:K22" si="41">SUM(H14:J14)</f>
        <v>-12.896799163794601</v>
      </c>
      <c r="L14" s="154">
        <f t="shared" si="24"/>
        <v>-0.1133937379892201</v>
      </c>
      <c r="M14" s="148"/>
      <c r="N14" s="125">
        <v>-13.844132008972375</v>
      </c>
      <c r="O14" s="154">
        <f t="shared" si="25"/>
        <v>-0.12243776182008945</v>
      </c>
      <c r="P14" s="155">
        <f t="shared" si="26"/>
        <v>0.94733284517777427</v>
      </c>
      <c r="Q14" s="156">
        <f t="shared" si="27"/>
        <v>-6.8428475296523295E-2</v>
      </c>
      <c r="R14" s="157"/>
      <c r="S14" s="148"/>
      <c r="T14" s="125">
        <v>-13.50822893751255</v>
      </c>
      <c r="U14" s="125">
        <v>-0.12618796000000002</v>
      </c>
      <c r="V14" s="125">
        <v>1.0637550473888888</v>
      </c>
      <c r="W14" s="125">
        <v>0</v>
      </c>
      <c r="X14" s="125">
        <v>0</v>
      </c>
      <c r="Y14" s="125">
        <f t="shared" ref="Y14:Y22" si="42">SUM(T14:X14)</f>
        <v>-12.57066185012366</v>
      </c>
      <c r="Z14" s="125">
        <v>5.4843999999999997E-2</v>
      </c>
      <c r="AA14" s="125">
        <v>0</v>
      </c>
      <c r="AB14" s="125">
        <f t="shared" ref="AB14:AB22" si="43">SUM(Y14:AA14)</f>
        <v>-12.515817850123661</v>
      </c>
      <c r="AC14" s="154">
        <f t="shared" si="29"/>
        <v>-0.13148864129610971</v>
      </c>
      <c r="AD14" s="155">
        <f t="shared" si="30"/>
        <v>-0.38098131367094012</v>
      </c>
      <c r="AE14" s="156">
        <f t="shared" si="31"/>
        <v>3.0439985483423859E-2</v>
      </c>
      <c r="AF14" s="157"/>
      <c r="AG14" s="94"/>
      <c r="AH14" s="123" t="s">
        <v>64</v>
      </c>
      <c r="AI14" s="125">
        <v>-78.343974449426923</v>
      </c>
      <c r="AJ14" s="125">
        <v>1.0550476999999927</v>
      </c>
      <c r="AK14" s="125">
        <v>8.5753587058048097</v>
      </c>
      <c r="AL14" s="125">
        <f>SUM(AI14:AK14)</f>
        <v>-68.713568043622132</v>
      </c>
      <c r="AM14" s="125">
        <v>0.62187499999999996</v>
      </c>
      <c r="AN14" s="125">
        <v>0</v>
      </c>
      <c r="AO14" s="125">
        <f t="shared" ref="AO14:AO18" si="44">SUM(AL14:AN14)</f>
        <v>-68.091693043622129</v>
      </c>
      <c r="AP14" s="154">
        <f t="shared" si="33"/>
        <v>-0.12529136213688588</v>
      </c>
      <c r="AQ14" s="148"/>
      <c r="AR14" s="125">
        <v>-67.68166880380501</v>
      </c>
      <c r="AS14" s="154">
        <f t="shared" si="34"/>
        <v>-0.12494405965354992</v>
      </c>
      <c r="AT14" s="155">
        <f t="shared" si="35"/>
        <v>-0.410024239817119</v>
      </c>
      <c r="AU14" s="156">
        <f t="shared" si="36"/>
        <v>6.0581283981884226E-3</v>
      </c>
      <c r="AV14" s="157"/>
      <c r="AW14" s="148"/>
      <c r="AX14" s="125">
        <v>-64.069854876601738</v>
      </c>
      <c r="AY14" s="125">
        <v>-5.2050880100000008</v>
      </c>
      <c r="AZ14" s="125">
        <v>5.4171676022396644</v>
      </c>
      <c r="BA14" s="125">
        <v>0</v>
      </c>
      <c r="BB14" s="125">
        <v>0</v>
      </c>
      <c r="BC14" s="125">
        <f t="shared" ref="BC14:BC18" si="45">SUM(AX14:BB14)</f>
        <v>-63.85777528436207</v>
      </c>
      <c r="BD14" s="125">
        <v>0.69235841999999992</v>
      </c>
      <c r="BE14" s="125">
        <v>0</v>
      </c>
      <c r="BF14" s="125">
        <f t="shared" ref="BF14:BF18" si="46">SUM(BC14:BE14)</f>
        <v>-63.165416864362072</v>
      </c>
      <c r="BG14" s="154">
        <f t="shared" si="38"/>
        <v>-0.13685318237252539</v>
      </c>
      <c r="BH14" s="155">
        <f t="shared" si="39"/>
        <v>-4.9262761792600571</v>
      </c>
      <c r="BI14" s="156">
        <f t="shared" si="40"/>
        <v>7.7990084191773335E-2</v>
      </c>
      <c r="BJ14" s="157"/>
    </row>
    <row r="15" spans="2:64" x14ac:dyDescent="0.35">
      <c r="B15" t="s">
        <v>65</v>
      </c>
      <c r="C15" s="123" t="s">
        <v>65</v>
      </c>
      <c r="D15" s="148"/>
      <c r="E15" s="125">
        <v>-13.18466558168268</v>
      </c>
      <c r="F15" s="125">
        <v>0</v>
      </c>
      <c r="G15" s="125">
        <v>-1.9152108779197332</v>
      </c>
      <c r="H15" s="125">
        <f>SUM(E15:G15)</f>
        <v>-15.099876459602413</v>
      </c>
      <c r="I15" s="125">
        <v>0</v>
      </c>
      <c r="J15" s="125">
        <v>0</v>
      </c>
      <c r="K15" s="125">
        <f t="shared" si="41"/>
        <v>-15.099876459602413</v>
      </c>
      <c r="L15" s="154">
        <f t="shared" si="24"/>
        <v>-0.13276406131348656</v>
      </c>
      <c r="M15" s="148"/>
      <c r="N15" s="125">
        <v>-16.048389093634896</v>
      </c>
      <c r="O15" s="154">
        <f t="shared" si="25"/>
        <v>-0.14193225260847853</v>
      </c>
      <c r="P15" s="155">
        <f t="shared" si="26"/>
        <v>0.94851263403248254</v>
      </c>
      <c r="Q15" s="156">
        <f t="shared" si="27"/>
        <v>-5.9103292454984246E-2</v>
      </c>
      <c r="R15" s="157"/>
      <c r="S15" s="148"/>
      <c r="T15" s="125">
        <v>-11.48434940621523</v>
      </c>
      <c r="U15" s="125">
        <v>0</v>
      </c>
      <c r="V15" s="125">
        <v>-2.5025588940096668</v>
      </c>
      <c r="W15" s="125">
        <v>0</v>
      </c>
      <c r="X15" s="125">
        <v>0</v>
      </c>
      <c r="Y15" s="125">
        <f t="shared" si="42"/>
        <v>-13.986908300224897</v>
      </c>
      <c r="Z15" s="125">
        <v>0</v>
      </c>
      <c r="AA15" s="125">
        <v>0</v>
      </c>
      <c r="AB15" s="125">
        <f t="shared" si="43"/>
        <v>-13.986908300224897</v>
      </c>
      <c r="AC15" s="154">
        <f t="shared" si="29"/>
        <v>-0.14694361889516314</v>
      </c>
      <c r="AD15" s="155">
        <f t="shared" si="30"/>
        <v>-1.112968159377516</v>
      </c>
      <c r="AE15" s="156">
        <f t="shared" si="31"/>
        <v>7.957213527735929E-2</v>
      </c>
      <c r="AF15" s="157"/>
      <c r="AG15" s="94"/>
      <c r="AH15" s="123" t="s">
        <v>65</v>
      </c>
      <c r="AI15" s="125">
        <v>-65.675701837619727</v>
      </c>
      <c r="AJ15" s="125">
        <v>0</v>
      </c>
      <c r="AK15" s="125">
        <v>-8.8112952909042175</v>
      </c>
      <c r="AL15" s="125">
        <f t="shared" ref="AL15:AL18" si="47">SUM(AI15:AK15)</f>
        <v>-74.486997128523939</v>
      </c>
      <c r="AM15" s="125">
        <v>0</v>
      </c>
      <c r="AN15" s="125">
        <v>0</v>
      </c>
      <c r="AO15" s="125">
        <f t="shared" si="44"/>
        <v>-74.486997128523939</v>
      </c>
      <c r="AP15" s="154">
        <f t="shared" si="33"/>
        <v>-0.13705897025853458</v>
      </c>
      <c r="AQ15" s="148"/>
      <c r="AR15" s="125">
        <v>-76.373717969783314</v>
      </c>
      <c r="AS15" s="154">
        <f t="shared" si="34"/>
        <v>-0.14099005746506557</v>
      </c>
      <c r="AT15" s="155">
        <f t="shared" si="35"/>
        <v>1.8867208412593754</v>
      </c>
      <c r="AU15" s="156">
        <f t="shared" si="36"/>
        <v>-2.4703797214715162E-2</v>
      </c>
      <c r="AV15" s="157"/>
      <c r="AW15" s="148"/>
      <c r="AX15" s="125">
        <v>-50.426442724554988</v>
      </c>
      <c r="AY15" s="125">
        <v>-0.50380100000000005</v>
      </c>
      <c r="AZ15" s="125">
        <v>-14.989079264076734</v>
      </c>
      <c r="BA15" s="125">
        <v>0</v>
      </c>
      <c r="BB15" s="125">
        <v>0</v>
      </c>
      <c r="BC15" s="125">
        <f t="shared" si="45"/>
        <v>-65.91932298863172</v>
      </c>
      <c r="BD15" s="125">
        <v>7.8306000000000001E-2</v>
      </c>
      <c r="BE15" s="125">
        <v>0</v>
      </c>
      <c r="BF15" s="125">
        <f t="shared" si="46"/>
        <v>-65.841016988631722</v>
      </c>
      <c r="BG15" s="154">
        <f t="shared" si="38"/>
        <v>-0.14265009482778407</v>
      </c>
      <c r="BH15" s="155">
        <f t="shared" si="39"/>
        <v>-8.6459801398922167</v>
      </c>
      <c r="BI15" s="156">
        <f t="shared" si="40"/>
        <v>0.13131601751207844</v>
      </c>
      <c r="BJ15" s="157"/>
      <c r="BK15" s="203">
        <f>AO15-K15</f>
        <v>-59.387120668921526</v>
      </c>
      <c r="BL15">
        <f>BK15/4</f>
        <v>-14.846780167230381</v>
      </c>
    </row>
    <row r="16" spans="2:64" x14ac:dyDescent="0.35">
      <c r="B16" t="s">
        <v>66</v>
      </c>
      <c r="C16" s="123" t="s">
        <v>66</v>
      </c>
      <c r="D16" s="148"/>
      <c r="E16" s="125">
        <v>-11.542274627703259</v>
      </c>
      <c r="F16" s="125">
        <v>-1.55E-2</v>
      </c>
      <c r="G16" s="125">
        <v>-0.51027857187500003</v>
      </c>
      <c r="H16" s="125">
        <f t="shared" ref="H16:H18" si="48">SUM(E16:G16)</f>
        <v>-12.068053199578259</v>
      </c>
      <c r="I16" s="125">
        <v>0</v>
      </c>
      <c r="J16" s="125">
        <v>0</v>
      </c>
      <c r="K16" s="125">
        <f t="shared" si="41"/>
        <v>-12.068053199578259</v>
      </c>
      <c r="L16" s="154">
        <f t="shared" si="24"/>
        <v>-0.10610707704859013</v>
      </c>
      <c r="M16" s="148"/>
      <c r="N16" s="125">
        <v>-17.612835194246422</v>
      </c>
      <c r="O16" s="154">
        <f t="shared" si="25"/>
        <v>-0.1557682431149906</v>
      </c>
      <c r="P16" s="155">
        <f t="shared" si="26"/>
        <v>5.5447819946681633</v>
      </c>
      <c r="Q16" s="156">
        <f t="shared" si="27"/>
        <v>-0.31481484573701546</v>
      </c>
      <c r="R16" s="157"/>
      <c r="S16" s="148"/>
      <c r="T16" s="125">
        <v>-14.626596379080192</v>
      </c>
      <c r="U16" s="125">
        <v>0</v>
      </c>
      <c r="V16" s="125">
        <v>-0.42558404894666685</v>
      </c>
      <c r="W16" s="125">
        <v>0</v>
      </c>
      <c r="X16" s="125">
        <v>0</v>
      </c>
      <c r="Y16" s="125">
        <f t="shared" si="42"/>
        <v>-15.052180428026858</v>
      </c>
      <c r="Z16" s="125">
        <v>0</v>
      </c>
      <c r="AA16" s="125">
        <v>0</v>
      </c>
      <c r="AB16" s="125">
        <f t="shared" si="43"/>
        <v>-15.052180428026858</v>
      </c>
      <c r="AC16" s="154">
        <f t="shared" si="29"/>
        <v>-0.15813515159183877</v>
      </c>
      <c r="AD16" s="155">
        <f t="shared" si="30"/>
        <v>2.9841272284485996</v>
      </c>
      <c r="AE16" s="156">
        <f t="shared" si="31"/>
        <v>-0.19825215640467708</v>
      </c>
      <c r="AF16" s="157"/>
      <c r="AG16" s="94"/>
      <c r="AH16" s="123" t="s">
        <v>66</v>
      </c>
      <c r="AI16" s="125">
        <v>-81.786056224001641</v>
      </c>
      <c r="AJ16" s="125">
        <v>-0.51139999999999997</v>
      </c>
      <c r="AK16" s="125">
        <v>-2.909895396085076</v>
      </c>
      <c r="AL16" s="125">
        <f t="shared" si="47"/>
        <v>-85.207351620086712</v>
      </c>
      <c r="AM16" s="125">
        <v>0</v>
      </c>
      <c r="AN16" s="125">
        <v>0</v>
      </c>
      <c r="AO16" s="125">
        <f t="shared" si="44"/>
        <v>-85.207351620086712</v>
      </c>
      <c r="AP16" s="154">
        <f t="shared" si="33"/>
        <v>-0.15678483925664716</v>
      </c>
      <c r="AQ16" s="148"/>
      <c r="AR16" s="125">
        <v>-85.432236653102933</v>
      </c>
      <c r="AS16" s="154">
        <f t="shared" si="34"/>
        <v>-0.15771257803444391</v>
      </c>
      <c r="AT16" s="155">
        <f t="shared" si="35"/>
        <v>0.22488503301622131</v>
      </c>
      <c r="AU16" s="156">
        <f t="shared" si="36"/>
        <v>-2.6323205598534072E-3</v>
      </c>
      <c r="AV16" s="157"/>
      <c r="AW16" s="148"/>
      <c r="AX16" s="125">
        <v>-74.210972724347542</v>
      </c>
      <c r="AY16" s="125">
        <v>-0.1111111</v>
      </c>
      <c r="AZ16" s="125">
        <v>-0.11746809248088318</v>
      </c>
      <c r="BA16" s="125">
        <v>0.26966965999999998</v>
      </c>
      <c r="BB16" s="125">
        <v>0</v>
      </c>
      <c r="BC16" s="125">
        <f t="shared" si="45"/>
        <v>-74.169882256828416</v>
      </c>
      <c r="BD16" s="125">
        <v>0</v>
      </c>
      <c r="BE16" s="125">
        <v>0</v>
      </c>
      <c r="BF16" s="125">
        <f t="shared" si="46"/>
        <v>-74.169882256828416</v>
      </c>
      <c r="BG16" s="154">
        <f t="shared" si="38"/>
        <v>-0.16069528116688994</v>
      </c>
      <c r="BH16" s="155">
        <f t="shared" si="39"/>
        <v>-11.037469363258296</v>
      </c>
      <c r="BI16" s="156">
        <f t="shared" si="40"/>
        <v>0.14881335964696296</v>
      </c>
      <c r="BJ16" s="157"/>
    </row>
    <row r="17" spans="2:64" x14ac:dyDescent="0.35">
      <c r="B17" t="s">
        <v>67</v>
      </c>
      <c r="C17" s="123" t="s">
        <v>68</v>
      </c>
      <c r="D17" s="148"/>
      <c r="E17" s="125">
        <v>-1.7506316900001551</v>
      </c>
      <c r="F17" s="125">
        <v>0</v>
      </c>
      <c r="G17" s="125">
        <v>0</v>
      </c>
      <c r="H17" s="125">
        <f t="shared" si="48"/>
        <v>-1.7506316900001551</v>
      </c>
      <c r="I17" s="125">
        <v>0</v>
      </c>
      <c r="J17" s="125">
        <v>0</v>
      </c>
      <c r="K17" s="125">
        <f t="shared" si="41"/>
        <v>-1.7506316900001551</v>
      </c>
      <c r="L17" s="154">
        <f t="shared" si="24"/>
        <v>-1.5392243350488508E-2</v>
      </c>
      <c r="M17" s="148"/>
      <c r="N17" s="125">
        <v>-0.5287858120579727</v>
      </c>
      <c r="O17" s="154">
        <f t="shared" si="25"/>
        <v>-4.6765915890311155E-3</v>
      </c>
      <c r="P17" s="155">
        <f t="shared" si="26"/>
        <v>-1.2218458779421824</v>
      </c>
      <c r="Q17" s="156">
        <f t="shared" si="27"/>
        <v>2.310663126884779</v>
      </c>
      <c r="R17" s="157"/>
      <c r="S17" s="148"/>
      <c r="T17" s="125">
        <v>-0.40976279344612287</v>
      </c>
      <c r="U17" s="125">
        <v>0</v>
      </c>
      <c r="V17" s="125">
        <v>0</v>
      </c>
      <c r="W17" s="125">
        <v>0</v>
      </c>
      <c r="X17" s="125">
        <v>0</v>
      </c>
      <c r="Y17" s="125">
        <f t="shared" si="42"/>
        <v>-0.40976279344612287</v>
      </c>
      <c r="Z17" s="125">
        <v>0</v>
      </c>
      <c r="AA17" s="125">
        <v>0</v>
      </c>
      <c r="AB17" s="125">
        <f t="shared" si="43"/>
        <v>-0.40976279344612287</v>
      </c>
      <c r="AC17" s="154">
        <f t="shared" si="29"/>
        <v>-4.304884715416085E-3</v>
      </c>
      <c r="AD17" s="155">
        <f t="shared" si="30"/>
        <v>-1.3408688965540323</v>
      </c>
      <c r="AE17" s="156">
        <f t="shared" si="31"/>
        <v>3.272305143366645</v>
      </c>
      <c r="AF17" s="157"/>
      <c r="AG17" s="94"/>
      <c r="AH17" s="123" t="s">
        <v>68</v>
      </c>
      <c r="AI17" s="125">
        <v>-4.990854710236948</v>
      </c>
      <c r="AJ17" s="125">
        <v>0</v>
      </c>
      <c r="AK17" s="125">
        <v>0</v>
      </c>
      <c r="AL17" s="125">
        <f t="shared" si="47"/>
        <v>-4.990854710236948</v>
      </c>
      <c r="AM17" s="125">
        <v>0</v>
      </c>
      <c r="AN17" s="125">
        <v>0</v>
      </c>
      <c r="AO17" s="125">
        <f t="shared" si="44"/>
        <v>-4.990854710236948</v>
      </c>
      <c r="AP17" s="154">
        <f t="shared" si="33"/>
        <v>-9.183366676934911E-3</v>
      </c>
      <c r="AQ17" s="148"/>
      <c r="AR17" s="125">
        <v>-2.6076659327161735</v>
      </c>
      <c r="AS17" s="154">
        <f t="shared" si="34"/>
        <v>-4.8138938299272923E-3</v>
      </c>
      <c r="AT17" s="155">
        <f t="shared" si="35"/>
        <v>-2.3831887775207745</v>
      </c>
      <c r="AU17" s="156">
        <f t="shared" si="36"/>
        <v>0.9139164444421064</v>
      </c>
      <c r="AV17" s="157"/>
      <c r="AW17" s="148"/>
      <c r="AX17" s="125">
        <v>-3.1455839600000015</v>
      </c>
      <c r="AY17" s="125">
        <v>0</v>
      </c>
      <c r="AZ17" s="125">
        <v>0</v>
      </c>
      <c r="BA17" s="125">
        <v>0</v>
      </c>
      <c r="BB17" s="125">
        <v>0</v>
      </c>
      <c r="BC17" s="125">
        <f t="shared" si="45"/>
        <v>-3.1455839600000015</v>
      </c>
      <c r="BD17" s="125">
        <v>0</v>
      </c>
      <c r="BE17" s="125">
        <v>0</v>
      </c>
      <c r="BF17" s="125">
        <f t="shared" si="46"/>
        <v>-3.1455839600000015</v>
      </c>
      <c r="BG17" s="154">
        <f t="shared" si="38"/>
        <v>-6.8151719202671716E-3</v>
      </c>
      <c r="BH17" s="155">
        <f t="shared" si="39"/>
        <v>-1.8452707502369465</v>
      </c>
      <c r="BI17" s="156">
        <f t="shared" si="40"/>
        <v>0.58662263468464082</v>
      </c>
      <c r="BJ17" s="157"/>
      <c r="BL17" s="203"/>
    </row>
    <row r="18" spans="2:64" x14ac:dyDescent="0.35">
      <c r="B18" t="s">
        <v>69</v>
      </c>
      <c r="C18" s="123" t="s">
        <v>70</v>
      </c>
      <c r="D18" s="131"/>
      <c r="E18" s="125">
        <v>4.132218E-2</v>
      </c>
      <c r="F18" s="125">
        <v>0</v>
      </c>
      <c r="G18" s="125">
        <v>-1.0138742599999999</v>
      </c>
      <c r="H18" s="125">
        <f t="shared" si="48"/>
        <v>-0.97255207999999993</v>
      </c>
      <c r="I18" s="125">
        <v>0</v>
      </c>
      <c r="J18" s="125">
        <v>0</v>
      </c>
      <c r="K18" s="125">
        <f t="shared" si="41"/>
        <v>-0.97255207999999993</v>
      </c>
      <c r="L18" s="154">
        <f t="shared" si="24"/>
        <v>-8.5510609523939563E-3</v>
      </c>
      <c r="M18" s="131"/>
      <c r="N18" s="125">
        <v>0</v>
      </c>
      <c r="O18" s="154">
        <f t="shared" si="25"/>
        <v>0</v>
      </c>
      <c r="P18" s="155">
        <f t="shared" si="26"/>
        <v>-0.97255207999999993</v>
      </c>
      <c r="Q18" s="156" t="str">
        <f t="shared" si="27"/>
        <v/>
      </c>
      <c r="R18" s="157"/>
      <c r="S18" s="131"/>
      <c r="T18" s="125">
        <v>4.5985730000000002E-2</v>
      </c>
      <c r="U18" s="125">
        <v>0</v>
      </c>
      <c r="V18" s="125">
        <v>0</v>
      </c>
      <c r="W18" s="125">
        <v>0</v>
      </c>
      <c r="X18" s="125">
        <v>0</v>
      </c>
      <c r="Y18" s="125">
        <f t="shared" si="42"/>
        <v>4.5985730000000002E-2</v>
      </c>
      <c r="Z18" s="125">
        <v>-3.227199E-2</v>
      </c>
      <c r="AA18" s="125">
        <v>0</v>
      </c>
      <c r="AB18" s="125">
        <f t="shared" si="43"/>
        <v>1.3713740000000002E-2</v>
      </c>
      <c r="AC18" s="154">
        <f t="shared" si="29"/>
        <v>1.4407376819328637E-4</v>
      </c>
      <c r="AD18" s="155">
        <f t="shared" si="30"/>
        <v>-0.98626581999999996</v>
      </c>
      <c r="AE18" s="156">
        <f t="shared" si="31"/>
        <v>-71.918077781845057</v>
      </c>
      <c r="AF18" s="157"/>
      <c r="AG18" s="94"/>
      <c r="AH18" s="123" t="s">
        <v>70</v>
      </c>
      <c r="AI18" s="125">
        <v>-4.0673669999999884E-2</v>
      </c>
      <c r="AJ18" s="125">
        <v>0</v>
      </c>
      <c r="AK18" s="125">
        <v>-1.0138742599999999</v>
      </c>
      <c r="AL18" s="125">
        <f t="shared" si="47"/>
        <v>-1.0545479299999998</v>
      </c>
      <c r="AM18" s="125">
        <v>0</v>
      </c>
      <c r="AN18" s="125">
        <v>0</v>
      </c>
      <c r="AO18" s="125">
        <f t="shared" si="44"/>
        <v>-1.0545479299999998</v>
      </c>
      <c r="AP18" s="154">
        <f t="shared" si="33"/>
        <v>-1.940409184769258E-3</v>
      </c>
      <c r="AQ18" s="131"/>
      <c r="AR18" s="125">
        <v>0</v>
      </c>
      <c r="AS18" s="154">
        <f t="shared" si="34"/>
        <v>0</v>
      </c>
      <c r="AT18" s="155">
        <f t="shared" si="35"/>
        <v>-1.0545479299999998</v>
      </c>
      <c r="AU18" s="156" t="str">
        <f t="shared" si="36"/>
        <v/>
      </c>
      <c r="AV18" s="157"/>
      <c r="AW18" s="131"/>
      <c r="AX18" s="125">
        <v>1.3519637800000004</v>
      </c>
      <c r="AY18" s="125">
        <v>-6.8428380000000011E-2</v>
      </c>
      <c r="AZ18" s="125">
        <v>0</v>
      </c>
      <c r="BA18" s="125">
        <v>0</v>
      </c>
      <c r="BB18" s="125">
        <v>0</v>
      </c>
      <c r="BC18" s="125">
        <f t="shared" si="45"/>
        <v>1.2835354000000003</v>
      </c>
      <c r="BD18" s="125">
        <v>-1.32331873</v>
      </c>
      <c r="BE18" s="125">
        <v>0</v>
      </c>
      <c r="BF18" s="125">
        <f t="shared" si="46"/>
        <v>-3.9783329999999673E-2</v>
      </c>
      <c r="BG18" s="154">
        <f t="shared" si="38"/>
        <v>-8.619392677432149E-5</v>
      </c>
      <c r="BH18" s="155">
        <f t="shared" si="39"/>
        <v>-1.0147646000000001</v>
      </c>
      <c r="BI18" s="156">
        <f t="shared" si="40"/>
        <v>25.507281567430592</v>
      </c>
      <c r="BJ18" s="157"/>
    </row>
    <row r="19" spans="2:64" x14ac:dyDescent="0.35">
      <c r="C19" s="140" t="s">
        <v>71</v>
      </c>
      <c r="D19" s="124"/>
      <c r="E19" s="141">
        <f>SUM(E11,E13)</f>
        <v>34.469086112229419</v>
      </c>
      <c r="F19" s="158">
        <f t="shared" ref="F19:J19" si="49">SUM(F11,F13)</f>
        <v>-0.48076930000000001</v>
      </c>
      <c r="G19" s="141">
        <f t="shared" si="49"/>
        <v>0</v>
      </c>
      <c r="H19" s="141">
        <f t="shared" si="49"/>
        <v>33.988316812229407</v>
      </c>
      <c r="I19" s="141">
        <f t="shared" si="49"/>
        <v>8.6874999999999994E-2</v>
      </c>
      <c r="J19" s="141">
        <f t="shared" si="49"/>
        <v>2.3283064365386962E-16</v>
      </c>
      <c r="K19" s="141">
        <f>SUM(K11,K13)</f>
        <v>34.075191812229413</v>
      </c>
      <c r="L19" s="142">
        <f t="shared" si="24"/>
        <v>0.29960250781725661</v>
      </c>
      <c r="M19" s="124"/>
      <c r="N19" s="141">
        <f>N11+N13</f>
        <v>26.77137796847127</v>
      </c>
      <c r="O19" s="142">
        <f t="shared" si="25"/>
        <v>0.23676656630946</v>
      </c>
      <c r="P19" s="143">
        <f t="shared" si="26"/>
        <v>7.3038138437581424</v>
      </c>
      <c r="Q19" s="144">
        <f t="shared" si="27"/>
        <v>0.27282173716869806</v>
      </c>
      <c r="R19" s="145">
        <f>IF(Q19&gt;0.05,1,IF(Q19&lt;-0.05,-1,0))</f>
        <v>1</v>
      </c>
      <c r="S19" s="124"/>
      <c r="T19" s="141">
        <f t="shared" ref="T19:AB19" si="50">SUM(T11,T13)</f>
        <v>22.822564882156691</v>
      </c>
      <c r="U19" s="141">
        <f t="shared" si="50"/>
        <v>-0.12618796000000002</v>
      </c>
      <c r="V19" s="141">
        <f t="shared" si="50"/>
        <v>0</v>
      </c>
      <c r="W19" s="141">
        <f t="shared" si="50"/>
        <v>0</v>
      </c>
      <c r="X19" s="141">
        <f t="shared" si="50"/>
        <v>0</v>
      </c>
      <c r="Y19" s="141">
        <f t="shared" si="50"/>
        <v>22.696376922156702</v>
      </c>
      <c r="Z19" s="141">
        <f t="shared" si="50"/>
        <v>2.2572009999999997E-2</v>
      </c>
      <c r="AA19" s="141">
        <f t="shared" si="50"/>
        <v>0</v>
      </c>
      <c r="AB19" s="141">
        <f t="shared" si="50"/>
        <v>22.7189489321567</v>
      </c>
      <c r="AC19" s="142">
        <f t="shared" si="29"/>
        <v>0.23868066494236106</v>
      </c>
      <c r="AD19" s="143">
        <f t="shared" si="30"/>
        <v>11.356242880072713</v>
      </c>
      <c r="AE19" s="144">
        <f t="shared" si="31"/>
        <v>0.49985775812009225</v>
      </c>
      <c r="AF19" s="145">
        <f>IF(AE19&gt;0.05,1,IF(AE19&lt;-0.05,-1,0))</f>
        <v>1</v>
      </c>
      <c r="AG19" s="94"/>
      <c r="AH19" s="140" t="s">
        <v>71</v>
      </c>
      <c r="AI19" s="141">
        <f>SUM(AI11,AI13)</f>
        <v>126.69953025264172</v>
      </c>
      <c r="AJ19" s="158">
        <f t="shared" ref="AJ19:AO19" si="51">SUM(AJ11,AJ13)</f>
        <v>0.54364769999999274</v>
      </c>
      <c r="AK19" s="141">
        <f t="shared" si="51"/>
        <v>0</v>
      </c>
      <c r="AL19" s="141">
        <f t="shared" si="51"/>
        <v>127.2431779526417</v>
      </c>
      <c r="AM19" s="141">
        <f t="shared" si="51"/>
        <v>0.62187499999999996</v>
      </c>
      <c r="AN19" s="141">
        <f t="shared" si="51"/>
        <v>3.4924596548080445E-16</v>
      </c>
      <c r="AO19" s="141">
        <f t="shared" si="51"/>
        <v>127.86505295264169</v>
      </c>
      <c r="AP19" s="142">
        <f t="shared" si="33"/>
        <v>0.23527666794653279</v>
      </c>
      <c r="AQ19" s="124"/>
      <c r="AR19" s="141">
        <f>AR11+AR13</f>
        <v>126.64426355243654</v>
      </c>
      <c r="AS19" s="142">
        <f t="shared" si="34"/>
        <v>0.23379223207312447</v>
      </c>
      <c r="AT19" s="143">
        <f t="shared" si="35"/>
        <v>1.2207894002051489</v>
      </c>
      <c r="AU19" s="144">
        <f t="shared" si="36"/>
        <v>9.6395159635453975E-3</v>
      </c>
      <c r="AV19" s="145">
        <f>IF(AU19&gt;0.05,1,IF(AU19&lt;-0.05,-1,0))</f>
        <v>0</v>
      </c>
      <c r="AW19" s="124"/>
      <c r="AX19" s="141">
        <f t="shared" ref="AX19:BF19" si="52">SUM(AX11,AX13)</f>
        <v>105.62691573558931</v>
      </c>
      <c r="AY19" s="141">
        <f t="shared" si="52"/>
        <v>-5.8884284900000008</v>
      </c>
      <c r="AZ19" s="141">
        <f t="shared" si="52"/>
        <v>1.4210854715202004E-14</v>
      </c>
      <c r="BA19" s="141">
        <f t="shared" si="52"/>
        <v>0</v>
      </c>
      <c r="BB19" s="141">
        <f t="shared" si="52"/>
        <v>0</v>
      </c>
      <c r="BC19" s="141">
        <f t="shared" si="52"/>
        <v>99.738487245589283</v>
      </c>
      <c r="BD19" s="141">
        <f t="shared" si="52"/>
        <v>-0.55265431000000009</v>
      </c>
      <c r="BE19" s="141">
        <f t="shared" si="52"/>
        <v>0</v>
      </c>
      <c r="BF19" s="141">
        <f t="shared" si="52"/>
        <v>99.185832935589275</v>
      </c>
      <c r="BG19" s="142">
        <f t="shared" si="38"/>
        <v>0.21489443998529878</v>
      </c>
      <c r="BH19" s="143">
        <f t="shared" si="39"/>
        <v>28.679220017052415</v>
      </c>
      <c r="BI19" s="144">
        <f t="shared" si="40"/>
        <v>0.28914633439310378</v>
      </c>
      <c r="BJ19" s="145">
        <f>IF(BI19&gt;0.05,1,IF(BI19&lt;-0.05,-1,0))</f>
        <v>1</v>
      </c>
    </row>
    <row r="20" spans="2:64" hidden="1" outlineLevel="1" x14ac:dyDescent="0.35">
      <c r="B20" t="s">
        <v>72</v>
      </c>
      <c r="C20" s="123" t="s">
        <v>73</v>
      </c>
      <c r="D20" s="124"/>
      <c r="E20" s="125">
        <v>3.4911693200000027</v>
      </c>
      <c r="F20" s="125">
        <v>0</v>
      </c>
      <c r="G20" s="125">
        <v>0</v>
      </c>
      <c r="H20" s="125">
        <f t="shared" ref="H20:H22" si="53">SUM(E20:G20)</f>
        <v>3.4911693200000027</v>
      </c>
      <c r="I20" s="125">
        <v>0</v>
      </c>
      <c r="J20" s="125">
        <v>0</v>
      </c>
      <c r="K20" s="125">
        <f t="shared" si="41"/>
        <v>3.4911693200000027</v>
      </c>
      <c r="L20" s="136">
        <f t="shared" si="24"/>
        <v>3.0695735749645185E-2</v>
      </c>
      <c r="M20" s="124"/>
      <c r="N20" s="125">
        <v>0</v>
      </c>
      <c r="O20" s="136">
        <f t="shared" si="25"/>
        <v>0</v>
      </c>
      <c r="P20" s="155">
        <f t="shared" si="26"/>
        <v>3.4911693200000027</v>
      </c>
      <c r="Q20" s="156" t="str">
        <f t="shared" si="27"/>
        <v/>
      </c>
      <c r="R20" s="159"/>
      <c r="S20" s="124"/>
      <c r="T20" s="125">
        <v>0.41767092515401666</v>
      </c>
      <c r="U20" s="125">
        <v>0</v>
      </c>
      <c r="V20" s="125">
        <v>0</v>
      </c>
      <c r="W20" s="125">
        <v>0</v>
      </c>
      <c r="X20" s="125">
        <v>0</v>
      </c>
      <c r="Y20" s="125">
        <f t="shared" si="42"/>
        <v>0.41767092515401666</v>
      </c>
      <c r="Z20" s="125">
        <v>0</v>
      </c>
      <c r="AA20" s="125">
        <v>0</v>
      </c>
      <c r="AB20" s="125">
        <f t="shared" si="43"/>
        <v>0.41767092515401666</v>
      </c>
      <c r="AC20" s="136">
        <f t="shared" si="29"/>
        <v>4.3879659415823292E-3</v>
      </c>
      <c r="AD20" s="155">
        <f t="shared" si="30"/>
        <v>3.073498394845986</v>
      </c>
      <c r="AE20" s="156">
        <f t="shared" si="31"/>
        <v>7.3586601550314512</v>
      </c>
      <c r="AF20" s="159"/>
      <c r="AG20" s="94"/>
      <c r="AH20" s="123" t="s">
        <v>73</v>
      </c>
      <c r="AI20" s="125">
        <v>16.979845560000005</v>
      </c>
      <c r="AJ20" s="125">
        <v>0</v>
      </c>
      <c r="AK20" s="125">
        <v>0</v>
      </c>
      <c r="AL20" s="125">
        <f t="shared" ref="AL20:AL22" si="54">SUM(AI20:AK20)</f>
        <v>16.979845560000005</v>
      </c>
      <c r="AM20" s="125">
        <v>0</v>
      </c>
      <c r="AN20" s="125">
        <v>0</v>
      </c>
      <c r="AO20" s="125">
        <f t="shared" ref="AO20:AO22" si="55">SUM(AL20:AN20)</f>
        <v>16.979845560000005</v>
      </c>
      <c r="AP20" s="136">
        <f t="shared" si="33"/>
        <v>3.1243575889990622E-2</v>
      </c>
      <c r="AQ20" s="124"/>
      <c r="AR20" s="125">
        <v>0</v>
      </c>
      <c r="AS20" s="136">
        <f t="shared" si="34"/>
        <v>0</v>
      </c>
      <c r="AT20" s="155">
        <f t="shared" si="35"/>
        <v>16.979845560000005</v>
      </c>
      <c r="AU20" s="156" t="str">
        <f t="shared" si="36"/>
        <v/>
      </c>
      <c r="AV20" s="159"/>
      <c r="AW20" s="124"/>
      <c r="AX20" s="125">
        <v>-0.88102105484597826</v>
      </c>
      <c r="AY20" s="125">
        <v>0</v>
      </c>
      <c r="AZ20" s="125">
        <v>0</v>
      </c>
      <c r="BA20" s="125">
        <v>0</v>
      </c>
      <c r="BB20" s="125">
        <v>0</v>
      </c>
      <c r="BC20" s="125">
        <f t="shared" ref="BC20:BC22" si="56">SUM(AX20:BB20)</f>
        <v>-0.88102105484597826</v>
      </c>
      <c r="BD20" s="125">
        <v>0</v>
      </c>
      <c r="BE20" s="125">
        <v>0</v>
      </c>
      <c r="BF20" s="125">
        <f t="shared" ref="BF20:BF22" si="57">SUM(BC20:BE20)</f>
        <v>-0.88102105484597826</v>
      </c>
      <c r="BG20" s="136">
        <f t="shared" si="38"/>
        <v>-1.9088061328207152E-3</v>
      </c>
      <c r="BH20" s="155">
        <f t="shared" si="39"/>
        <v>17.860866614845982</v>
      </c>
      <c r="BI20" s="156">
        <f t="shared" si="40"/>
        <v>-20.272916880480743</v>
      </c>
      <c r="BJ20" s="159"/>
    </row>
    <row r="21" spans="2:64" hidden="1" outlineLevel="1" x14ac:dyDescent="0.35">
      <c r="B21" t="s">
        <v>74</v>
      </c>
      <c r="C21" s="123" t="s">
        <v>75</v>
      </c>
      <c r="D21" s="124"/>
      <c r="E21" s="125">
        <v>-6.159669669999996</v>
      </c>
      <c r="F21" s="125">
        <v>0</v>
      </c>
      <c r="G21" s="125">
        <v>0</v>
      </c>
      <c r="H21" s="125">
        <f t="shared" si="53"/>
        <v>-6.159669669999996</v>
      </c>
      <c r="I21" s="125">
        <v>0</v>
      </c>
      <c r="J21" s="125">
        <v>0</v>
      </c>
      <c r="K21" s="125">
        <f t="shared" si="41"/>
        <v>-6.159669669999996</v>
      </c>
      <c r="L21" s="136">
        <f t="shared" si="24"/>
        <v>-5.4158241885393255E-2</v>
      </c>
      <c r="M21" s="124"/>
      <c r="N21" s="125">
        <v>0</v>
      </c>
      <c r="O21" s="136">
        <f t="shared" si="25"/>
        <v>0</v>
      </c>
      <c r="P21" s="155">
        <f t="shared" si="26"/>
        <v>-6.159669669999996</v>
      </c>
      <c r="Q21" s="156" t="str">
        <f t="shared" si="27"/>
        <v/>
      </c>
      <c r="R21" s="159"/>
      <c r="S21" s="124"/>
      <c r="T21" s="125">
        <v>-0.67363035360491474</v>
      </c>
      <c r="U21" s="125">
        <v>0</v>
      </c>
      <c r="V21" s="125">
        <v>0</v>
      </c>
      <c r="W21" s="125">
        <v>0</v>
      </c>
      <c r="X21" s="125">
        <v>0</v>
      </c>
      <c r="Y21" s="125">
        <f t="shared" si="42"/>
        <v>-0.67363035360491474</v>
      </c>
      <c r="Z21" s="125">
        <v>0</v>
      </c>
      <c r="AA21" s="125">
        <v>0</v>
      </c>
      <c r="AB21" s="125">
        <f t="shared" si="43"/>
        <v>-0.67363035360491474</v>
      </c>
      <c r="AC21" s="136">
        <f t="shared" si="29"/>
        <v>-7.0770237304510659E-3</v>
      </c>
      <c r="AD21" s="155">
        <f t="shared" si="30"/>
        <v>-5.4860393163950816</v>
      </c>
      <c r="AE21" s="156">
        <f t="shared" si="31"/>
        <v>8.1439906723868507</v>
      </c>
      <c r="AF21" s="159"/>
      <c r="AG21" s="94"/>
      <c r="AH21" s="123" t="s">
        <v>75</v>
      </c>
      <c r="AI21" s="125">
        <v>-37.973931899999997</v>
      </c>
      <c r="AJ21" s="125">
        <v>7.2759576141834256E-18</v>
      </c>
      <c r="AK21" s="125">
        <v>0</v>
      </c>
      <c r="AL21" s="125">
        <f t="shared" si="54"/>
        <v>-37.973931899999997</v>
      </c>
      <c r="AM21" s="125">
        <v>0</v>
      </c>
      <c r="AN21" s="125">
        <v>0</v>
      </c>
      <c r="AO21" s="125">
        <f t="shared" si="55"/>
        <v>-37.973931899999997</v>
      </c>
      <c r="AP21" s="136">
        <f t="shared" si="33"/>
        <v>-6.9873510861248683E-2</v>
      </c>
      <c r="AQ21" s="124"/>
      <c r="AR21" s="125">
        <v>0</v>
      </c>
      <c r="AS21" s="136">
        <f t="shared" si="34"/>
        <v>0</v>
      </c>
      <c r="AT21" s="155">
        <f t="shared" si="35"/>
        <v>-37.973931899999997</v>
      </c>
      <c r="AU21" s="156" t="str">
        <f t="shared" si="36"/>
        <v/>
      </c>
      <c r="AV21" s="159"/>
      <c r="AW21" s="124"/>
      <c r="AX21" s="125">
        <v>-2.3142329888015403</v>
      </c>
      <c r="AY21" s="125">
        <v>0</v>
      </c>
      <c r="AZ21" s="125">
        <v>0</v>
      </c>
      <c r="BA21" s="125">
        <v>0</v>
      </c>
      <c r="BB21" s="125">
        <v>0</v>
      </c>
      <c r="BC21" s="125">
        <f t="shared" si="56"/>
        <v>-2.3142329888015403</v>
      </c>
      <c r="BD21" s="125">
        <v>0</v>
      </c>
      <c r="BE21" s="125">
        <v>0</v>
      </c>
      <c r="BF21" s="125">
        <f t="shared" si="57"/>
        <v>-2.3142329888015403</v>
      </c>
      <c r="BG21" s="136">
        <f t="shared" si="38"/>
        <v>-5.0139801966170442E-3</v>
      </c>
      <c r="BH21" s="155">
        <f t="shared" si="39"/>
        <v>-35.659698911198454</v>
      </c>
      <c r="BI21" s="156">
        <f t="shared" si="40"/>
        <v>15.408862929425855</v>
      </c>
      <c r="BJ21" s="159"/>
    </row>
    <row r="22" spans="2:64" hidden="1" outlineLevel="1" x14ac:dyDescent="0.35">
      <c r="B22" t="s">
        <v>76</v>
      </c>
      <c r="C22" s="123" t="s">
        <v>77</v>
      </c>
      <c r="D22" s="124"/>
      <c r="E22" s="125">
        <v>2.6647991199999996</v>
      </c>
      <c r="F22" s="125">
        <v>0</v>
      </c>
      <c r="G22" s="125">
        <v>0</v>
      </c>
      <c r="H22" s="125">
        <f t="shared" si="53"/>
        <v>2.6647991199999996</v>
      </c>
      <c r="I22" s="125">
        <v>0</v>
      </c>
      <c r="J22" s="125">
        <v>0</v>
      </c>
      <c r="K22" s="125">
        <f t="shared" si="41"/>
        <v>2.6647991199999996</v>
      </c>
      <c r="L22" s="136">
        <f t="shared" si="24"/>
        <v>2.3429963463762037E-2</v>
      </c>
      <c r="M22" s="124"/>
      <c r="N22" s="125">
        <v>0</v>
      </c>
      <c r="O22" s="136">
        <f t="shared" si="25"/>
        <v>0</v>
      </c>
      <c r="P22" s="155">
        <f t="shared" si="26"/>
        <v>2.6647991199999996</v>
      </c>
      <c r="Q22" s="156" t="str">
        <f t="shared" si="27"/>
        <v/>
      </c>
      <c r="R22" s="159"/>
      <c r="S22" s="124"/>
      <c r="T22" s="125">
        <v>0.18852077845089207</v>
      </c>
      <c r="U22" s="125">
        <v>0</v>
      </c>
      <c r="V22" s="125">
        <v>0</v>
      </c>
      <c r="W22" s="125">
        <v>0</v>
      </c>
      <c r="X22" s="125">
        <v>0</v>
      </c>
      <c r="Y22" s="125">
        <f t="shared" si="42"/>
        <v>0.18852077845089207</v>
      </c>
      <c r="Z22" s="125">
        <v>0</v>
      </c>
      <c r="AA22" s="125">
        <v>0</v>
      </c>
      <c r="AB22" s="125">
        <f t="shared" si="43"/>
        <v>0.18852077845089207</v>
      </c>
      <c r="AC22" s="136">
        <f t="shared" si="29"/>
        <v>1.9805610237726336E-3</v>
      </c>
      <c r="AD22" s="155">
        <f t="shared" si="30"/>
        <v>2.4762783415491074</v>
      </c>
      <c r="AE22" s="156">
        <f t="shared" si="31"/>
        <v>13.135307215984975</v>
      </c>
      <c r="AF22" s="159"/>
      <c r="AG22" s="94"/>
      <c r="AH22" s="123" t="s">
        <v>77</v>
      </c>
      <c r="AI22" s="125">
        <v>20.976155369999983</v>
      </c>
      <c r="AJ22" s="125">
        <v>0</v>
      </c>
      <c r="AK22" s="125">
        <v>0</v>
      </c>
      <c r="AL22" s="125">
        <f t="shared" si="54"/>
        <v>20.976155369999983</v>
      </c>
      <c r="AM22" s="125">
        <v>0</v>
      </c>
      <c r="AN22" s="125">
        <v>0</v>
      </c>
      <c r="AO22" s="125">
        <f t="shared" si="55"/>
        <v>20.976155369999983</v>
      </c>
      <c r="AP22" s="136">
        <f t="shared" si="33"/>
        <v>3.8596941289425285E-2</v>
      </c>
      <c r="AQ22" s="124"/>
      <c r="AR22" s="125">
        <v>0</v>
      </c>
      <c r="AS22" s="136">
        <f t="shared" si="34"/>
        <v>0</v>
      </c>
      <c r="AT22" s="155">
        <f t="shared" si="35"/>
        <v>20.976155369999983</v>
      </c>
      <c r="AU22" s="156" t="str">
        <f t="shared" si="36"/>
        <v/>
      </c>
      <c r="AV22" s="159"/>
      <c r="AW22" s="124"/>
      <c r="AX22" s="125">
        <v>3.1251551010583323</v>
      </c>
      <c r="AY22" s="125">
        <v>0</v>
      </c>
      <c r="AZ22" s="125">
        <v>0</v>
      </c>
      <c r="BA22" s="125">
        <v>0</v>
      </c>
      <c r="BB22" s="125">
        <v>0</v>
      </c>
      <c r="BC22" s="125">
        <f t="shared" si="56"/>
        <v>3.1251551010583323</v>
      </c>
      <c r="BD22" s="125">
        <v>0</v>
      </c>
      <c r="BE22" s="125">
        <v>0</v>
      </c>
      <c r="BF22" s="125">
        <f t="shared" si="57"/>
        <v>3.1251551010583323</v>
      </c>
      <c r="BG22" s="136">
        <f t="shared" si="38"/>
        <v>6.7709110810739419E-3</v>
      </c>
      <c r="BH22" s="155">
        <f t="shared" si="39"/>
        <v>17.85100026894165</v>
      </c>
      <c r="BI22" s="156">
        <f t="shared" si="40"/>
        <v>5.7120365843271008</v>
      </c>
      <c r="BJ22" s="159"/>
    </row>
    <row r="23" spans="2:64" ht="7.5" customHeight="1" collapsed="1" x14ac:dyDescent="0.35">
      <c r="L23" s="160"/>
      <c r="O23" s="160"/>
      <c r="R23"/>
      <c r="AC23" s="160"/>
      <c r="AF23"/>
      <c r="AP23" s="160"/>
      <c r="AS23" s="160"/>
      <c r="AV23"/>
      <c r="BG23" s="160"/>
      <c r="BJ23"/>
    </row>
    <row r="24" spans="2:64" hidden="1" outlineLevel="1" x14ac:dyDescent="0.35">
      <c r="C24" s="161" t="s">
        <v>78</v>
      </c>
      <c r="D24" s="162"/>
      <c r="E24" s="163">
        <f>SUM(E19:E22)</f>
        <v>34.465384882229429</v>
      </c>
      <c r="F24" s="163">
        <f t="shared" ref="F24:K24" si="58">SUM(F19:F22)</f>
        <v>-0.48076930000000001</v>
      </c>
      <c r="G24" s="163">
        <f t="shared" si="58"/>
        <v>0</v>
      </c>
      <c r="H24" s="163">
        <f t="shared" si="58"/>
        <v>33.984615582229416</v>
      </c>
      <c r="I24" s="163">
        <f t="shared" si="58"/>
        <v>8.6874999999999994E-2</v>
      </c>
      <c r="J24" s="163">
        <f t="shared" si="58"/>
        <v>2.3283064365386962E-16</v>
      </c>
      <c r="K24" s="163">
        <f t="shared" si="58"/>
        <v>34.071490582229423</v>
      </c>
      <c r="L24" s="164">
        <f t="shared" ref="L24:L38" si="59">IFERROR(K24/K$9,0)</f>
        <v>0.29956996514527062</v>
      </c>
      <c r="M24" s="162"/>
      <c r="N24" s="163">
        <f>N19+N20+N21+N22</f>
        <v>26.77137796847127</v>
      </c>
      <c r="O24" s="164">
        <f t="shared" ref="O24:O38" si="60">IFERROR(N24/N$9,0)</f>
        <v>0.23676656630946</v>
      </c>
      <c r="P24" s="165">
        <f t="shared" si="26"/>
        <v>7.3001126137581522</v>
      </c>
      <c r="Q24" s="166">
        <f t="shared" si="27"/>
        <v>0.27268348391911368</v>
      </c>
      <c r="R24" s="167">
        <f t="shared" ref="R24:R38" si="61">IF(Q24&gt;0.05,1,IF(Q24&lt;-0.05,-1,0))</f>
        <v>1</v>
      </c>
      <c r="S24" s="162"/>
      <c r="T24" s="163">
        <f>SUM(T19:T22)</f>
        <v>22.755126232156687</v>
      </c>
      <c r="U24" s="163">
        <f t="shared" ref="U24:AB24" si="62">SUM(U19:U22)</f>
        <v>-0.12618796000000002</v>
      </c>
      <c r="V24" s="163">
        <f t="shared" si="62"/>
        <v>0</v>
      </c>
      <c r="W24" s="163">
        <f t="shared" si="62"/>
        <v>0</v>
      </c>
      <c r="X24" s="163">
        <f t="shared" si="62"/>
        <v>0</v>
      </c>
      <c r="Y24" s="163">
        <f t="shared" si="62"/>
        <v>22.628938272156699</v>
      </c>
      <c r="Z24" s="163">
        <f t="shared" si="62"/>
        <v>2.2572009999999997E-2</v>
      </c>
      <c r="AA24" s="163">
        <f t="shared" si="62"/>
        <v>0</v>
      </c>
      <c r="AB24" s="163">
        <f t="shared" si="62"/>
        <v>22.651510282156696</v>
      </c>
      <c r="AC24" s="164">
        <f t="shared" ref="AC24:AC38" si="63">IFERROR(AB24/AB$9,0)</f>
        <v>0.23797216817726499</v>
      </c>
      <c r="AD24" s="165">
        <f t="shared" si="30"/>
        <v>11.419980300072726</v>
      </c>
      <c r="AE24" s="166">
        <f t="shared" ref="AE24:AE38" si="64">IFERROR(K24/AB24-1,"")</f>
        <v>0.50415977379965704</v>
      </c>
      <c r="AF24" s="167">
        <f t="shared" ref="AF24:AF27" si="65">IF(AE24&gt;0.05,1,IF(AE24&lt;-0.05,-1,0))</f>
        <v>1</v>
      </c>
      <c r="AG24" s="94"/>
      <c r="AH24" s="161" t="s">
        <v>78</v>
      </c>
      <c r="AI24" s="163">
        <f>SUM(AI19:AI22)</f>
        <v>126.68159928264171</v>
      </c>
      <c r="AJ24" s="163">
        <f t="shared" ref="AJ24:AO24" si="66">SUM(AJ19:AJ22)</f>
        <v>0.54364769999999274</v>
      </c>
      <c r="AK24" s="163">
        <f t="shared" si="66"/>
        <v>0</v>
      </c>
      <c r="AL24" s="163">
        <f t="shared" si="66"/>
        <v>127.22524698264169</v>
      </c>
      <c r="AM24" s="163">
        <f t="shared" si="66"/>
        <v>0.62187499999999996</v>
      </c>
      <c r="AN24" s="163">
        <f t="shared" si="66"/>
        <v>3.4924596548080445E-16</v>
      </c>
      <c r="AO24" s="163">
        <f t="shared" si="66"/>
        <v>127.84712198264168</v>
      </c>
      <c r="AP24" s="164">
        <f t="shared" ref="AP24:AP38" si="67">IFERROR(AO24/AO$9,0)</f>
        <v>0.2352436742647</v>
      </c>
      <c r="AQ24" s="162"/>
      <c r="AR24" s="163">
        <f>AR19+AR20+AR21+AR22</f>
        <v>126.64426355243654</v>
      </c>
      <c r="AS24" s="164">
        <f t="shared" ref="AS24:AS38" si="68">IFERROR(AR24/AR$9,0)</f>
        <v>0.23379223207312447</v>
      </c>
      <c r="AT24" s="165">
        <f t="shared" ref="AT24:AT38" si="69">AO24-AR24</f>
        <v>1.2028584302051399</v>
      </c>
      <c r="AU24" s="166">
        <f t="shared" ref="AU24:AU38" si="70">IFERROR(AO24/AR24-1,"")</f>
        <v>9.4979306323423884E-3</v>
      </c>
      <c r="AV24" s="167">
        <f t="shared" ref="AV24" si="71">IF(AU24&gt;0.05,1,IF(AU24&lt;-0.05,-1,0))</f>
        <v>0</v>
      </c>
      <c r="AW24" s="162"/>
      <c r="AX24" s="163">
        <f>SUM(AX19:AX22)</f>
        <v>105.55681679300012</v>
      </c>
      <c r="AY24" s="163">
        <f t="shared" ref="AY24:BF24" si="72">SUM(AY19:AY22)</f>
        <v>-5.8884284900000008</v>
      </c>
      <c r="AZ24" s="163">
        <f t="shared" si="72"/>
        <v>1.4210854715202004E-14</v>
      </c>
      <c r="BA24" s="163">
        <f t="shared" si="72"/>
        <v>0</v>
      </c>
      <c r="BB24" s="163">
        <f t="shared" si="72"/>
        <v>0</v>
      </c>
      <c r="BC24" s="163">
        <f t="shared" si="72"/>
        <v>99.6683883030001</v>
      </c>
      <c r="BD24" s="163">
        <f t="shared" si="72"/>
        <v>-0.55265431000000009</v>
      </c>
      <c r="BE24" s="163">
        <f t="shared" si="72"/>
        <v>0</v>
      </c>
      <c r="BF24" s="163">
        <f t="shared" si="72"/>
        <v>99.115733993000092</v>
      </c>
      <c r="BG24" s="164">
        <f t="shared" ref="BG24:BG38" si="73">IFERROR(BF24/BF$9,0)</f>
        <v>0.21474256473693498</v>
      </c>
      <c r="BH24" s="165">
        <f t="shared" si="39"/>
        <v>28.73138798964159</v>
      </c>
      <c r="BI24" s="166">
        <f t="shared" ref="BI24:BI38" si="74">IFERROR(AO24/BF24-1,"")</f>
        <v>0.28987716512971295</v>
      </c>
      <c r="BJ24" s="167">
        <f t="shared" ref="BJ24" si="75">IF(BI24&gt;0.05,1,IF(BI24&lt;-0.05,-1,0))</f>
        <v>1</v>
      </c>
    </row>
    <row r="25" spans="2:64" collapsed="1" x14ac:dyDescent="0.35">
      <c r="B25" t="s">
        <v>79</v>
      </c>
      <c r="C25" s="168" t="s">
        <v>80</v>
      </c>
      <c r="D25" s="131"/>
      <c r="E25" s="169">
        <v>-0.48076930000000001</v>
      </c>
      <c r="F25" s="170">
        <v>0.48076930000000001</v>
      </c>
      <c r="G25" s="170">
        <v>0</v>
      </c>
      <c r="H25" s="170">
        <f t="shared" ref="H25:H37" si="76">SUM(E25:G25)</f>
        <v>0</v>
      </c>
      <c r="I25" s="170">
        <v>-8.6874999999999994E-2</v>
      </c>
      <c r="J25" s="170">
        <v>0</v>
      </c>
      <c r="K25" s="169">
        <f t="shared" ref="K25" si="77">SUM(H25:J25)</f>
        <v>-8.6874999999999994E-2</v>
      </c>
      <c r="L25" s="171">
        <f t="shared" si="59"/>
        <v>-7.6383921798740578E-4</v>
      </c>
      <c r="M25" s="131"/>
      <c r="N25" s="170">
        <v>-8.7999999999999995E-2</v>
      </c>
      <c r="O25" s="171">
        <f t="shared" si="60"/>
        <v>-7.7827364208784687E-4</v>
      </c>
      <c r="P25" s="172">
        <f t="shared" si="26"/>
        <v>1.125000000000001E-3</v>
      </c>
      <c r="Q25" s="173">
        <f t="shared" si="27"/>
        <v>-1.2784090909090939E-2</v>
      </c>
      <c r="R25" s="174"/>
      <c r="S25" s="131"/>
      <c r="T25" s="125">
        <v>-0.12618796000000002</v>
      </c>
      <c r="U25" s="125">
        <v>0.12618796000000002</v>
      </c>
      <c r="V25" s="125">
        <v>0</v>
      </c>
      <c r="W25" s="125">
        <v>0</v>
      </c>
      <c r="X25" s="125">
        <v>0</v>
      </c>
      <c r="Y25" s="170">
        <f t="shared" ref="Y25:Y30" si="78">SUM(T25:X25)</f>
        <v>0</v>
      </c>
      <c r="Z25" s="125">
        <v>-2.257201E-2</v>
      </c>
      <c r="AA25" s="125">
        <v>0</v>
      </c>
      <c r="AB25" s="170">
        <f t="shared" ref="AB25" si="79">SUM(Y25:AA25)</f>
        <v>-2.257201E-2</v>
      </c>
      <c r="AC25" s="171">
        <f t="shared" si="63"/>
        <v>-2.3713695435355646E-4</v>
      </c>
      <c r="AD25" s="172">
        <f t="shared" si="30"/>
        <v>-6.430298999999999E-2</v>
      </c>
      <c r="AE25" s="173">
        <f t="shared" si="64"/>
        <v>2.8487932620976153</v>
      </c>
      <c r="AF25" s="174"/>
      <c r="AG25" s="94"/>
      <c r="AH25" s="168" t="s">
        <v>80</v>
      </c>
      <c r="AI25" s="170">
        <v>0.5433849199999915</v>
      </c>
      <c r="AJ25" s="170">
        <v>-0.54364769999999296</v>
      </c>
      <c r="AK25" s="170">
        <v>0</v>
      </c>
      <c r="AL25" s="170">
        <f t="shared" ref="AL25" si="80">SUM(AI25:AK25)</f>
        <v>-2.6278000000146129E-4</v>
      </c>
      <c r="AM25" s="170">
        <v>-0.62187499999999996</v>
      </c>
      <c r="AN25" s="170">
        <v>0</v>
      </c>
      <c r="AO25" s="170">
        <f t="shared" ref="AO25" si="81">SUM(AL25:AN25)</f>
        <v>-0.62213778000000142</v>
      </c>
      <c r="AP25" s="171">
        <f t="shared" si="67"/>
        <v>-1.1447576996371884E-3</v>
      </c>
      <c r="AQ25" s="131"/>
      <c r="AR25" s="170">
        <v>-0.69</v>
      </c>
      <c r="AS25" s="171">
        <f t="shared" si="68"/>
        <v>-1.2737777109317183E-3</v>
      </c>
      <c r="AT25" s="172">
        <f t="shared" si="69"/>
        <v>6.786221999999853E-2</v>
      </c>
      <c r="AU25" s="173">
        <f t="shared" si="70"/>
        <v>-9.8351043478258737E-2</v>
      </c>
      <c r="AV25" s="174"/>
      <c r="AW25" s="131"/>
      <c r="AX25" s="125">
        <v>-5.888428489999999</v>
      </c>
      <c r="AY25" s="125">
        <v>5.888428489999999</v>
      </c>
      <c r="AZ25" s="125">
        <v>0</v>
      </c>
      <c r="BA25" s="125">
        <v>0</v>
      </c>
      <c r="BB25" s="125">
        <v>0</v>
      </c>
      <c r="BC25" s="170">
        <f t="shared" ref="BC25" si="82">SUM(AX25:BB25)</f>
        <v>0</v>
      </c>
      <c r="BD25" s="125">
        <v>0.55265431000000009</v>
      </c>
      <c r="BE25" s="125">
        <v>0</v>
      </c>
      <c r="BF25" s="170">
        <f t="shared" ref="BF25" si="83">SUM(BC25:BE25)</f>
        <v>0.55265431000000009</v>
      </c>
      <c r="BG25" s="171">
        <f t="shared" si="73"/>
        <v>1.1973719929340649E-3</v>
      </c>
      <c r="BH25" s="172">
        <f>$AO25-BF25</f>
        <v>-1.1747920900000015</v>
      </c>
      <c r="BI25" s="173">
        <f t="shared" si="74"/>
        <v>-2.1257268218898018</v>
      </c>
      <c r="BJ25" s="174"/>
    </row>
    <row r="26" spans="2:64" x14ac:dyDescent="0.35">
      <c r="C26" s="140" t="s">
        <v>81</v>
      </c>
      <c r="D26" s="148"/>
      <c r="E26" s="141">
        <f>SUM(E24:E25)</f>
        <v>33.984615582229431</v>
      </c>
      <c r="F26" s="141">
        <f t="shared" ref="F26:K26" si="84">SUM(F24:F25)</f>
        <v>0</v>
      </c>
      <c r="G26" s="141">
        <f t="shared" si="84"/>
        <v>0</v>
      </c>
      <c r="H26" s="141">
        <f t="shared" si="84"/>
        <v>33.984615582229416</v>
      </c>
      <c r="I26" s="141">
        <f t="shared" si="84"/>
        <v>0</v>
      </c>
      <c r="J26" s="141">
        <f t="shared" si="84"/>
        <v>2.3283064365386962E-16</v>
      </c>
      <c r="K26" s="141">
        <f t="shared" si="84"/>
        <v>33.984615582229424</v>
      </c>
      <c r="L26" s="142">
        <f t="shared" si="59"/>
        <v>0.29880612592728323</v>
      </c>
      <c r="M26" s="148"/>
      <c r="N26" s="141">
        <f>N24+N25</f>
        <v>26.68337796847127</v>
      </c>
      <c r="O26" s="142">
        <f t="shared" si="60"/>
        <v>0.23598829266737215</v>
      </c>
      <c r="P26" s="143">
        <f t="shared" si="26"/>
        <v>7.3012376137581541</v>
      </c>
      <c r="Q26" s="144">
        <f t="shared" si="27"/>
        <v>0.27362493693209311</v>
      </c>
      <c r="R26" s="145">
        <f t="shared" si="61"/>
        <v>1</v>
      </c>
      <c r="S26" s="148"/>
      <c r="T26" s="141">
        <f t="shared" ref="T26:AB26" si="85">SUM(T24:T25)</f>
        <v>22.628938272156688</v>
      </c>
      <c r="U26" s="141">
        <f t="shared" si="85"/>
        <v>0</v>
      </c>
      <c r="V26" s="141">
        <f t="shared" si="85"/>
        <v>0</v>
      </c>
      <c r="W26" s="141">
        <f t="shared" si="85"/>
        <v>0</v>
      </c>
      <c r="X26" s="141">
        <f t="shared" si="85"/>
        <v>0</v>
      </c>
      <c r="Y26" s="141">
        <f t="shared" si="85"/>
        <v>22.628938272156699</v>
      </c>
      <c r="Z26" s="141">
        <f t="shared" si="85"/>
        <v>0</v>
      </c>
      <c r="AA26" s="141">
        <f t="shared" si="85"/>
        <v>0</v>
      </c>
      <c r="AB26" s="141">
        <f t="shared" si="85"/>
        <v>22.628938272156695</v>
      </c>
      <c r="AC26" s="142">
        <f t="shared" si="63"/>
        <v>0.23773503122291142</v>
      </c>
      <c r="AD26" s="143">
        <f t="shared" si="30"/>
        <v>11.355677310072728</v>
      </c>
      <c r="AE26" s="144">
        <f t="shared" si="64"/>
        <v>0.5018210387733959</v>
      </c>
      <c r="AF26" s="145">
        <f t="shared" si="65"/>
        <v>1</v>
      </c>
      <c r="AG26" s="94"/>
      <c r="AH26" s="140" t="s">
        <v>81</v>
      </c>
      <c r="AI26" s="141">
        <f>SUM(AI24:AI25)</f>
        <v>127.22498420264171</v>
      </c>
      <c r="AJ26" s="141">
        <f t="shared" ref="AJ26:AO26" si="86">SUM(AJ24:AJ25)</f>
        <v>0</v>
      </c>
      <c r="AK26" s="141">
        <f t="shared" si="86"/>
        <v>0</v>
      </c>
      <c r="AL26" s="141">
        <f t="shared" si="86"/>
        <v>127.22498420264169</v>
      </c>
      <c r="AM26" s="141">
        <f t="shared" si="86"/>
        <v>0</v>
      </c>
      <c r="AN26" s="141">
        <f t="shared" si="86"/>
        <v>3.4924596548080445E-16</v>
      </c>
      <c r="AO26" s="141">
        <f t="shared" si="86"/>
        <v>127.22498420264168</v>
      </c>
      <c r="AP26" s="142">
        <f t="shared" si="67"/>
        <v>0.23409891656506282</v>
      </c>
      <c r="AQ26" s="148"/>
      <c r="AR26" s="141">
        <f>AR24+AR25</f>
        <v>125.95426355243654</v>
      </c>
      <c r="AS26" s="142">
        <f t="shared" si="68"/>
        <v>0.23251845436219273</v>
      </c>
      <c r="AT26" s="143">
        <f t="shared" si="69"/>
        <v>1.2707206502051349</v>
      </c>
      <c r="AU26" s="144">
        <f t="shared" si="70"/>
        <v>1.0088746616156552E-2</v>
      </c>
      <c r="AV26" s="145">
        <f t="shared" ref="AV26:AV27" si="87">IF(AU26&gt;0.05,1,IF(AU26&lt;-0.05,-1,0))</f>
        <v>0</v>
      </c>
      <c r="AW26" s="148"/>
      <c r="AX26" s="141">
        <f t="shared" ref="AX26:BF26" si="88">SUM(AX24:AX25)</f>
        <v>99.668388303000128</v>
      </c>
      <c r="AY26" s="141">
        <f t="shared" si="88"/>
        <v>0</v>
      </c>
      <c r="AZ26" s="141">
        <f t="shared" si="88"/>
        <v>1.4210854715202004E-14</v>
      </c>
      <c r="BA26" s="141">
        <f t="shared" si="88"/>
        <v>0</v>
      </c>
      <c r="BB26" s="141">
        <f t="shared" si="88"/>
        <v>0</v>
      </c>
      <c r="BC26" s="141">
        <f t="shared" si="88"/>
        <v>99.6683883030001</v>
      </c>
      <c r="BD26" s="141">
        <f t="shared" si="88"/>
        <v>0</v>
      </c>
      <c r="BE26" s="141">
        <f t="shared" si="88"/>
        <v>0</v>
      </c>
      <c r="BF26" s="141">
        <f t="shared" si="88"/>
        <v>99.668388303000086</v>
      </c>
      <c r="BG26" s="142">
        <f t="shared" si="73"/>
        <v>0.21593993672986903</v>
      </c>
      <c r="BH26" s="143">
        <f t="shared" ref="BH26:BH42" si="89">$AO26-BF26</f>
        <v>27.556595899641593</v>
      </c>
      <c r="BI26" s="144">
        <f t="shared" si="74"/>
        <v>0.27648280832902894</v>
      </c>
      <c r="BJ26" s="145">
        <f t="shared" ref="BJ26:BJ27" si="90">IF(BI26&gt;0.05,1,IF(BI26&lt;-0.05,-1,0))</f>
        <v>1</v>
      </c>
    </row>
    <row r="27" spans="2:64" s="175" customFormat="1" x14ac:dyDescent="0.35">
      <c r="C27" s="176" t="s">
        <v>82</v>
      </c>
      <c r="D27" s="177"/>
      <c r="E27" s="126">
        <f>SUM(E28:E29)</f>
        <v>-8.731861556043274</v>
      </c>
      <c r="F27" s="126">
        <f t="shared" ref="F27:K27" si="91">SUM(F28:F29)</f>
        <v>0</v>
      </c>
      <c r="G27" s="126">
        <f t="shared" si="91"/>
        <v>0</v>
      </c>
      <c r="H27" s="126">
        <f t="shared" si="91"/>
        <v>-8.731861556043274</v>
      </c>
      <c r="I27" s="126">
        <f t="shared" si="91"/>
        <v>0</v>
      </c>
      <c r="J27" s="126">
        <f t="shared" si="91"/>
        <v>0</v>
      </c>
      <c r="K27" s="126">
        <f t="shared" si="91"/>
        <v>-8.731861556043274</v>
      </c>
      <c r="L27" s="178">
        <f t="shared" si="59"/>
        <v>-7.6773966072430352E-2</v>
      </c>
      <c r="M27" s="177"/>
      <c r="N27" s="126">
        <f>SUM(N28:N29)</f>
        <v>-8.8445773176137372</v>
      </c>
      <c r="O27" s="178">
        <f t="shared" si="60"/>
        <v>-7.8221606837577312E-2</v>
      </c>
      <c r="P27" s="179">
        <f t="shared" si="26"/>
        <v>0.11271576157046326</v>
      </c>
      <c r="Q27" s="138">
        <f t="shared" si="27"/>
        <v>-1.2744052940324546E-2</v>
      </c>
      <c r="R27" s="139"/>
      <c r="S27" s="177"/>
      <c r="T27" s="126">
        <f>SUM(T28:T29)</f>
        <v>-7.6700771300000028</v>
      </c>
      <c r="U27" s="126">
        <f t="shared" ref="U27:AB27" si="92">SUM(U28:U29)</f>
        <v>0</v>
      </c>
      <c r="V27" s="126">
        <f t="shared" si="92"/>
        <v>0</v>
      </c>
      <c r="W27" s="126">
        <f t="shared" si="92"/>
        <v>0</v>
      </c>
      <c r="X27" s="126">
        <f t="shared" si="92"/>
        <v>0</v>
      </c>
      <c r="Y27" s="126">
        <f t="shared" si="92"/>
        <v>-7.6700771300000028</v>
      </c>
      <c r="Z27" s="126">
        <f t="shared" si="92"/>
        <v>0</v>
      </c>
      <c r="AA27" s="126">
        <f t="shared" si="92"/>
        <v>0</v>
      </c>
      <c r="AB27" s="126">
        <f t="shared" si="92"/>
        <v>-7.6700771300000028</v>
      </c>
      <c r="AC27" s="178">
        <f t="shared" si="63"/>
        <v>-8.05802731021769E-2</v>
      </c>
      <c r="AD27" s="179">
        <f t="shared" si="30"/>
        <v>-1.0617844260432712</v>
      </c>
      <c r="AE27" s="138">
        <f t="shared" si="64"/>
        <v>0.13843204025814937</v>
      </c>
      <c r="AF27" s="139">
        <f t="shared" si="65"/>
        <v>1</v>
      </c>
      <c r="AG27" s="180"/>
      <c r="AH27" s="176"/>
      <c r="AI27" s="126">
        <f>SUM(AI28:AI29)</f>
        <v>-43.955697770216361</v>
      </c>
      <c r="AJ27" s="126">
        <f t="shared" ref="AJ27:AO27" si="93">SUM(AJ28:AJ29)</f>
        <v>0</v>
      </c>
      <c r="AK27" s="126">
        <f t="shared" si="93"/>
        <v>0</v>
      </c>
      <c r="AL27" s="126">
        <f t="shared" si="93"/>
        <v>-43.955697770216361</v>
      </c>
      <c r="AM27" s="126">
        <f t="shared" si="93"/>
        <v>0</v>
      </c>
      <c r="AN27" s="126">
        <f t="shared" si="93"/>
        <v>0</v>
      </c>
      <c r="AO27" s="126">
        <f t="shared" si="93"/>
        <v>-43.955697770216361</v>
      </c>
      <c r="AP27" s="178">
        <f t="shared" si="67"/>
        <v>-8.0880192592355127E-2</v>
      </c>
      <c r="AQ27" s="177"/>
      <c r="AR27" s="126">
        <f>SUM(AR28:AR29)</f>
        <v>-45.689140744247219</v>
      </c>
      <c r="AS27" s="178">
        <f t="shared" si="68"/>
        <v>-8.4344650886441053E-2</v>
      </c>
      <c r="AT27" s="179">
        <f t="shared" si="69"/>
        <v>1.7334429740308579</v>
      </c>
      <c r="AU27" s="138">
        <f t="shared" si="70"/>
        <v>-3.7939933774069012E-2</v>
      </c>
      <c r="AV27" s="139">
        <f t="shared" si="87"/>
        <v>0</v>
      </c>
      <c r="AW27" s="177"/>
      <c r="AX27" s="126">
        <f>SUM(AX28:AX29)</f>
        <v>-40.793178744340516</v>
      </c>
      <c r="AY27" s="126">
        <f t="shared" ref="AY27:BF27" si="94">SUM(AY28:AY29)</f>
        <v>0</v>
      </c>
      <c r="AZ27" s="126">
        <f t="shared" si="94"/>
        <v>0</v>
      </c>
      <c r="BA27" s="126">
        <f t="shared" si="94"/>
        <v>0</v>
      </c>
      <c r="BB27" s="126">
        <f t="shared" si="94"/>
        <v>0</v>
      </c>
      <c r="BC27" s="126">
        <f t="shared" si="94"/>
        <v>-40.793178744340516</v>
      </c>
      <c r="BD27" s="126">
        <f t="shared" si="94"/>
        <v>0</v>
      </c>
      <c r="BE27" s="126">
        <f t="shared" si="94"/>
        <v>0</v>
      </c>
      <c r="BF27" s="126">
        <f t="shared" si="94"/>
        <v>-40.793178744340516</v>
      </c>
      <c r="BG27" s="178">
        <f t="shared" si="73"/>
        <v>-8.8381848919673711E-2</v>
      </c>
      <c r="BH27" s="179">
        <f t="shared" si="89"/>
        <v>-3.1625190258758451</v>
      </c>
      <c r="BI27" s="138">
        <f t="shared" si="74"/>
        <v>7.7525682558253761E-2</v>
      </c>
      <c r="BJ27" s="139">
        <f t="shared" si="90"/>
        <v>1</v>
      </c>
    </row>
    <row r="28" spans="2:64" ht="14.15" hidden="1" customHeight="1" outlineLevel="1" x14ac:dyDescent="0.35">
      <c r="B28" t="s">
        <v>83</v>
      </c>
      <c r="C28" s="181" t="s">
        <v>84</v>
      </c>
      <c r="D28" s="148"/>
      <c r="E28" s="125">
        <v>-3.9002692560432739</v>
      </c>
      <c r="F28" s="125">
        <v>0</v>
      </c>
      <c r="G28" s="125">
        <v>0</v>
      </c>
      <c r="H28" s="125">
        <f t="shared" si="76"/>
        <v>-3.9002692560432739</v>
      </c>
      <c r="I28" s="125">
        <v>0</v>
      </c>
      <c r="J28" s="125">
        <v>0</v>
      </c>
      <c r="K28" s="125">
        <f t="shared" ref="K28:K35" si="95">SUM(H28:J28)</f>
        <v>-3.9002692560432739</v>
      </c>
      <c r="L28" s="154">
        <f t="shared" si="59"/>
        <v>-3.4292703522030683E-2</v>
      </c>
      <c r="M28" s="148"/>
      <c r="N28" s="125">
        <v>-3.8564283186474291</v>
      </c>
      <c r="O28" s="154">
        <f t="shared" si="60"/>
        <v>-3.4106324011414169E-2</v>
      </c>
      <c r="P28" s="155">
        <f t="shared" si="26"/>
        <v>-4.3840937395844826E-2</v>
      </c>
      <c r="Q28" s="156">
        <f t="shared" si="27"/>
        <v>1.1368274935606992E-2</v>
      </c>
      <c r="R28" s="157"/>
      <c r="S28" s="148"/>
      <c r="T28" s="125">
        <v>-2.5037259900000035</v>
      </c>
      <c r="U28" s="125">
        <v>0</v>
      </c>
      <c r="V28" s="125">
        <v>0</v>
      </c>
      <c r="W28" s="125">
        <v>0</v>
      </c>
      <c r="X28" s="125">
        <v>0</v>
      </c>
      <c r="Y28" s="125">
        <f t="shared" si="78"/>
        <v>-2.5037259900000035</v>
      </c>
      <c r="Z28" s="125">
        <v>0</v>
      </c>
      <c r="AA28" s="125">
        <v>0</v>
      </c>
      <c r="AB28" s="125">
        <f t="shared" ref="AB28:AB35" si="96">SUM(Y28:AA28)</f>
        <v>-2.5037259900000035</v>
      </c>
      <c r="AC28" s="154">
        <f t="shared" si="63"/>
        <v>-2.6303636929296229E-2</v>
      </c>
      <c r="AD28" s="155">
        <f t="shared" si="30"/>
        <v>-1.3965432660432704</v>
      </c>
      <c r="AE28" s="156">
        <f t="shared" si="64"/>
        <v>0.55778598441727589</v>
      </c>
      <c r="AF28" s="157"/>
      <c r="AG28" s="94"/>
      <c r="AH28" s="123" t="s">
        <v>82</v>
      </c>
      <c r="AI28" s="125">
        <v>-19.652629340216361</v>
      </c>
      <c r="AJ28" s="125">
        <v>0</v>
      </c>
      <c r="AK28" s="125">
        <v>0</v>
      </c>
      <c r="AL28" s="125">
        <f t="shared" ref="AL28:AL30" si="97">SUM(AI28:AK28)</f>
        <v>-19.652629340216361</v>
      </c>
      <c r="AM28" s="125">
        <v>0</v>
      </c>
      <c r="AN28" s="125">
        <v>0</v>
      </c>
      <c r="AO28" s="125">
        <f t="shared" ref="AO28:AO30" si="98">SUM(AL28:AN28)</f>
        <v>-19.652629340216361</v>
      </c>
      <c r="AP28" s="154">
        <f t="shared" si="67"/>
        <v>-3.6161601945035947E-2</v>
      </c>
      <c r="AQ28" s="148"/>
      <c r="AR28" s="125">
        <v>-19.727686132721963</v>
      </c>
      <c r="AS28" s="154">
        <f t="shared" si="68"/>
        <v>-3.6418386788576791E-2</v>
      </c>
      <c r="AT28" s="155">
        <f t="shared" si="69"/>
        <v>7.5056792505602488E-2</v>
      </c>
      <c r="AU28" s="156">
        <f t="shared" si="70"/>
        <v>-3.8046424705179271E-3</v>
      </c>
      <c r="AV28" s="157"/>
      <c r="AW28" s="148"/>
      <c r="AX28" s="125">
        <v>-15.198727533379758</v>
      </c>
      <c r="AY28" s="125">
        <v>0</v>
      </c>
      <c r="AZ28" s="125">
        <v>0</v>
      </c>
      <c r="BA28" s="125">
        <v>0</v>
      </c>
      <c r="BB28" s="125">
        <v>0</v>
      </c>
      <c r="BC28" s="125">
        <f t="shared" ref="BC28:BC30" si="99">SUM(AX28:BB28)</f>
        <v>-15.198727533379758</v>
      </c>
      <c r="BD28" s="125">
        <v>0</v>
      </c>
      <c r="BE28" s="125">
        <v>0</v>
      </c>
      <c r="BF28" s="125">
        <f t="shared" ref="BF28:BF30" si="100">SUM(BC28:BE28)</f>
        <v>-15.198727533379758</v>
      </c>
      <c r="BG28" s="154">
        <f t="shared" si="73"/>
        <v>-3.2929320096507994E-2</v>
      </c>
      <c r="BH28" s="155">
        <f t="shared" si="89"/>
        <v>-4.453901806836603</v>
      </c>
      <c r="BI28" s="156">
        <f t="shared" si="74"/>
        <v>0.29304438789726661</v>
      </c>
      <c r="BJ28" s="157"/>
    </row>
    <row r="29" spans="2:64" hidden="1" outlineLevel="1" x14ac:dyDescent="0.35">
      <c r="B29" t="s">
        <v>85</v>
      </c>
      <c r="C29" s="181" t="s">
        <v>86</v>
      </c>
      <c r="D29" s="148"/>
      <c r="E29" s="125">
        <v>-4.8315923000000005</v>
      </c>
      <c r="F29" s="125">
        <v>0</v>
      </c>
      <c r="G29" s="125">
        <v>0</v>
      </c>
      <c r="H29" s="125">
        <f t="shared" si="76"/>
        <v>-4.8315923000000005</v>
      </c>
      <c r="I29" s="125">
        <v>0</v>
      </c>
      <c r="J29" s="125">
        <v>0</v>
      </c>
      <c r="K29" s="125">
        <f t="shared" si="95"/>
        <v>-4.8315923000000005</v>
      </c>
      <c r="L29" s="154">
        <f t="shared" si="59"/>
        <v>-4.2481262550399676E-2</v>
      </c>
      <c r="M29" s="148"/>
      <c r="N29" s="125">
        <v>-4.9881489989663077</v>
      </c>
      <c r="O29" s="154">
        <f t="shared" si="60"/>
        <v>-4.4115282826163137E-2</v>
      </c>
      <c r="P29" s="155">
        <f t="shared" si="26"/>
        <v>0.1565566989663072</v>
      </c>
      <c r="Q29" s="156">
        <f t="shared" si="27"/>
        <v>-3.1385730257606603E-2</v>
      </c>
      <c r="R29" s="157"/>
      <c r="S29" s="148"/>
      <c r="T29" s="125">
        <v>-5.1663511399999997</v>
      </c>
      <c r="U29" s="125">
        <v>0</v>
      </c>
      <c r="V29" s="125">
        <v>0</v>
      </c>
      <c r="W29" s="125">
        <v>0</v>
      </c>
      <c r="X29" s="125">
        <v>0</v>
      </c>
      <c r="Y29" s="125">
        <f t="shared" si="78"/>
        <v>-5.1663511399999997</v>
      </c>
      <c r="Z29" s="125">
        <v>0</v>
      </c>
      <c r="AA29" s="125">
        <v>0</v>
      </c>
      <c r="AB29" s="125">
        <f t="shared" si="96"/>
        <v>-5.1663511399999997</v>
      </c>
      <c r="AC29" s="154">
        <f t="shared" si="63"/>
        <v>-5.4276636172880671E-2</v>
      </c>
      <c r="AD29" s="155">
        <f t="shared" si="30"/>
        <v>0.33475883999999922</v>
      </c>
      <c r="AE29" s="156">
        <f t="shared" si="64"/>
        <v>-6.479599061863206E-2</v>
      </c>
      <c r="AF29" s="157"/>
      <c r="AG29" s="94"/>
      <c r="AH29" s="123" t="s">
        <v>86</v>
      </c>
      <c r="AI29" s="125">
        <v>-24.303068430000003</v>
      </c>
      <c r="AJ29" s="125">
        <v>0</v>
      </c>
      <c r="AK29" s="125">
        <v>0</v>
      </c>
      <c r="AL29" s="125">
        <f t="shared" si="97"/>
        <v>-24.303068430000003</v>
      </c>
      <c r="AM29" s="125">
        <v>0</v>
      </c>
      <c r="AN29" s="125">
        <v>0</v>
      </c>
      <c r="AO29" s="125">
        <f t="shared" si="98"/>
        <v>-24.303068430000003</v>
      </c>
      <c r="AP29" s="154">
        <f t="shared" si="67"/>
        <v>-4.471859064731918E-2</v>
      </c>
      <c r="AQ29" s="148"/>
      <c r="AR29" s="125">
        <v>-25.961454611525255</v>
      </c>
      <c r="AS29" s="154">
        <f t="shared" si="68"/>
        <v>-4.7926264097864268E-2</v>
      </c>
      <c r="AT29" s="155">
        <f t="shared" si="69"/>
        <v>1.6583861815252519</v>
      </c>
      <c r="AU29" s="156">
        <f t="shared" si="70"/>
        <v>-6.3878785158248852E-2</v>
      </c>
      <c r="AV29" s="157"/>
      <c r="AW29" s="148"/>
      <c r="AX29" s="125">
        <v>-25.594451210960759</v>
      </c>
      <c r="AY29" s="125">
        <v>0</v>
      </c>
      <c r="AZ29" s="125">
        <v>0</v>
      </c>
      <c r="BA29" s="125">
        <v>0</v>
      </c>
      <c r="BB29" s="125">
        <v>0</v>
      </c>
      <c r="BC29" s="125">
        <f t="shared" si="99"/>
        <v>-25.594451210960759</v>
      </c>
      <c r="BD29" s="125">
        <v>0</v>
      </c>
      <c r="BE29" s="125">
        <v>0</v>
      </c>
      <c r="BF29" s="125">
        <f t="shared" si="100"/>
        <v>-25.594451210960759</v>
      </c>
      <c r="BG29" s="154">
        <f t="shared" si="73"/>
        <v>-5.5452528823165724E-2</v>
      </c>
      <c r="BH29" s="155">
        <f t="shared" si="89"/>
        <v>1.2913827809607561</v>
      </c>
      <c r="BI29" s="156">
        <f t="shared" si="74"/>
        <v>-5.045557610579765E-2</v>
      </c>
      <c r="BJ29" s="157"/>
    </row>
    <row r="30" spans="2:64" s="175" customFormat="1" collapsed="1" x14ac:dyDescent="0.35">
      <c r="B30" t="s">
        <v>87</v>
      </c>
      <c r="C30" s="176" t="s">
        <v>88</v>
      </c>
      <c r="D30" s="177"/>
      <c r="E30" s="126">
        <v>-0.74368261008494974</v>
      </c>
      <c r="F30" s="126">
        <v>0</v>
      </c>
      <c r="G30" s="126">
        <v>0</v>
      </c>
      <c r="H30" s="126">
        <f t="shared" si="76"/>
        <v>-0.74368261008494974</v>
      </c>
      <c r="I30" s="126">
        <v>0</v>
      </c>
      <c r="J30" s="126">
        <v>0</v>
      </c>
      <c r="K30" s="126">
        <f t="shared" si="95"/>
        <v>-0.74368261008494974</v>
      </c>
      <c r="L30" s="178">
        <f t="shared" si="59"/>
        <v>-6.538750426683405E-3</v>
      </c>
      <c r="M30" s="177"/>
      <c r="N30" s="126">
        <v>-1.478177065575643</v>
      </c>
      <c r="O30" s="178">
        <f t="shared" si="60"/>
        <v>-1.3073025550866839E-2</v>
      </c>
      <c r="P30" s="179">
        <f t="shared" si="26"/>
        <v>0.73449445549069325</v>
      </c>
      <c r="Q30" s="138">
        <f t="shared" si="27"/>
        <v>-0.49689206563671096</v>
      </c>
      <c r="R30" s="139"/>
      <c r="S30" s="177"/>
      <c r="T30" s="126">
        <v>-3.2063321020000402</v>
      </c>
      <c r="U30" s="126">
        <v>0</v>
      </c>
      <c r="V30" s="126">
        <v>0</v>
      </c>
      <c r="W30" s="126">
        <v>0</v>
      </c>
      <c r="X30" s="126">
        <v>0</v>
      </c>
      <c r="Y30" s="126">
        <f t="shared" si="78"/>
        <v>-3.2063321020000402</v>
      </c>
      <c r="Z30" s="126">
        <v>0</v>
      </c>
      <c r="AA30" s="126">
        <v>0</v>
      </c>
      <c r="AB30" s="126">
        <f t="shared" si="96"/>
        <v>-3.2063321020000402</v>
      </c>
      <c r="AC30" s="178">
        <f t="shared" si="63"/>
        <v>-3.368507409461214E-2</v>
      </c>
      <c r="AD30" s="179">
        <f t="shared" si="30"/>
        <v>2.4626494919150903</v>
      </c>
      <c r="AE30" s="138">
        <f t="shared" si="64"/>
        <v>-0.76805814668385208</v>
      </c>
      <c r="AF30" s="139"/>
      <c r="AG30" s="180"/>
      <c r="AH30" s="176" t="s">
        <v>88</v>
      </c>
      <c r="AI30" s="126">
        <v>-5.2624089904247366</v>
      </c>
      <c r="AJ30" s="126">
        <v>0</v>
      </c>
      <c r="AK30" s="126">
        <v>0</v>
      </c>
      <c r="AL30" s="126">
        <f t="shared" si="97"/>
        <v>-5.2624089904247366</v>
      </c>
      <c r="AM30" s="126">
        <v>0</v>
      </c>
      <c r="AN30" s="126">
        <v>0</v>
      </c>
      <c r="AO30" s="126">
        <f t="shared" si="98"/>
        <v>-5.2624089904247366</v>
      </c>
      <c r="AP30" s="178">
        <f t="shared" si="67"/>
        <v>-9.6830371086428276E-3</v>
      </c>
      <c r="AQ30" s="177"/>
      <c r="AR30" s="126">
        <v>-8.0803087526739041</v>
      </c>
      <c r="AS30" s="178">
        <f t="shared" si="68"/>
        <v>-1.4916691574786223E-2</v>
      </c>
      <c r="AT30" s="179">
        <f t="shared" si="69"/>
        <v>2.8178997622491675</v>
      </c>
      <c r="AU30" s="138">
        <f t="shared" si="70"/>
        <v>-0.34873664466307419</v>
      </c>
      <c r="AV30" s="139"/>
      <c r="AW30" s="177"/>
      <c r="AX30" s="126">
        <v>-10.368244812000402</v>
      </c>
      <c r="AY30" s="126">
        <v>0</v>
      </c>
      <c r="AZ30" s="126">
        <v>0</v>
      </c>
      <c r="BA30" s="126">
        <v>0</v>
      </c>
      <c r="BB30" s="126">
        <v>0</v>
      </c>
      <c r="BC30" s="126">
        <f t="shared" si="99"/>
        <v>-10.368244812000402</v>
      </c>
      <c r="BD30" s="126">
        <v>0</v>
      </c>
      <c r="BE30" s="126">
        <v>0</v>
      </c>
      <c r="BF30" s="126">
        <f t="shared" si="100"/>
        <v>-10.368244812000402</v>
      </c>
      <c r="BG30" s="178">
        <f t="shared" si="73"/>
        <v>-2.2463673455786849E-2</v>
      </c>
      <c r="BH30" s="179">
        <f t="shared" si="89"/>
        <v>5.1058358215756652</v>
      </c>
      <c r="BI30" s="138">
        <f t="shared" si="74"/>
        <v>-0.4924493888942586</v>
      </c>
      <c r="BJ30" s="139"/>
    </row>
    <row r="31" spans="2:64" hidden="1" outlineLevel="1" x14ac:dyDescent="0.35">
      <c r="C31" s="181" t="s">
        <v>89</v>
      </c>
      <c r="D31" s="148"/>
      <c r="E31" s="125"/>
      <c r="F31" s="125"/>
      <c r="G31" s="125"/>
      <c r="H31" s="125"/>
      <c r="I31" s="125"/>
      <c r="J31" s="125"/>
      <c r="K31" s="125">
        <v>2.7418116800000005</v>
      </c>
      <c r="L31" s="154">
        <f t="shared" si="59"/>
        <v>2.4107088224689908E-2</v>
      </c>
      <c r="M31" s="148"/>
      <c r="N31" s="125">
        <v>1.1928444015241368</v>
      </c>
      <c r="O31" s="154">
        <f t="shared" si="60"/>
        <v>1.0549538145662365E-2</v>
      </c>
      <c r="P31" s="155">
        <f t="shared" si="26"/>
        <v>1.5489672784758637</v>
      </c>
      <c r="Q31" s="156">
        <f t="shared" si="27"/>
        <v>1.2985493133024701</v>
      </c>
      <c r="R31" s="157"/>
      <c r="S31" s="148"/>
      <c r="T31" s="125"/>
      <c r="U31" s="125"/>
      <c r="V31" s="125"/>
      <c r="W31" s="125"/>
      <c r="X31" s="125"/>
      <c r="Y31" s="125"/>
      <c r="Z31" s="125"/>
      <c r="AA31" s="125"/>
      <c r="AB31" s="125">
        <v>0.99911402000000027</v>
      </c>
      <c r="AC31" s="154">
        <f t="shared" si="63"/>
        <v>1.0496489047928756E-2</v>
      </c>
      <c r="AD31" s="155">
        <f t="shared" si="30"/>
        <v>1.7426976600000001</v>
      </c>
      <c r="AE31" s="156">
        <f t="shared" si="64"/>
        <v>1.7442430244347884</v>
      </c>
      <c r="AF31" s="157"/>
      <c r="AG31" s="94"/>
      <c r="AH31" s="123"/>
      <c r="AI31" s="125"/>
      <c r="AJ31" s="125"/>
      <c r="AK31" s="125"/>
      <c r="AL31" s="125"/>
      <c r="AM31" s="125"/>
      <c r="AN31" s="125"/>
      <c r="AO31" s="125">
        <v>17.13997153</v>
      </c>
      <c r="AP31" s="154">
        <f>IFERROR(AO31/AO$9,0)</f>
        <v>3.1538213899386817E-2</v>
      </c>
      <c r="AQ31" s="148"/>
      <c r="AR31" s="125">
        <v>6.0266249196256876</v>
      </c>
      <c r="AS31" s="154">
        <f>IFERROR(AR31/AR$9,0)</f>
        <v>1.1125478977920086E-2</v>
      </c>
      <c r="AT31" s="155">
        <f>AO31-AR31</f>
        <v>11.113346610374313</v>
      </c>
      <c r="AU31" s="156">
        <f>IFERROR(AO31/AR31-1,"")</f>
        <v>1.8440415254952618</v>
      </c>
      <c r="AV31" s="157"/>
      <c r="AW31" s="148"/>
      <c r="AX31" s="125"/>
      <c r="AY31" s="125"/>
      <c r="AZ31" s="125"/>
      <c r="BA31" s="125"/>
      <c r="BB31" s="125"/>
      <c r="BC31" s="125"/>
      <c r="BD31" s="125"/>
      <c r="BE31" s="125"/>
      <c r="BF31" s="125">
        <v>9.9846334800000012</v>
      </c>
      <c r="BG31" s="154">
        <f t="shared" si="73"/>
        <v>2.1632547276549396E-2</v>
      </c>
      <c r="BH31" s="155">
        <f>$AO31-BF31</f>
        <v>7.1553380499999992</v>
      </c>
      <c r="BI31" s="156">
        <f>IFERROR(AO31/BF31-1,"")</f>
        <v>0.71663502364234999</v>
      </c>
      <c r="BJ31" s="157"/>
    </row>
    <row r="32" spans="2:64" hidden="1" outlineLevel="1" x14ac:dyDescent="0.35">
      <c r="C32" s="181" t="s">
        <v>90</v>
      </c>
      <c r="D32" s="148"/>
      <c r="E32" s="125"/>
      <c r="F32" s="125"/>
      <c r="G32" s="125"/>
      <c r="H32" s="125"/>
      <c r="I32" s="125"/>
      <c r="J32" s="125"/>
      <c r="K32" s="125">
        <v>-3.4471245399999999</v>
      </c>
      <c r="L32" s="154">
        <f t="shared" si="59"/>
        <v>-3.0308476695698371E-2</v>
      </c>
      <c r="M32" s="148"/>
      <c r="N32" s="125">
        <v>-2.6710214670997798</v>
      </c>
      <c r="O32" s="154">
        <f t="shared" si="60"/>
        <v>-2.3622563696529205E-2</v>
      </c>
      <c r="P32" s="155">
        <f t="shared" si="26"/>
        <v>-0.77610307290022007</v>
      </c>
      <c r="Q32" s="156">
        <f t="shared" si="27"/>
        <v>0.2905641465109301</v>
      </c>
      <c r="R32" s="157"/>
      <c r="S32" s="148"/>
      <c r="T32" s="125"/>
      <c r="U32" s="125"/>
      <c r="V32" s="125"/>
      <c r="W32" s="125"/>
      <c r="X32" s="125"/>
      <c r="Y32" s="125"/>
      <c r="Z32" s="125"/>
      <c r="AA32" s="125"/>
      <c r="AB32" s="125">
        <v>-4.2054469000000001</v>
      </c>
      <c r="AC32" s="154">
        <f t="shared" si="63"/>
        <v>-4.4181571316050522E-2</v>
      </c>
      <c r="AD32" s="155">
        <f t="shared" si="30"/>
        <v>0.7583223600000002</v>
      </c>
      <c r="AE32" s="156">
        <f t="shared" si="64"/>
        <v>-0.18031909046337025</v>
      </c>
      <c r="AF32" s="157"/>
      <c r="AG32" s="94"/>
      <c r="AH32" s="123"/>
      <c r="AI32" s="125"/>
      <c r="AJ32" s="125"/>
      <c r="AK32" s="125"/>
      <c r="AL32" s="125"/>
      <c r="AM32" s="125"/>
      <c r="AN32" s="125"/>
      <c r="AO32" s="125">
        <v>-22.364280469999997</v>
      </c>
      <c r="AP32" s="154">
        <f>IFERROR(AO32/AO$9,0)</f>
        <v>-4.1151145434180254E-2</v>
      </c>
      <c r="AQ32" s="148"/>
      <c r="AR32" s="125">
        <v>-14.106933672299586</v>
      </c>
      <c r="AS32" s="154">
        <f>IFERROR(AR32/AR$9,0)</f>
        <v>-2.6042170552706301E-2</v>
      </c>
      <c r="AT32" s="155">
        <f>AO32-AR32</f>
        <v>-8.2573467977004107</v>
      </c>
      <c r="AU32" s="156">
        <f>IFERROR(AO32/AR32-1,"")</f>
        <v>0.58533959182884376</v>
      </c>
      <c r="AV32" s="157"/>
      <c r="AW32" s="148"/>
      <c r="AX32" s="125"/>
      <c r="AY32" s="125"/>
      <c r="AZ32" s="125"/>
      <c r="BA32" s="125"/>
      <c r="BB32" s="125"/>
      <c r="BC32" s="125"/>
      <c r="BD32" s="125"/>
      <c r="BE32" s="125"/>
      <c r="BF32" s="125">
        <v>-20.368833210000002</v>
      </c>
      <c r="BG32" s="154">
        <f t="shared" si="73"/>
        <v>-4.4130788402607882E-2</v>
      </c>
      <c r="BH32" s="155">
        <f>$AO32-BF32</f>
        <v>-1.9954472599999953</v>
      </c>
      <c r="BI32" s="156">
        <f>IFERROR(AO32/BF32-1,"")</f>
        <v>9.7965712587814613E-2</v>
      </c>
      <c r="BJ32" s="157"/>
    </row>
    <row r="33" spans="2:62" s="175" customFormat="1" collapsed="1" x14ac:dyDescent="0.35">
      <c r="C33" s="176" t="s">
        <v>91</v>
      </c>
      <c r="D33" s="177"/>
      <c r="E33" s="126">
        <f>SUM(E34:E35)</f>
        <v>-5.7406935284390901</v>
      </c>
      <c r="F33" s="126">
        <f t="shared" ref="F33:K33" si="101">SUM(F34:F35)</f>
        <v>0</v>
      </c>
      <c r="G33" s="126">
        <f t="shared" si="101"/>
        <v>0</v>
      </c>
      <c r="H33" s="126">
        <f t="shared" si="101"/>
        <v>-5.7406935284390901</v>
      </c>
      <c r="I33" s="126">
        <f t="shared" si="101"/>
        <v>0</v>
      </c>
      <c r="J33" s="126">
        <f t="shared" si="101"/>
        <v>0</v>
      </c>
      <c r="K33" s="126">
        <f t="shared" si="101"/>
        <v>-5.7406935284390901</v>
      </c>
      <c r="L33" s="178">
        <f t="shared" si="59"/>
        <v>-5.0474438624095265E-2</v>
      </c>
      <c r="M33" s="177"/>
      <c r="N33" s="126">
        <f t="shared" ref="N33" si="102">SUM(N34:N35)</f>
        <v>-7.4642437402051192</v>
      </c>
      <c r="O33" s="178">
        <f t="shared" si="60"/>
        <v>-6.6013910921827845E-2</v>
      </c>
      <c r="P33" s="179">
        <f t="shared" si="26"/>
        <v>1.7235502117660291</v>
      </c>
      <c r="Q33" s="138">
        <f t="shared" si="27"/>
        <v>-0.23090754693370519</v>
      </c>
      <c r="R33" s="139"/>
      <c r="S33" s="177"/>
      <c r="T33" s="126">
        <f t="shared" ref="T33:AB33" si="103">SUM(T34:T35)</f>
        <v>-14.041346439999998</v>
      </c>
      <c r="U33" s="126">
        <f t="shared" si="103"/>
        <v>0</v>
      </c>
      <c r="V33" s="126">
        <f t="shared" si="103"/>
        <v>0</v>
      </c>
      <c r="W33" s="126">
        <f t="shared" si="103"/>
        <v>0</v>
      </c>
      <c r="X33" s="126">
        <f t="shared" si="103"/>
        <v>0</v>
      </c>
      <c r="Y33" s="126">
        <f t="shared" si="103"/>
        <v>-14.041346439999998</v>
      </c>
      <c r="Z33" s="126">
        <f t="shared" si="103"/>
        <v>0</v>
      </c>
      <c r="AA33" s="126">
        <f t="shared" si="103"/>
        <v>0</v>
      </c>
      <c r="AB33" s="126">
        <f t="shared" si="103"/>
        <v>-14.041346439999998</v>
      </c>
      <c r="AC33" s="178">
        <f t="shared" si="63"/>
        <v>-0.14751553493927885</v>
      </c>
      <c r="AD33" s="179">
        <f t="shared" si="30"/>
        <v>8.300652911560908</v>
      </c>
      <c r="AE33" s="138">
        <f t="shared" si="64"/>
        <v>-0.5911579026292374</v>
      </c>
      <c r="AF33" s="139"/>
      <c r="AG33" s="180"/>
      <c r="AH33" s="176"/>
      <c r="AI33" s="126">
        <f t="shared" ref="AI33:AO33" si="104">SUM(AI34:AI35)</f>
        <v>-28.282652492195453</v>
      </c>
      <c r="AJ33" s="126">
        <f t="shared" si="104"/>
        <v>0</v>
      </c>
      <c r="AK33" s="126">
        <f t="shared" si="104"/>
        <v>0</v>
      </c>
      <c r="AL33" s="126">
        <f t="shared" si="104"/>
        <v>-28.282652492195453</v>
      </c>
      <c r="AM33" s="126">
        <f t="shared" si="104"/>
        <v>0</v>
      </c>
      <c r="AN33" s="126">
        <f t="shared" si="104"/>
        <v>0</v>
      </c>
      <c r="AO33" s="126">
        <f t="shared" si="104"/>
        <v>-28.282652492195453</v>
      </c>
      <c r="AP33" s="178">
        <f t="shared" si="67"/>
        <v>-5.2041180020611491E-2</v>
      </c>
      <c r="AQ33" s="177"/>
      <c r="AR33" s="126">
        <f t="shared" ref="AR33" si="105">SUM(AR34:AR35)</f>
        <v>-35.778353468472488</v>
      </c>
      <c r="AS33" s="178">
        <f t="shared" ref="AS33" si="106">IFERROR(AR33/AR$9,0)</f>
        <v>-6.6048795915908398E-2</v>
      </c>
      <c r="AT33" s="179">
        <f t="shared" ref="AT33" si="107">AO33-AR33</f>
        <v>7.4957009762770355</v>
      </c>
      <c r="AU33" s="138">
        <f t="shared" ref="AU33" si="108">IFERROR(AO33/AR33-1,"")</f>
        <v>-0.20950379907454852</v>
      </c>
      <c r="AV33" s="139"/>
      <c r="AW33" s="177"/>
      <c r="AX33" s="126">
        <f t="shared" ref="AX33:BF33" si="109">SUM(AX34:AX35)</f>
        <v>-23.010914780000007</v>
      </c>
      <c r="AY33" s="126">
        <f t="shared" si="109"/>
        <v>0</v>
      </c>
      <c r="AZ33" s="126">
        <f t="shared" si="109"/>
        <v>0</v>
      </c>
      <c r="BA33" s="126">
        <f t="shared" si="109"/>
        <v>0</v>
      </c>
      <c r="BB33" s="126">
        <f t="shared" si="109"/>
        <v>0</v>
      </c>
      <c r="BC33" s="126">
        <f t="shared" si="109"/>
        <v>-23.010914780000007</v>
      </c>
      <c r="BD33" s="126">
        <f t="shared" si="109"/>
        <v>0</v>
      </c>
      <c r="BE33" s="126">
        <f t="shared" si="109"/>
        <v>0</v>
      </c>
      <c r="BF33" s="126">
        <f t="shared" si="109"/>
        <v>-23.010914780000007</v>
      </c>
      <c r="BG33" s="178">
        <f t="shared" si="73"/>
        <v>-4.9855080094036594E-2</v>
      </c>
      <c r="BH33" s="179">
        <f t="shared" ref="BH33" si="110">$AO33-BF33</f>
        <v>-5.2717377121954456</v>
      </c>
      <c r="BI33" s="138">
        <f t="shared" ref="BI33" si="111">IFERROR(AO33/BF33-1,"")</f>
        <v>0.22909726808329189</v>
      </c>
      <c r="BJ33" s="139"/>
    </row>
    <row r="34" spans="2:62" hidden="1" outlineLevel="1" x14ac:dyDescent="0.35">
      <c r="B34" t="s">
        <v>92</v>
      </c>
      <c r="C34" s="181" t="s">
        <v>93</v>
      </c>
      <c r="D34" s="148"/>
      <c r="E34" s="125">
        <v>-5.1142733384390899</v>
      </c>
      <c r="F34" s="125">
        <v>0</v>
      </c>
      <c r="G34" s="125">
        <v>0</v>
      </c>
      <c r="H34" s="125">
        <f t="shared" si="76"/>
        <v>-5.1142733384390899</v>
      </c>
      <c r="I34" s="125">
        <v>0</v>
      </c>
      <c r="J34" s="125">
        <v>0</v>
      </c>
      <c r="K34" s="125">
        <f t="shared" si="95"/>
        <v>-5.1142733384390899</v>
      </c>
      <c r="L34" s="154">
        <f t="shared" si="59"/>
        <v>-4.496670558166508E-2</v>
      </c>
      <c r="M34" s="148"/>
      <c r="N34" s="125">
        <v>-5.401682461924616</v>
      </c>
      <c r="O34" s="154">
        <f t="shared" si="60"/>
        <v>-4.7772580489137711E-2</v>
      </c>
      <c r="P34" s="155">
        <f t="shared" si="26"/>
        <v>0.28740912348552605</v>
      </c>
      <c r="Q34" s="156">
        <f t="shared" si="27"/>
        <v>-5.3207334105885629E-2</v>
      </c>
      <c r="R34" s="157"/>
      <c r="S34" s="148"/>
      <c r="T34" s="125">
        <v>-5.7813332099999988</v>
      </c>
      <c r="U34" s="125">
        <v>0</v>
      </c>
      <c r="V34" s="125">
        <v>0</v>
      </c>
      <c r="W34" s="125">
        <v>0</v>
      </c>
      <c r="X34" s="125">
        <v>0</v>
      </c>
      <c r="Y34" s="125">
        <f t="shared" ref="Y34:Y42" si="112">SUM(T34:X34)</f>
        <v>-5.7813332099999988</v>
      </c>
      <c r="Z34" s="125">
        <v>0</v>
      </c>
      <c r="AA34" s="125">
        <v>0</v>
      </c>
      <c r="AB34" s="125">
        <f t="shared" si="96"/>
        <v>-5.7813332099999988</v>
      </c>
      <c r="AC34" s="154">
        <f t="shared" si="63"/>
        <v>-6.0737512942908925E-2</v>
      </c>
      <c r="AD34" s="155">
        <f t="shared" si="30"/>
        <v>0.66705987156090885</v>
      </c>
      <c r="AE34" s="156">
        <f t="shared" si="64"/>
        <v>-0.11538166843715081</v>
      </c>
      <c r="AF34" s="157"/>
      <c r="AG34" s="94"/>
      <c r="AH34" s="123" t="s">
        <v>91</v>
      </c>
      <c r="AI34" s="125">
        <v>-17.499857852195451</v>
      </c>
      <c r="AJ34" s="125">
        <v>0</v>
      </c>
      <c r="AK34" s="125">
        <v>0</v>
      </c>
      <c r="AL34" s="125">
        <f t="shared" ref="AL34:AL35" si="113">SUM(AI34:AK34)</f>
        <v>-17.499857852195451</v>
      </c>
      <c r="AM34" s="125">
        <v>0</v>
      </c>
      <c r="AN34" s="125">
        <v>0</v>
      </c>
      <c r="AO34" s="125">
        <f t="shared" ref="AO34:AO35" si="114">SUM(AL34:AN34)</f>
        <v>-17.499857852195451</v>
      </c>
      <c r="AP34" s="154">
        <f t="shared" si="67"/>
        <v>-3.2200418722130988E-2</v>
      </c>
      <c r="AQ34" s="148"/>
      <c r="AR34" s="125">
        <v>-25.486149924570512</v>
      </c>
      <c r="AS34" s="154">
        <f t="shared" si="68"/>
        <v>-4.7048825668669587E-2</v>
      </c>
      <c r="AT34" s="155">
        <f t="shared" si="69"/>
        <v>7.9862920723750612</v>
      </c>
      <c r="AU34" s="156">
        <f t="shared" si="70"/>
        <v>-0.31335812180386224</v>
      </c>
      <c r="AV34" s="157"/>
      <c r="AW34" s="148"/>
      <c r="AX34" s="125">
        <v>-17.445239430000004</v>
      </c>
      <c r="AY34" s="125">
        <v>0</v>
      </c>
      <c r="AZ34" s="125">
        <v>0</v>
      </c>
      <c r="BA34" s="125">
        <v>0</v>
      </c>
      <c r="BB34" s="125">
        <v>0</v>
      </c>
      <c r="BC34" s="125">
        <f t="shared" ref="BC34:BC35" si="115">SUM(AX34:BB34)</f>
        <v>-17.445239430000004</v>
      </c>
      <c r="BD34" s="125">
        <v>0</v>
      </c>
      <c r="BE34" s="125">
        <v>0</v>
      </c>
      <c r="BF34" s="125">
        <f t="shared" ref="BF34:BF35" si="116">SUM(BC34:BE34)</f>
        <v>-17.445239430000004</v>
      </c>
      <c r="BG34" s="154">
        <f t="shared" si="73"/>
        <v>-3.7796576857441012E-2</v>
      </c>
      <c r="BH34" s="155">
        <f t="shared" si="89"/>
        <v>-5.4618422195446215E-2</v>
      </c>
      <c r="BI34" s="156">
        <f t="shared" si="74"/>
        <v>3.1308496747555203E-3</v>
      </c>
      <c r="BJ34" s="157"/>
    </row>
    <row r="35" spans="2:62" hidden="1" outlineLevel="1" x14ac:dyDescent="0.35">
      <c r="B35" t="s">
        <v>94</v>
      </c>
      <c r="C35" s="181" t="s">
        <v>95</v>
      </c>
      <c r="D35" s="124"/>
      <c r="E35" s="125">
        <v>-0.62642019000000004</v>
      </c>
      <c r="F35" s="125">
        <v>0</v>
      </c>
      <c r="G35" s="125">
        <v>0</v>
      </c>
      <c r="H35" s="125">
        <f t="shared" si="76"/>
        <v>-0.62642019000000004</v>
      </c>
      <c r="I35" s="125">
        <v>0</v>
      </c>
      <c r="J35" s="125">
        <v>0</v>
      </c>
      <c r="K35" s="125">
        <f t="shared" si="95"/>
        <v>-0.62642019000000004</v>
      </c>
      <c r="L35" s="154">
        <f t="shared" si="59"/>
        <v>-5.5077330424301834E-3</v>
      </c>
      <c r="M35" s="124"/>
      <c r="N35" s="125">
        <v>-2.0625612782805032</v>
      </c>
      <c r="O35" s="154">
        <f t="shared" si="60"/>
        <v>-1.8241330432690141E-2</v>
      </c>
      <c r="P35" s="155">
        <f t="shared" si="26"/>
        <v>1.436141088280503</v>
      </c>
      <c r="Q35" s="156">
        <f t="shared" si="27"/>
        <v>-0.69629014342680362</v>
      </c>
      <c r="R35" s="157"/>
      <c r="S35" s="124"/>
      <c r="T35" s="125">
        <v>-8.2600132300000002</v>
      </c>
      <c r="U35" s="125">
        <v>0</v>
      </c>
      <c r="V35" s="125">
        <v>0</v>
      </c>
      <c r="W35" s="125">
        <v>0</v>
      </c>
      <c r="X35" s="125">
        <v>0</v>
      </c>
      <c r="Y35" s="125">
        <f t="shared" si="112"/>
        <v>-8.2600132300000002</v>
      </c>
      <c r="Z35" s="125">
        <v>0</v>
      </c>
      <c r="AA35" s="125">
        <v>0</v>
      </c>
      <c r="AB35" s="125">
        <f t="shared" si="96"/>
        <v>-8.2600132300000002</v>
      </c>
      <c r="AC35" s="154">
        <f t="shared" si="63"/>
        <v>-8.6778021996369956E-2</v>
      </c>
      <c r="AD35" s="155">
        <f t="shared" si="30"/>
        <v>7.6335930400000001</v>
      </c>
      <c r="AE35" s="156">
        <f t="shared" si="64"/>
        <v>-0.92416232606930093</v>
      </c>
      <c r="AF35" s="157"/>
      <c r="AG35" s="94"/>
      <c r="AH35" s="123" t="s">
        <v>96</v>
      </c>
      <c r="AI35" s="125">
        <v>-10.782794640000004</v>
      </c>
      <c r="AJ35" s="125">
        <v>0</v>
      </c>
      <c r="AK35" s="125">
        <v>0</v>
      </c>
      <c r="AL35" s="125">
        <f t="shared" si="113"/>
        <v>-10.782794640000004</v>
      </c>
      <c r="AM35" s="125">
        <v>0</v>
      </c>
      <c r="AN35" s="125">
        <v>0</v>
      </c>
      <c r="AO35" s="125">
        <f t="shared" si="114"/>
        <v>-10.782794640000004</v>
      </c>
      <c r="AP35" s="154">
        <f t="shared" si="67"/>
        <v>-1.9840761298480513E-2</v>
      </c>
      <c r="AQ35" s="124"/>
      <c r="AR35" s="125">
        <v>-10.292203543901978</v>
      </c>
      <c r="AS35" s="154">
        <f t="shared" si="68"/>
        <v>-1.8999970247238814E-2</v>
      </c>
      <c r="AT35" s="155">
        <f t="shared" si="69"/>
        <v>-0.49059109609802576</v>
      </c>
      <c r="AU35" s="156">
        <f t="shared" si="70"/>
        <v>4.7666283901730333E-2</v>
      </c>
      <c r="AV35" s="157"/>
      <c r="AW35" s="124"/>
      <c r="AX35" s="125">
        <v>-5.5656753500000038</v>
      </c>
      <c r="AY35" s="125">
        <v>0</v>
      </c>
      <c r="AZ35" s="125">
        <v>0</v>
      </c>
      <c r="BA35" s="125">
        <v>0</v>
      </c>
      <c r="BB35" s="125">
        <v>0</v>
      </c>
      <c r="BC35" s="125">
        <f t="shared" si="115"/>
        <v>-5.5656753500000038</v>
      </c>
      <c r="BD35" s="125">
        <v>0</v>
      </c>
      <c r="BE35" s="125">
        <v>0</v>
      </c>
      <c r="BF35" s="125">
        <f t="shared" si="116"/>
        <v>-5.5656753500000038</v>
      </c>
      <c r="BG35" s="154">
        <f t="shared" si="73"/>
        <v>-1.2058503236595589E-2</v>
      </c>
      <c r="BH35" s="155">
        <f t="shared" si="89"/>
        <v>-5.2171192900000003</v>
      </c>
      <c r="BI35" s="156">
        <f t="shared" si="74"/>
        <v>0.93737398642915748</v>
      </c>
      <c r="BJ35" s="157"/>
    </row>
    <row r="36" spans="2:62" hidden="1" outlineLevel="1" x14ac:dyDescent="0.35">
      <c r="C36" s="182" t="s">
        <v>97</v>
      </c>
      <c r="D36" s="162"/>
      <c r="E36" s="183">
        <f>SUM(E24,E27,E30,E33)</f>
        <v>19.249147187662118</v>
      </c>
      <c r="F36" s="183">
        <f t="shared" ref="F36:K36" si="117">SUM(F24,F27,F30,F33)</f>
        <v>-0.48076930000000001</v>
      </c>
      <c r="G36" s="183">
        <f t="shared" si="117"/>
        <v>0</v>
      </c>
      <c r="H36" s="183">
        <f t="shared" si="117"/>
        <v>18.768377887662105</v>
      </c>
      <c r="I36" s="183">
        <f t="shared" si="117"/>
        <v>8.6874999999999994E-2</v>
      </c>
      <c r="J36" s="183">
        <f t="shared" si="117"/>
        <v>2.3283064365386962E-16</v>
      </c>
      <c r="K36" s="183">
        <f t="shared" si="117"/>
        <v>18.855252887662111</v>
      </c>
      <c r="L36" s="184">
        <f t="shared" si="59"/>
        <v>0.16578281002206161</v>
      </c>
      <c r="M36" s="162"/>
      <c r="N36" s="183">
        <f t="shared" ref="N36" si="118">SUM(N24,N27,N30,N33)</f>
        <v>8.98437984507677</v>
      </c>
      <c r="O36" s="184">
        <f t="shared" si="60"/>
        <v>7.9458022999187999E-2</v>
      </c>
      <c r="P36" s="185">
        <f t="shared" si="26"/>
        <v>9.870873042585341</v>
      </c>
      <c r="Q36" s="186">
        <f t="shared" si="27"/>
        <v>1.0986704939901166</v>
      </c>
      <c r="R36" s="187"/>
      <c r="S36" s="162"/>
      <c r="T36" s="183">
        <f t="shared" ref="T36:AB36" si="119">SUM(T24,T27,T30,T33)</f>
        <v>-2.1626294398433537</v>
      </c>
      <c r="U36" s="183">
        <f t="shared" si="119"/>
        <v>-0.12618796000000002</v>
      </c>
      <c r="V36" s="183">
        <f t="shared" si="119"/>
        <v>0</v>
      </c>
      <c r="W36" s="183">
        <f t="shared" si="119"/>
        <v>0</v>
      </c>
      <c r="X36" s="183">
        <f t="shared" si="119"/>
        <v>0</v>
      </c>
      <c r="Y36" s="183">
        <f t="shared" si="119"/>
        <v>-2.2888173998433423</v>
      </c>
      <c r="Z36" s="183">
        <f t="shared" si="119"/>
        <v>2.2572009999999997E-2</v>
      </c>
      <c r="AA36" s="183">
        <f t="shared" si="119"/>
        <v>0</v>
      </c>
      <c r="AB36" s="183">
        <f t="shared" si="119"/>
        <v>-2.2662453898433448</v>
      </c>
      <c r="AC36" s="184">
        <f t="shared" si="63"/>
        <v>-2.3808713958802914E-2</v>
      </c>
      <c r="AD36" s="185">
        <f t="shared" si="30"/>
        <v>21.121498277505456</v>
      </c>
      <c r="AE36" s="186">
        <f t="shared" si="64"/>
        <v>-9.3200402622619301</v>
      </c>
      <c r="AF36" s="187"/>
      <c r="AG36" s="94"/>
      <c r="AH36" s="182" t="s">
        <v>97</v>
      </c>
      <c r="AI36" s="183">
        <f t="shared" ref="AI36:AO36" si="120">SUM(AI24,AI27,AI30,AI33)</f>
        <v>49.180840029805168</v>
      </c>
      <c r="AJ36" s="183">
        <f t="shared" si="120"/>
        <v>0.54364769999999274</v>
      </c>
      <c r="AK36" s="183">
        <f t="shared" si="120"/>
        <v>0</v>
      </c>
      <c r="AL36" s="183">
        <f t="shared" si="120"/>
        <v>49.724487729805148</v>
      </c>
      <c r="AM36" s="183">
        <f t="shared" si="120"/>
        <v>0.62187499999999996</v>
      </c>
      <c r="AN36" s="183">
        <f t="shared" si="120"/>
        <v>3.4924596548080445E-16</v>
      </c>
      <c r="AO36" s="183">
        <f t="shared" si="120"/>
        <v>50.346362729805136</v>
      </c>
      <c r="AP36" s="184">
        <f t="shared" si="67"/>
        <v>9.2639264543090571E-2</v>
      </c>
      <c r="AQ36" s="162"/>
      <c r="AR36" s="183">
        <f t="shared" ref="AR36" si="121">SUM(AR24,AR27,AR30,AR33)</f>
        <v>37.096460587042927</v>
      </c>
      <c r="AS36" s="184">
        <f t="shared" si="68"/>
        <v>6.8482093695988774E-2</v>
      </c>
      <c r="AT36" s="185">
        <f t="shared" si="69"/>
        <v>13.24990214276221</v>
      </c>
      <c r="AU36" s="186">
        <f t="shared" si="70"/>
        <v>0.3571742946115497</v>
      </c>
      <c r="AV36" s="187"/>
      <c r="AW36" s="162"/>
      <c r="AX36" s="183">
        <f t="shared" ref="AX36:BF36" si="122">SUM(AX24,AX27,AX30,AX33)</f>
        <v>31.384478456659195</v>
      </c>
      <c r="AY36" s="183">
        <f t="shared" si="122"/>
        <v>-5.8884284900000008</v>
      </c>
      <c r="AZ36" s="183">
        <f t="shared" si="122"/>
        <v>1.4210854715202004E-14</v>
      </c>
      <c r="BA36" s="183">
        <f t="shared" si="122"/>
        <v>0</v>
      </c>
      <c r="BB36" s="183">
        <f t="shared" si="122"/>
        <v>0</v>
      </c>
      <c r="BC36" s="183">
        <f t="shared" si="122"/>
        <v>25.496049966659172</v>
      </c>
      <c r="BD36" s="183">
        <f t="shared" si="122"/>
        <v>-0.55265431000000009</v>
      </c>
      <c r="BE36" s="183">
        <f t="shared" si="122"/>
        <v>0</v>
      </c>
      <c r="BF36" s="183">
        <f t="shared" si="122"/>
        <v>24.943395656659163</v>
      </c>
      <c r="BG36" s="184">
        <f t="shared" si="73"/>
        <v>5.40419622674378E-2</v>
      </c>
      <c r="BH36" s="185">
        <f t="shared" si="89"/>
        <v>25.402967073145973</v>
      </c>
      <c r="BI36" s="186">
        <f t="shared" si="74"/>
        <v>1.0184245730939252</v>
      </c>
      <c r="BJ36" s="187"/>
    </row>
    <row r="37" spans="2:62" collapsed="1" x14ac:dyDescent="0.35">
      <c r="B37" t="s">
        <v>98</v>
      </c>
      <c r="C37" s="168" t="s">
        <v>80</v>
      </c>
      <c r="D37" s="131"/>
      <c r="E37" s="125">
        <v>0</v>
      </c>
      <c r="F37" s="125">
        <v>0</v>
      </c>
      <c r="G37" s="125">
        <v>0</v>
      </c>
      <c r="H37" s="170">
        <f t="shared" si="76"/>
        <v>0</v>
      </c>
      <c r="I37" s="125">
        <v>0</v>
      </c>
      <c r="J37" s="125">
        <v>0</v>
      </c>
      <c r="K37" s="169">
        <f t="shared" ref="K37" si="123">SUM(H37:J37)</f>
        <v>0</v>
      </c>
      <c r="L37" s="188">
        <f t="shared" si="59"/>
        <v>0</v>
      </c>
      <c r="M37" s="131"/>
      <c r="N37" s="169">
        <v>0</v>
      </c>
      <c r="O37" s="188">
        <f t="shared" si="60"/>
        <v>0</v>
      </c>
      <c r="P37" s="189">
        <f t="shared" si="26"/>
        <v>0</v>
      </c>
      <c r="Q37" s="190" t="str">
        <f t="shared" si="27"/>
        <v/>
      </c>
      <c r="R37" s="191"/>
      <c r="S37" s="131"/>
      <c r="T37" s="125">
        <v>0</v>
      </c>
      <c r="U37" s="125">
        <v>0</v>
      </c>
      <c r="V37" s="125">
        <v>0</v>
      </c>
      <c r="W37" s="125">
        <v>0</v>
      </c>
      <c r="X37" s="125">
        <v>0</v>
      </c>
      <c r="Y37" s="170">
        <f t="shared" si="112"/>
        <v>0</v>
      </c>
      <c r="Z37" s="125">
        <v>0</v>
      </c>
      <c r="AA37" s="125">
        <v>0</v>
      </c>
      <c r="AB37" s="170">
        <f t="shared" ref="AB37" si="124">SUM(Y37:AA37)</f>
        <v>0</v>
      </c>
      <c r="AC37" s="188">
        <f t="shared" si="63"/>
        <v>0</v>
      </c>
      <c r="AD37" s="189">
        <f t="shared" si="30"/>
        <v>0</v>
      </c>
      <c r="AE37" s="190" t="str">
        <f t="shared" si="64"/>
        <v/>
      </c>
      <c r="AF37" s="191"/>
      <c r="AG37" s="94"/>
      <c r="AH37" s="168" t="s">
        <v>80</v>
      </c>
      <c r="AI37" s="125">
        <v>0</v>
      </c>
      <c r="AJ37" s="125">
        <v>0</v>
      </c>
      <c r="AK37" s="125">
        <v>0</v>
      </c>
      <c r="AL37" s="170">
        <f t="shared" ref="AL37" si="125">SUM(AI37:AK37)</f>
        <v>0</v>
      </c>
      <c r="AM37" s="125">
        <v>0</v>
      </c>
      <c r="AN37" s="125">
        <v>0</v>
      </c>
      <c r="AO37" s="170">
        <f t="shared" ref="AO37" si="126">SUM(AL37:AN37)</f>
        <v>0</v>
      </c>
      <c r="AP37" s="188">
        <f t="shared" si="67"/>
        <v>0</v>
      </c>
      <c r="AQ37" s="131"/>
      <c r="AR37" s="170">
        <v>0</v>
      </c>
      <c r="AS37" s="188">
        <f t="shared" si="68"/>
        <v>0</v>
      </c>
      <c r="AT37" s="189">
        <f t="shared" si="69"/>
        <v>0</v>
      </c>
      <c r="AU37" s="190" t="str">
        <f t="shared" si="70"/>
        <v/>
      </c>
      <c r="AV37" s="191"/>
      <c r="AW37" s="131"/>
      <c r="AX37" s="125">
        <v>-1.3778999999999999E-4</v>
      </c>
      <c r="AY37" s="125">
        <v>0</v>
      </c>
      <c r="AZ37" s="125">
        <v>0</v>
      </c>
      <c r="BA37" s="125">
        <v>0</v>
      </c>
      <c r="BB37" s="125">
        <v>0</v>
      </c>
      <c r="BC37" s="170">
        <f t="shared" ref="BC37:BC38" si="127">SUM(AX37:BB37)</f>
        <v>-1.3778999999999999E-4</v>
      </c>
      <c r="BD37" s="125">
        <v>0</v>
      </c>
      <c r="BE37" s="125">
        <v>0</v>
      </c>
      <c r="BF37" s="170">
        <f t="shared" ref="BF37" si="128">SUM(BC37:BE37)</f>
        <v>-1.3778999999999999E-4</v>
      </c>
      <c r="BG37" s="188">
        <f t="shared" si="73"/>
        <v>-2.9853361119428298E-7</v>
      </c>
      <c r="BH37" s="189">
        <f t="shared" si="89"/>
        <v>1.3778999999999999E-4</v>
      </c>
      <c r="BI37" s="190">
        <f t="shared" si="74"/>
        <v>-1</v>
      </c>
      <c r="BJ37" s="191"/>
    </row>
    <row r="38" spans="2:62" x14ac:dyDescent="0.35">
      <c r="C38" s="140" t="s">
        <v>99</v>
      </c>
      <c r="D38" s="124"/>
      <c r="E38" s="141">
        <f t="shared" ref="E38:K38" si="129">SUM(E26,E28:E29,E30,E34:E35,E37)</f>
        <v>18.768377887662115</v>
      </c>
      <c r="F38" s="141">
        <f t="shared" si="129"/>
        <v>0</v>
      </c>
      <c r="G38" s="141">
        <f t="shared" si="129"/>
        <v>0</v>
      </c>
      <c r="H38" s="141">
        <f t="shared" si="129"/>
        <v>18.768377887662101</v>
      </c>
      <c r="I38" s="141">
        <f t="shared" si="129"/>
        <v>0</v>
      </c>
      <c r="J38" s="141">
        <f t="shared" si="129"/>
        <v>2.3283064365386962E-16</v>
      </c>
      <c r="K38" s="141">
        <f t="shared" si="129"/>
        <v>18.768377887662108</v>
      </c>
      <c r="L38" s="142">
        <f t="shared" si="59"/>
        <v>0.16501897080407418</v>
      </c>
      <c r="M38" s="124"/>
      <c r="N38" s="141">
        <f>N36+N37+N25</f>
        <v>8.8963798450767708</v>
      </c>
      <c r="O38" s="142">
        <f t="shared" si="60"/>
        <v>7.8679749357100162E-2</v>
      </c>
      <c r="P38" s="143">
        <f t="shared" si="26"/>
        <v>9.8719980425853375</v>
      </c>
      <c r="Q38" s="144">
        <f t="shared" si="27"/>
        <v>1.1096646292647305</v>
      </c>
      <c r="R38" s="145">
        <f t="shared" si="61"/>
        <v>1</v>
      </c>
      <c r="S38" s="124"/>
      <c r="T38" s="141">
        <f>SUM(T26,T28:T29,T30,T34:T35,T37)</f>
        <v>-2.2888173998433539</v>
      </c>
      <c r="U38" s="141">
        <f>SUM(U26,U28:U29,U30,U34:U35,U37)</f>
        <v>0</v>
      </c>
      <c r="V38" s="141">
        <f>SUM(V26,V28:V29,V30,V34:V35,V37)</f>
        <v>0</v>
      </c>
      <c r="W38" s="141">
        <f>SUM(W26,W28:W29,W30,W34:W35,W37)</f>
        <v>0</v>
      </c>
      <c r="X38" s="141">
        <f>SUM(X26,X28:X29,X30,X34:X35,X37)</f>
        <v>0</v>
      </c>
      <c r="Y38" s="141">
        <f t="shared" si="112"/>
        <v>-2.2888173998433539</v>
      </c>
      <c r="Z38" s="141">
        <f>SUM(Z26,Z28:Z29,Z30,Z34:Z35,Z37)</f>
        <v>0</v>
      </c>
      <c r="AA38" s="141">
        <f>SUM(AA26,AA28:AA29,AA30,AA34:AA35,AA37)</f>
        <v>0</v>
      </c>
      <c r="AB38" s="141">
        <f>SUM(AB26,AB28:AB29,AB30,AB34:AB35,AB37)</f>
        <v>-2.2888173998433468</v>
      </c>
      <c r="AC38" s="142">
        <f t="shared" si="63"/>
        <v>-2.4045850913156492E-2</v>
      </c>
      <c r="AD38" s="143">
        <f t="shared" si="30"/>
        <v>21.057195287505454</v>
      </c>
      <c r="AE38" s="144">
        <f t="shared" si="64"/>
        <v>-9.2000328593039669</v>
      </c>
      <c r="AF38" s="145">
        <f t="shared" ref="AF38" si="130">IF(AE38&gt;0.05,1,IF(AE38&lt;-0.05,-1,0))</f>
        <v>-1</v>
      </c>
      <c r="AG38" s="94"/>
      <c r="AH38" s="140" t="s">
        <v>99</v>
      </c>
      <c r="AI38" s="141">
        <f t="shared" ref="AI38:AO38" si="131">SUM(AI26,AI28:AI29,AI30,AI34:AI35,AI37)</f>
        <v>49.724224949805148</v>
      </c>
      <c r="AJ38" s="141">
        <f t="shared" si="131"/>
        <v>0</v>
      </c>
      <c r="AK38" s="141">
        <f t="shared" si="131"/>
        <v>0</v>
      </c>
      <c r="AL38" s="141">
        <f t="shared" si="131"/>
        <v>49.724224949805148</v>
      </c>
      <c r="AM38" s="141">
        <f t="shared" si="131"/>
        <v>0</v>
      </c>
      <c r="AN38" s="141">
        <f t="shared" si="131"/>
        <v>3.4924596548080445E-16</v>
      </c>
      <c r="AO38" s="141">
        <f t="shared" si="131"/>
        <v>49.724224949805119</v>
      </c>
      <c r="AP38" s="142">
        <f t="shared" si="67"/>
        <v>9.1494506843453352E-2</v>
      </c>
      <c r="AQ38" s="124"/>
      <c r="AR38" s="141">
        <f>AR36+AR37+AR25</f>
        <v>36.406460587042929</v>
      </c>
      <c r="AS38" s="142">
        <f t="shared" si="68"/>
        <v>6.7208315985057054E-2</v>
      </c>
      <c r="AT38" s="143">
        <f t="shared" si="69"/>
        <v>13.31776436276219</v>
      </c>
      <c r="AU38" s="144">
        <f t="shared" si="70"/>
        <v>0.3658077206083028</v>
      </c>
      <c r="AV38" s="145">
        <f t="shared" ref="AV38" si="132">IF(AU38&gt;0.05,1,IF(AU38&lt;-0.05,-1,0))</f>
        <v>1</v>
      </c>
      <c r="AW38" s="124"/>
      <c r="AX38" s="141">
        <f>SUM(AX26,AX28:AX29,AX30,AX34:AX35,AX37)</f>
        <v>25.495912176659214</v>
      </c>
      <c r="AY38" s="141">
        <f>SUM(AY26,AY28:AY29,AY30,AY34:AY35,AY37)</f>
        <v>0</v>
      </c>
      <c r="AZ38" s="141">
        <f>SUM(AZ26,AZ28:AZ29,AZ30,AZ34:AZ35,AZ37)</f>
        <v>1.4210854715202004E-14</v>
      </c>
      <c r="BA38" s="141">
        <f>SUM(BA26,BA28:BA29,BA30,BA34:BA35,BA37)</f>
        <v>0</v>
      </c>
      <c r="BB38" s="141">
        <f>SUM(BB26,BB28:BB29,BB30,BB34:BB35,BB37)</f>
        <v>0</v>
      </c>
      <c r="BC38" s="141">
        <f t="shared" si="127"/>
        <v>25.495912176659228</v>
      </c>
      <c r="BD38" s="141">
        <f>SUM(BD26,BD28:BD29,BD30,BD34:BD35,BD37)</f>
        <v>0</v>
      </c>
      <c r="BE38" s="141">
        <f>SUM(BE26,BE28:BE29,BE30,BE34:BE35,BE37)</f>
        <v>0</v>
      </c>
      <c r="BF38" s="141">
        <f>SUM(BF26,BF28:BF29,BF30,BF34:BF35,BF37)</f>
        <v>25.495912176659171</v>
      </c>
      <c r="BG38" s="142">
        <f t="shared" si="73"/>
        <v>5.5239035726760685E-2</v>
      </c>
      <c r="BH38" s="143">
        <f t="shared" si="89"/>
        <v>24.228312773145948</v>
      </c>
      <c r="BI38" s="144">
        <f t="shared" si="74"/>
        <v>0.95028224937667938</v>
      </c>
      <c r="BJ38" s="145">
        <f t="shared" ref="BJ38" si="133">IF(BI38&gt;0.05,1,IF(BI38&lt;-0.05,-1,0))</f>
        <v>1</v>
      </c>
    </row>
    <row r="39" spans="2:62" ht="7.5" customHeight="1" x14ac:dyDescent="0.35">
      <c r="R39"/>
      <c r="AF39"/>
      <c r="AV39"/>
      <c r="BJ39"/>
    </row>
    <row r="40" spans="2:62" x14ac:dyDescent="0.35">
      <c r="C40" s="192" t="s">
        <v>100</v>
      </c>
      <c r="D40" s="193"/>
      <c r="E40" s="125">
        <f>E16+E41</f>
        <v>-23.654109967703256</v>
      </c>
      <c r="F40" s="125">
        <v>0</v>
      </c>
      <c r="G40" s="125">
        <v>0</v>
      </c>
      <c r="H40" s="169">
        <f t="shared" ref="H40:H42" si="134">SUM(E40:G40)</f>
        <v>-23.654109967703256</v>
      </c>
      <c r="I40" s="125">
        <v>0</v>
      </c>
      <c r="J40" s="125">
        <v>0</v>
      </c>
      <c r="K40" s="169">
        <f>K16+K41</f>
        <v>-24.179888539578258</v>
      </c>
      <c r="L40" s="194">
        <f t="shared" ref="L40:L42" si="135">IFERROR(K40/K$9,0)</f>
        <v>-0.21259910392050754</v>
      </c>
      <c r="M40" s="193"/>
      <c r="N40" s="169">
        <f>N16+N41</f>
        <v>-27.223850646258484</v>
      </c>
      <c r="O40" s="194">
        <f t="shared" ref="O40:O42" si="136">IFERROR(N40/N$9,0)</f>
        <v>-0.24076824311499062</v>
      </c>
      <c r="P40" s="195">
        <f t="shared" ref="P40:P42" si="137">K40-N40</f>
        <v>3.043962106680226</v>
      </c>
      <c r="Q40" s="196">
        <f t="shared" ref="Q40:Q43" si="138">IFERROR(K40/N40-1,"")</f>
        <v>-0.11181232758851378</v>
      </c>
      <c r="R40" s="197"/>
      <c r="S40" s="193"/>
      <c r="T40" s="125">
        <f>T16+T41</f>
        <v>-18.441405269080192</v>
      </c>
      <c r="U40" s="125">
        <v>0</v>
      </c>
      <c r="V40" s="125">
        <v>0</v>
      </c>
      <c r="W40" s="125">
        <v>0</v>
      </c>
      <c r="X40" s="125">
        <v>0</v>
      </c>
      <c r="Y40" s="169">
        <f t="shared" si="112"/>
        <v>-18.441405269080192</v>
      </c>
      <c r="Z40" s="125">
        <v>0</v>
      </c>
      <c r="AA40" s="125">
        <v>0</v>
      </c>
      <c r="AB40" s="169">
        <f>AB16+AB41</f>
        <v>-18.866989318026857</v>
      </c>
      <c r="AC40" s="194">
        <f t="shared" ref="AC40:AC42" si="139">IFERROR(AB40/AB$9,0)</f>
        <v>-0.19821275928452858</v>
      </c>
      <c r="AD40" s="195">
        <f t="shared" ref="AD40:AD42" si="140">$K40-AB40</f>
        <v>-5.312899221551401</v>
      </c>
      <c r="AE40" s="196">
        <f>IFERROR(K40/AB40-1,"")</f>
        <v>0.28159761645039372</v>
      </c>
      <c r="AF40" s="197"/>
      <c r="AG40" s="94"/>
      <c r="AH40" s="192" t="s">
        <v>100</v>
      </c>
      <c r="AI40" s="125">
        <f>AI16+AI41</f>
        <v>-113.81438232198164</v>
      </c>
      <c r="AJ40" s="125">
        <v>0</v>
      </c>
      <c r="AK40" s="125">
        <v>0</v>
      </c>
      <c r="AL40" s="169">
        <f t="shared" ref="AL40:AL42" si="141">SUM(AI40:AK40)</f>
        <v>-113.81438232198164</v>
      </c>
      <c r="AM40" s="125">
        <v>0</v>
      </c>
      <c r="AN40" s="125">
        <v>0</v>
      </c>
      <c r="AO40" s="169">
        <f>AO16+AO41</f>
        <v>-117.23567771806671</v>
      </c>
      <c r="AP40" s="194">
        <f t="shared" ref="AP40:AP42" si="142">IFERROR(AO40/AO$9,0)</f>
        <v>-0.21571820431792543</v>
      </c>
      <c r="AQ40" s="193"/>
      <c r="AR40" s="169">
        <f>AR41+AR16</f>
        <v>-131.47637724110226</v>
      </c>
      <c r="AS40" s="194">
        <f t="shared" ref="AS40:AS42" si="143">IFERROR(AR40/AR$9,0)</f>
        <v>-0.24271257803444393</v>
      </c>
      <c r="AT40" s="195">
        <f t="shared" ref="AT40:AT42" si="144">AO40-AR40</f>
        <v>14.240699523035545</v>
      </c>
      <c r="AU40" s="196">
        <f t="shared" ref="AU40:AU43" si="145">IFERROR(AO40/AR40-1,"")</f>
        <v>-0.10831375051444303</v>
      </c>
      <c r="AV40" s="197"/>
      <c r="AW40" s="193"/>
      <c r="AX40" s="125">
        <f>AX16+AX41</f>
        <v>-91.103218504347538</v>
      </c>
      <c r="AY40" s="125">
        <v>0</v>
      </c>
      <c r="AZ40" s="125">
        <v>0</v>
      </c>
      <c r="BA40" s="125">
        <v>0</v>
      </c>
      <c r="BB40" s="125">
        <v>0</v>
      </c>
      <c r="BC40" s="169">
        <f t="shared" ref="BC40:BC42" si="146">SUM(AX40:BB40)</f>
        <v>-91.103218504347538</v>
      </c>
      <c r="BD40" s="125">
        <v>0</v>
      </c>
      <c r="BE40" s="125">
        <v>0</v>
      </c>
      <c r="BF40" s="169">
        <f t="shared" ref="BF40:BF41" si="147">SUM(BC40:BE40)</f>
        <v>-91.103218504347538</v>
      </c>
      <c r="BG40" s="194">
        <f t="shared" ref="BG40:BG42" si="148">IFERROR(BF40/BF$9,0)</f>
        <v>-0.19738277677280425</v>
      </c>
      <c r="BH40" s="195">
        <f t="shared" si="89"/>
        <v>-26.132459213719173</v>
      </c>
      <c r="BI40" s="196">
        <f>IFERROR(AO40/BF40-1,"")</f>
        <v>0.28684452253980575</v>
      </c>
      <c r="BJ40" s="197"/>
    </row>
    <row r="41" spans="2:62" x14ac:dyDescent="0.35">
      <c r="B41" t="s">
        <v>37</v>
      </c>
      <c r="C41" s="192" t="s">
        <v>101</v>
      </c>
      <c r="D41" s="131"/>
      <c r="E41" s="125">
        <f>'Painel Resultado (MTD)'!AO11</f>
        <v>-12.111835339999997</v>
      </c>
      <c r="F41" s="125">
        <v>0</v>
      </c>
      <c r="G41" s="125">
        <v>0</v>
      </c>
      <c r="H41" s="169">
        <f t="shared" si="134"/>
        <v>-12.111835339999997</v>
      </c>
      <c r="I41" s="125">
        <v>0</v>
      </c>
      <c r="J41" s="125">
        <v>0</v>
      </c>
      <c r="K41" s="169">
        <f t="shared" ref="K41" si="149">SUM(H41:J41)</f>
        <v>-12.111835339999997</v>
      </c>
      <c r="L41" s="198">
        <f t="shared" si="135"/>
        <v>-0.10649202687191739</v>
      </c>
      <c r="M41" s="131"/>
      <c r="N41" s="169">
        <f>N46</f>
        <v>-9.6110154520120599</v>
      </c>
      <c r="O41" s="198">
        <f t="shared" si="136"/>
        <v>-8.5000000000000006E-2</v>
      </c>
      <c r="P41" s="199">
        <f t="shared" si="137"/>
        <v>-2.5008198879879373</v>
      </c>
      <c r="Q41" s="200">
        <f t="shared" si="138"/>
        <v>0.26020350299867556</v>
      </c>
      <c r="R41" s="201"/>
      <c r="S41" s="131"/>
      <c r="T41" s="125">
        <f>'Painel Resultado (MTD)'!BC11</f>
        <v>-3.8148088899999997</v>
      </c>
      <c r="U41" s="125">
        <v>0</v>
      </c>
      <c r="V41" s="125">
        <v>0</v>
      </c>
      <c r="W41" s="125">
        <v>0</v>
      </c>
      <c r="X41" s="125">
        <v>0</v>
      </c>
      <c r="Y41" s="169">
        <f t="shared" si="112"/>
        <v>-3.8148088899999997</v>
      </c>
      <c r="Z41" s="125">
        <v>0</v>
      </c>
      <c r="AA41" s="125">
        <v>0</v>
      </c>
      <c r="AB41" s="169">
        <f t="shared" ref="AB41" si="150">SUM(Y41:AA41)</f>
        <v>-3.8148088899999997</v>
      </c>
      <c r="AC41" s="198">
        <f t="shared" si="139"/>
        <v>-4.0077607692689809E-2</v>
      </c>
      <c r="AD41" s="199">
        <f t="shared" si="140"/>
        <v>-8.2970264499999971</v>
      </c>
      <c r="AE41" s="200">
        <f>IFERROR(K41/AB41-1,"")</f>
        <v>2.1749520590007849</v>
      </c>
      <c r="AF41" s="201"/>
      <c r="AG41" s="94"/>
      <c r="AH41" s="192" t="s">
        <v>101</v>
      </c>
      <c r="AI41" s="125">
        <f>'Painel Resultado (YTD)'!AO11</f>
        <v>-32.028326097980006</v>
      </c>
      <c r="AJ41" s="125">
        <v>0</v>
      </c>
      <c r="AK41" s="125">
        <v>0</v>
      </c>
      <c r="AL41" s="169">
        <f t="shared" si="141"/>
        <v>-32.028326097980006</v>
      </c>
      <c r="AM41" s="125">
        <v>0</v>
      </c>
      <c r="AN41" s="125">
        <v>0</v>
      </c>
      <c r="AO41" s="169">
        <f t="shared" ref="AO41" si="151">SUM(AL41:AN41)</f>
        <v>-32.028326097980006</v>
      </c>
      <c r="AP41" s="198">
        <f t="shared" si="142"/>
        <v>-5.8933365061278289E-2</v>
      </c>
      <c r="AQ41" s="131"/>
      <c r="AR41" s="169">
        <f>AR46</f>
        <v>-46.044140587999323</v>
      </c>
      <c r="AS41" s="198">
        <f t="shared" si="143"/>
        <v>-8.5000000000000006E-2</v>
      </c>
      <c r="AT41" s="199">
        <f t="shared" si="144"/>
        <v>14.015814490019316</v>
      </c>
      <c r="AU41" s="200">
        <f t="shared" si="145"/>
        <v>-0.30439952426155859</v>
      </c>
      <c r="AV41" s="201"/>
      <c r="AW41" s="131"/>
      <c r="AX41" s="125">
        <f>'Painel Resultado (YTD)'!BC11</f>
        <v>-16.89224578</v>
      </c>
      <c r="AY41" s="125">
        <v>0</v>
      </c>
      <c r="AZ41" s="125">
        <v>0</v>
      </c>
      <c r="BA41" s="125">
        <v>0</v>
      </c>
      <c r="BB41" s="125">
        <v>0</v>
      </c>
      <c r="BC41" s="169">
        <f t="shared" si="146"/>
        <v>-16.89224578</v>
      </c>
      <c r="BD41" s="125">
        <v>0</v>
      </c>
      <c r="BE41" s="125">
        <v>0</v>
      </c>
      <c r="BF41" s="169">
        <f t="shared" si="147"/>
        <v>-16.89224578</v>
      </c>
      <c r="BG41" s="198">
        <f t="shared" si="148"/>
        <v>-3.6598469655887859E-2</v>
      </c>
      <c r="BH41" s="199">
        <f t="shared" si="89"/>
        <v>-15.136080317980007</v>
      </c>
      <c r="BI41" s="200">
        <f>IFERROR(AO41/BF41-1,"")</f>
        <v>0.89603718268773647</v>
      </c>
      <c r="BJ41" s="201"/>
    </row>
    <row r="42" spans="2:62" x14ac:dyDescent="0.35">
      <c r="C42" s="140" t="s">
        <v>102</v>
      </c>
      <c r="E42" s="141">
        <f>SUM(E19,E41)</f>
        <v>22.35725077222942</v>
      </c>
      <c r="F42" s="141">
        <f>SUM(F19,F41)</f>
        <v>-0.48076930000000001</v>
      </c>
      <c r="G42" s="141">
        <f>SUM(G19,G41)</f>
        <v>0</v>
      </c>
      <c r="H42" s="141">
        <f t="shared" si="134"/>
        <v>21.876481472229422</v>
      </c>
      <c r="I42" s="141">
        <f>SUM(I19,I41)</f>
        <v>8.6874999999999994E-2</v>
      </c>
      <c r="J42" s="141">
        <f>SUM(J19,J41)</f>
        <v>2.3283064365386962E-16</v>
      </c>
      <c r="K42" s="141">
        <f>K19+K41</f>
        <v>21.963356472229414</v>
      </c>
      <c r="L42" s="202">
        <f t="shared" si="135"/>
        <v>0.1931104809453392</v>
      </c>
      <c r="N42" s="141">
        <f>N19+N41</f>
        <v>17.160362516459209</v>
      </c>
      <c r="O42" s="202">
        <f t="shared" si="136"/>
        <v>0.15176656630945998</v>
      </c>
      <c r="P42" s="143">
        <f t="shared" si="137"/>
        <v>4.802993955770205</v>
      </c>
      <c r="Q42" s="144">
        <f t="shared" si="138"/>
        <v>0.27988883982861412</v>
      </c>
      <c r="R42" s="145">
        <f t="shared" ref="R42" si="152">IF(Q42&gt;0.05,1,IF(Q42&lt;-0.05,-1,0))</f>
        <v>1</v>
      </c>
      <c r="T42" s="141">
        <f>SUM(T19,T41)</f>
        <v>19.007755992156692</v>
      </c>
      <c r="U42" s="141">
        <f>SUM(U19,U41)</f>
        <v>-0.12618796000000002</v>
      </c>
      <c r="V42" s="141">
        <f>SUM(V19,V41)</f>
        <v>0</v>
      </c>
      <c r="W42" s="141">
        <f>SUM(W19,W41)</f>
        <v>0</v>
      </c>
      <c r="X42" s="141">
        <f>SUM(X19,X41)</f>
        <v>0</v>
      </c>
      <c r="Y42" s="141">
        <f t="shared" si="112"/>
        <v>18.881568032156693</v>
      </c>
      <c r="Z42" s="141">
        <f>SUM(Z19,Z41)</f>
        <v>2.2572009999999997E-2</v>
      </c>
      <c r="AA42" s="141">
        <f>SUM(AA19,AA41)</f>
        <v>0</v>
      </c>
      <c r="AB42" s="141">
        <f>AB19+AB41</f>
        <v>18.904140042156701</v>
      </c>
      <c r="AC42" s="202">
        <f t="shared" si="139"/>
        <v>0.19860305724967128</v>
      </c>
      <c r="AD42" s="143">
        <f t="shared" si="140"/>
        <v>3.0592164300727127</v>
      </c>
      <c r="AE42" s="144">
        <f>IFERROR(K42/AB42-1,"")</f>
        <v>0.16182785481119932</v>
      </c>
      <c r="AF42" s="145">
        <f t="shared" ref="AF42" si="153">IF(AE42&gt;0.05,1,IF(AE42&lt;-0.05,-1,0))</f>
        <v>1</v>
      </c>
      <c r="AG42" s="94"/>
      <c r="AH42" s="140" t="s">
        <v>102</v>
      </c>
      <c r="AI42" s="141">
        <f>SUM(AI19,AI41)</f>
        <v>94.671204154661723</v>
      </c>
      <c r="AJ42" s="141">
        <f>SUM(AJ19,AJ41)</f>
        <v>0.54364769999999274</v>
      </c>
      <c r="AK42" s="141">
        <f>SUM(AK19,AK41)</f>
        <v>0</v>
      </c>
      <c r="AL42" s="141">
        <f t="shared" si="141"/>
        <v>95.214851854661717</v>
      </c>
      <c r="AM42" s="141">
        <f>SUM(AM19,AM41)</f>
        <v>0.62187499999999996</v>
      </c>
      <c r="AN42" s="141">
        <f>SUM(AN19,AN41)</f>
        <v>3.4924596548080445E-16</v>
      </c>
      <c r="AO42" s="141">
        <f>AO19+AO41</f>
        <v>95.836726854661691</v>
      </c>
      <c r="AP42" s="202">
        <f t="shared" si="142"/>
        <v>0.17634330288525452</v>
      </c>
      <c r="AR42" s="141">
        <f>AR19+AR41</f>
        <v>80.600122964437219</v>
      </c>
      <c r="AS42" s="202">
        <f t="shared" si="143"/>
        <v>0.14879223207312445</v>
      </c>
      <c r="AT42" s="143">
        <f t="shared" si="144"/>
        <v>15.236603890224472</v>
      </c>
      <c r="AU42" s="144">
        <f t="shared" si="145"/>
        <v>0.18903946209793299</v>
      </c>
      <c r="AV42" s="145">
        <f t="shared" ref="AV42" si="154">IF(AU42&gt;0.05,1,IF(AU42&lt;-0.05,-1,0))</f>
        <v>1</v>
      </c>
      <c r="AX42" s="141">
        <f>SUM(AX19,AX41)</f>
        <v>88.734669955589311</v>
      </c>
      <c r="AY42" s="141">
        <f>SUM(AY19,AY41)</f>
        <v>-5.8884284900000008</v>
      </c>
      <c r="AZ42" s="141">
        <f>SUM(AZ19,AZ41)</f>
        <v>1.4210854715202004E-14</v>
      </c>
      <c r="BA42" s="141">
        <f>SUM(BA19,BA41)</f>
        <v>0</v>
      </c>
      <c r="BB42" s="141">
        <f>SUM(BB19,BB41)</f>
        <v>0</v>
      </c>
      <c r="BC42" s="141">
        <f t="shared" si="146"/>
        <v>82.84624146558933</v>
      </c>
      <c r="BD42" s="141">
        <f>SUM(BD19,BD41)</f>
        <v>-0.55265431000000009</v>
      </c>
      <c r="BE42" s="141">
        <f>SUM(BE19,BE41)</f>
        <v>0</v>
      </c>
      <c r="BF42" s="141">
        <f>BF19+BF41</f>
        <v>82.293587155589279</v>
      </c>
      <c r="BG42" s="202">
        <f t="shared" si="148"/>
        <v>0.17829597032941094</v>
      </c>
      <c r="BH42" s="143">
        <f t="shared" si="89"/>
        <v>13.543139699072412</v>
      </c>
      <c r="BI42" s="144">
        <f>IFERROR(AO42/BF42-1,"")</f>
        <v>0.16457102147542702</v>
      </c>
      <c r="BJ42" s="145">
        <f t="shared" ref="BJ42" si="155">IF(BI42&gt;0.05,1,IF(BI42&lt;-0.05,-1,0))</f>
        <v>1</v>
      </c>
    </row>
    <row r="43" spans="2:62" x14ac:dyDescent="0.35">
      <c r="Q43" s="94" t="str">
        <f t="shared" si="138"/>
        <v/>
      </c>
      <c r="AU43" s="94" t="str">
        <f t="shared" si="145"/>
        <v/>
      </c>
    </row>
    <row r="44" spans="2:62" x14ac:dyDescent="0.35">
      <c r="K44" s="203"/>
      <c r="L44" s="95"/>
      <c r="M44" s="204"/>
      <c r="N44" s="205"/>
      <c r="O44" s="206"/>
      <c r="S44" s="204"/>
      <c r="AQ44" s="204"/>
      <c r="AR44" s="205"/>
      <c r="AT44" s="207"/>
      <c r="AW44" s="204"/>
    </row>
    <row r="45" spans="2:62" hidden="1" outlineLevel="1" x14ac:dyDescent="0.35">
      <c r="C45" s="175" t="s">
        <v>103</v>
      </c>
      <c r="AE45" s="95"/>
      <c r="AR45" s="208"/>
      <c r="AS45" s="206"/>
    </row>
    <row r="46" spans="2:62" hidden="1" outlineLevel="1" x14ac:dyDescent="0.35">
      <c r="C46" s="209" t="s">
        <v>104</v>
      </c>
      <c r="K46" s="210"/>
      <c r="N46" s="211">
        <f>O46*N9</f>
        <v>-9.6110154520120599</v>
      </c>
      <c r="O46" s="212">
        <v>-8.5000000000000006E-2</v>
      </c>
      <c r="AR46" s="211">
        <f>AS46*AR9</f>
        <v>-46.044140587999323</v>
      </c>
      <c r="AS46" s="212">
        <v>-8.5000000000000006E-2</v>
      </c>
    </row>
    <row r="47" spans="2:62" hidden="1" outlineLevel="1" x14ac:dyDescent="0.35">
      <c r="C47" t="s">
        <v>105</v>
      </c>
      <c r="N47" s="208">
        <f>N46-N48</f>
        <v>-9.1514190279688261</v>
      </c>
      <c r="O47" s="206">
        <f>N47/N9</f>
        <v>-8.0935320649651393E-2</v>
      </c>
      <c r="AO47" s="210"/>
      <c r="AR47" s="208">
        <f>AR46-AR48</f>
        <v>-43.559139055533279</v>
      </c>
      <c r="AS47" s="206">
        <f>AR47/AR9</f>
        <v>-8.0412551356976225E-2</v>
      </c>
    </row>
    <row r="48" spans="2:62" hidden="1" outlineLevel="1" x14ac:dyDescent="0.35">
      <c r="C48" t="s">
        <v>106</v>
      </c>
      <c r="N48" s="208">
        <v>-0.45959642404323336</v>
      </c>
      <c r="O48" s="206">
        <f>N48/N10</f>
        <v>1.20108041810351E-2</v>
      </c>
      <c r="AR48" s="208">
        <v>-2.485001532466045</v>
      </c>
      <c r="AS48" s="206">
        <f>AR48/AR10</f>
        <v>1.3582492849735731E-2</v>
      </c>
    </row>
    <row r="49" spans="11:44" collapsed="1" x14ac:dyDescent="0.35">
      <c r="K49" s="203"/>
      <c r="L49" s="95">
        <f>L11/AC11-1</f>
        <v>-5.2960731991380516E-3</v>
      </c>
      <c r="N49" s="208"/>
      <c r="AR49" s="208"/>
    </row>
    <row r="50" spans="11:44" x14ac:dyDescent="0.35">
      <c r="K50" s="213"/>
      <c r="N50" s="214"/>
      <c r="AR50" s="214"/>
    </row>
    <row r="51" spans="11:44" x14ac:dyDescent="0.35">
      <c r="K51" s="207"/>
    </row>
    <row r="54" spans="11:44" x14ac:dyDescent="0.35">
      <c r="K54" s="203"/>
    </row>
    <row r="55" spans="11:44" x14ac:dyDescent="0.35">
      <c r="K55" s="203"/>
    </row>
  </sheetData>
  <conditionalFormatting sqref="R1:R3">
    <cfRule type="iconSet" priority="12">
      <iconSet>
        <cfvo type="percent" val="0"/>
        <cfvo type="num" val="0"/>
        <cfvo type="num" val="1"/>
      </iconSet>
    </cfRule>
  </conditionalFormatting>
  <conditionalFormatting sqref="R7:R10">
    <cfRule type="iconSet" priority="11">
      <iconSet showValue="0">
        <cfvo type="percent" val="0"/>
        <cfvo type="num" val="0"/>
        <cfvo type="num" val="1"/>
      </iconSet>
    </cfRule>
  </conditionalFormatting>
  <conditionalFormatting sqref="R40:R42 R13:R19 R7:R11 R24:R38">
    <cfRule type="iconSet" priority="10">
      <iconSet showValue="0">
        <cfvo type="percent" val="0"/>
        <cfvo type="num" val="0"/>
        <cfvo type="num" val="1"/>
      </iconSet>
    </cfRule>
  </conditionalFormatting>
  <conditionalFormatting sqref="AF1:AF3">
    <cfRule type="iconSet" priority="9">
      <iconSet>
        <cfvo type="percent" val="0"/>
        <cfvo type="num" val="0"/>
        <cfvo type="num" val="1"/>
      </iconSet>
    </cfRule>
  </conditionalFormatting>
  <conditionalFormatting sqref="AF7:AF10">
    <cfRule type="iconSet" priority="8">
      <iconSet showValue="0">
        <cfvo type="percent" val="0"/>
        <cfvo type="num" val="0"/>
        <cfvo type="num" val="1"/>
      </iconSet>
    </cfRule>
  </conditionalFormatting>
  <conditionalFormatting sqref="AF40:AF42 AF13:AF19 AF7:AF11 AF24:AF38">
    <cfRule type="iconSet" priority="7">
      <iconSet showValue="0">
        <cfvo type="percent" val="0"/>
        <cfvo type="num" val="0"/>
        <cfvo type="num" val="1"/>
      </iconSet>
    </cfRule>
  </conditionalFormatting>
  <conditionalFormatting sqref="AV1:AV3">
    <cfRule type="iconSet" priority="6">
      <iconSet>
        <cfvo type="percent" val="0"/>
        <cfvo type="num" val="0"/>
        <cfvo type="num" val="1"/>
      </iconSet>
    </cfRule>
  </conditionalFormatting>
  <conditionalFormatting sqref="AV7:AV10">
    <cfRule type="iconSet" priority="5">
      <iconSet showValue="0">
        <cfvo type="percent" val="0"/>
        <cfvo type="num" val="0"/>
        <cfvo type="num" val="1"/>
      </iconSet>
    </cfRule>
  </conditionalFormatting>
  <conditionalFormatting sqref="AV40:AV42 AV13:AV19 AV7:AV11 AV24:AV38">
    <cfRule type="iconSet" priority="4">
      <iconSet showValue="0">
        <cfvo type="percent" val="0"/>
        <cfvo type="num" val="0"/>
        <cfvo type="num" val="1"/>
      </iconSet>
    </cfRule>
  </conditionalFormatting>
  <conditionalFormatting sqref="BJ1:BJ3">
    <cfRule type="iconSet" priority="3">
      <iconSet>
        <cfvo type="percent" val="0"/>
        <cfvo type="num" val="0"/>
        <cfvo type="num" val="1"/>
      </iconSet>
    </cfRule>
  </conditionalFormatting>
  <conditionalFormatting sqref="BJ7:BJ10">
    <cfRule type="iconSet" priority="2">
      <iconSet showValue="0">
        <cfvo type="percent" val="0"/>
        <cfvo type="num" val="0"/>
        <cfvo type="num" val="1"/>
      </iconSet>
    </cfRule>
  </conditionalFormatting>
  <conditionalFormatting sqref="BJ40:BJ42 BJ13:BJ19 BJ7:BJ11 BJ24:BJ38">
    <cfRule type="iconSet" priority="1">
      <iconSet showValue="0">
        <cfvo type="percent" val="0"/>
        <cfvo type="num" val="0"/>
        <cfvo type="num" val="1"/>
      </iconSet>
    </cfRule>
  </conditionalFormatting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A4068-6CBA-430B-AF25-44AEF5FE05A5}">
  <sheetPr>
    <tabColor theme="3"/>
  </sheetPr>
  <dimension ref="B1:BL55"/>
  <sheetViews>
    <sheetView showGridLines="0" zoomScaleNormal="100" workbookViewId="0">
      <pane xSplit="4" ySplit="5" topLeftCell="E6" activePane="bottomRight" state="frozen"/>
      <selection activeCell="M66" sqref="M66"/>
      <selection pane="topRight" activeCell="M66" sqref="M66"/>
      <selection pane="bottomLeft" activeCell="M66" sqref="M66"/>
      <selection pane="bottomRight" activeCell="N14" sqref="N14"/>
    </sheetView>
  </sheetViews>
  <sheetFormatPr defaultRowHeight="14.5" outlineLevelRow="1" outlineLevelCol="1" x14ac:dyDescent="0.35"/>
  <cols>
    <col min="1" max="1" width="4.7265625" customWidth="1"/>
    <col min="2" max="2" width="7.81640625" hidden="1" customWidth="1" outlineLevel="1"/>
    <col min="3" max="3" width="31.54296875" customWidth="1" collapsed="1"/>
    <col min="4" max="4" width="1.1796875" customWidth="1"/>
    <col min="5" max="5" width="10.453125" hidden="1" customWidth="1" outlineLevel="1"/>
    <col min="6" max="6" width="12.81640625" hidden="1" customWidth="1" outlineLevel="1"/>
    <col min="7" max="7" width="10.453125" hidden="1" customWidth="1" outlineLevel="1"/>
    <col min="8" max="8" width="9.1796875" hidden="1" customWidth="1" outlineLevel="1" collapsed="1"/>
    <col min="9" max="10" width="12.81640625" hidden="1" customWidth="1" outlineLevel="1"/>
    <col min="11" max="11" width="8.81640625" customWidth="1" collapsed="1"/>
    <col min="12" max="12" width="8.81640625" customWidth="1"/>
    <col min="13" max="13" width="2.26953125" customWidth="1"/>
    <col min="14" max="15" width="8.81640625" customWidth="1"/>
    <col min="16" max="16" width="8" customWidth="1"/>
    <col min="17" max="17" width="8.7265625" customWidth="1"/>
    <col min="18" max="18" width="3.81640625" style="96" hidden="1" customWidth="1"/>
    <col min="19" max="19" width="2.26953125" customWidth="1"/>
    <col min="20" max="20" width="8.7265625" hidden="1" customWidth="1" outlineLevel="1"/>
    <col min="21" max="21" width="13.81640625" hidden="1" customWidth="1" outlineLevel="1"/>
    <col min="22" max="23" width="8.7265625" hidden="1" customWidth="1" outlineLevel="1"/>
    <col min="24" max="24" width="13.1796875" hidden="1" customWidth="1" outlineLevel="1"/>
    <col min="25" max="25" width="8.7265625" hidden="1" customWidth="1" outlineLevel="1"/>
    <col min="26" max="26" width="13.1796875" hidden="1" customWidth="1" outlineLevel="1"/>
    <col min="27" max="27" width="14.54296875" hidden="1" customWidth="1" outlineLevel="1"/>
    <col min="28" max="28" width="8.81640625" customWidth="1" collapsed="1"/>
    <col min="29" max="29" width="8.81640625" customWidth="1"/>
    <col min="30" max="31" width="8" customWidth="1"/>
    <col min="32" max="32" width="4" style="96" customWidth="1"/>
    <col min="33" max="33" width="3.54296875" customWidth="1"/>
    <col min="34" max="34" width="31.54296875" hidden="1" customWidth="1" collapsed="1"/>
    <col min="35" max="35" width="10.453125" hidden="1" customWidth="1" outlineLevel="1"/>
    <col min="36" max="36" width="12.81640625" hidden="1" customWidth="1" outlineLevel="1"/>
    <col min="37" max="37" width="10.453125" hidden="1" customWidth="1" outlineLevel="1"/>
    <col min="38" max="38" width="9.1796875" hidden="1" customWidth="1" outlineLevel="1" collapsed="1"/>
    <col min="39" max="40" width="12.81640625" hidden="1" customWidth="1" outlineLevel="1"/>
    <col min="41" max="41" width="8.81640625" customWidth="1" collapsed="1"/>
    <col min="42" max="42" width="8.81640625" customWidth="1"/>
    <col min="43" max="43" width="1.1796875" customWidth="1"/>
    <col min="44" max="45" width="8.81640625" customWidth="1"/>
    <col min="46" max="47" width="8" customWidth="1"/>
    <col min="48" max="48" width="3.81640625" style="96" customWidth="1"/>
    <col min="49" max="49" width="1.1796875" customWidth="1"/>
    <col min="50" max="50" width="8.7265625" hidden="1" customWidth="1" outlineLevel="1"/>
    <col min="51" max="51" width="13.81640625" hidden="1" customWidth="1" outlineLevel="1"/>
    <col min="52" max="53" width="8.7265625" hidden="1" customWidth="1" outlineLevel="1"/>
    <col min="54" max="54" width="13.1796875" hidden="1" customWidth="1" outlineLevel="1"/>
    <col min="55" max="55" width="8.7265625" hidden="1" customWidth="1" outlineLevel="1"/>
    <col min="56" max="56" width="13.1796875" hidden="1" customWidth="1" outlineLevel="1"/>
    <col min="57" max="57" width="14.54296875" hidden="1" customWidth="1" outlineLevel="1"/>
    <col min="58" max="58" width="8.81640625" customWidth="1" collapsed="1"/>
    <col min="59" max="59" width="8.81640625" customWidth="1"/>
    <col min="60" max="60" width="8" customWidth="1"/>
    <col min="61" max="61" width="9.1796875" bestFit="1" customWidth="1"/>
    <col min="62" max="62" width="4" style="96" customWidth="1"/>
    <col min="64" max="64" width="12.453125" bestFit="1" customWidth="1"/>
  </cols>
  <sheetData>
    <row r="1" spans="2:64" x14ac:dyDescent="0.35">
      <c r="E1" s="93"/>
      <c r="F1" s="93"/>
      <c r="G1" s="93"/>
      <c r="H1" s="93"/>
      <c r="I1" s="93"/>
      <c r="J1" s="93"/>
      <c r="K1" s="93"/>
      <c r="L1" s="94"/>
      <c r="N1" s="95"/>
      <c r="O1" s="95"/>
      <c r="P1" s="95"/>
      <c r="Q1" s="95"/>
      <c r="AI1" s="93"/>
      <c r="AJ1" s="93"/>
      <c r="AK1" s="93"/>
      <c r="AL1" s="93"/>
      <c r="AM1" s="93"/>
      <c r="AN1" s="93"/>
      <c r="AO1" s="93"/>
      <c r="AP1" s="97"/>
    </row>
    <row r="2" spans="2:64" hidden="1" outlineLevel="1" x14ac:dyDescent="0.35">
      <c r="C2" s="98">
        <v>1000000</v>
      </c>
      <c r="E2" s="99" t="s">
        <v>19</v>
      </c>
      <c r="F2" s="99" t="s">
        <v>19</v>
      </c>
      <c r="G2" s="99" t="s">
        <v>19</v>
      </c>
      <c r="H2" s="93"/>
      <c r="I2" s="99" t="s">
        <v>19</v>
      </c>
      <c r="J2" s="99" t="s">
        <v>19</v>
      </c>
      <c r="K2" s="93"/>
      <c r="L2" s="97"/>
      <c r="T2" s="99" t="s">
        <v>19</v>
      </c>
      <c r="U2" s="99" t="s">
        <v>19</v>
      </c>
      <c r="V2" s="99" t="s">
        <v>19</v>
      </c>
      <c r="W2" s="99" t="s">
        <v>19</v>
      </c>
      <c r="X2" s="99" t="s">
        <v>19</v>
      </c>
      <c r="Z2" s="99" t="s">
        <v>19</v>
      </c>
      <c r="AA2" s="99" t="s">
        <v>19</v>
      </c>
      <c r="AH2" s="98"/>
      <c r="AI2" s="99" t="s">
        <v>19</v>
      </c>
      <c r="AJ2" s="99" t="s">
        <v>19</v>
      </c>
      <c r="AK2" s="99" t="s">
        <v>19</v>
      </c>
      <c r="AL2" s="93"/>
      <c r="AM2" s="99" t="s">
        <v>19</v>
      </c>
      <c r="AN2" s="99" t="s">
        <v>19</v>
      </c>
      <c r="AO2" s="93"/>
      <c r="AP2" s="97"/>
      <c r="AX2" s="99" t="s">
        <v>19</v>
      </c>
      <c r="AY2" s="99" t="s">
        <v>19</v>
      </c>
      <c r="AZ2" s="99" t="s">
        <v>19</v>
      </c>
      <c r="BA2" s="99" t="s">
        <v>19</v>
      </c>
      <c r="BB2" s="99" t="s">
        <v>19</v>
      </c>
      <c r="BD2" s="99" t="s">
        <v>19</v>
      </c>
      <c r="BE2" s="99" t="s">
        <v>19</v>
      </c>
    </row>
    <row r="3" spans="2:64" ht="16" collapsed="1" x14ac:dyDescent="0.35">
      <c r="C3" s="100">
        <v>46143</v>
      </c>
      <c r="D3" s="101"/>
      <c r="E3" s="102" t="s">
        <v>41</v>
      </c>
      <c r="F3" s="102"/>
      <c r="G3" s="102"/>
      <c r="H3" s="102"/>
      <c r="I3" s="102"/>
      <c r="J3" s="102"/>
      <c r="K3" s="103" t="s">
        <v>41</v>
      </c>
      <c r="L3" s="102"/>
      <c r="M3" s="104"/>
      <c r="N3" s="102"/>
      <c r="O3" s="102"/>
      <c r="P3" s="102"/>
      <c r="Q3" s="102"/>
      <c r="R3" s="105"/>
      <c r="S3" s="104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5"/>
      <c r="AH3" s="100">
        <f>C3</f>
        <v>46143</v>
      </c>
      <c r="AI3" s="106" t="s">
        <v>5</v>
      </c>
      <c r="AJ3" s="102"/>
      <c r="AK3" s="102"/>
      <c r="AL3" s="102"/>
      <c r="AM3" s="102"/>
      <c r="AN3" s="102"/>
      <c r="AO3" s="103" t="s">
        <v>5</v>
      </c>
      <c r="AP3" s="102"/>
      <c r="AQ3" s="104"/>
      <c r="AR3" s="102"/>
      <c r="AS3" s="102"/>
      <c r="AT3" s="102"/>
      <c r="AU3" s="102"/>
      <c r="AV3" s="105"/>
      <c r="AW3" s="104"/>
      <c r="AX3" s="102"/>
      <c r="AY3" s="102"/>
      <c r="AZ3" s="102"/>
      <c r="BA3" s="102"/>
      <c r="BB3" s="102"/>
      <c r="BC3" s="102"/>
      <c r="BD3" s="102"/>
      <c r="BE3" s="102"/>
      <c r="BF3" s="102"/>
      <c r="BG3" s="102"/>
      <c r="BH3" s="102"/>
      <c r="BI3" s="102"/>
      <c r="BJ3" s="105"/>
    </row>
    <row r="4" spans="2:64" ht="7.5" customHeight="1" x14ac:dyDescent="0.35">
      <c r="R4"/>
      <c r="AF4"/>
      <c r="AV4"/>
      <c r="BJ4"/>
    </row>
    <row r="5" spans="2:64" s="107" customFormat="1" ht="26" x14ac:dyDescent="0.35">
      <c r="C5" s="108" t="s">
        <v>42</v>
      </c>
      <c r="D5" s="109"/>
      <c r="E5" s="110" t="s">
        <v>43</v>
      </c>
      <c r="F5" s="110" t="s">
        <v>44</v>
      </c>
      <c r="G5" s="110" t="s">
        <v>45</v>
      </c>
      <c r="H5" s="111" t="s">
        <v>46</v>
      </c>
      <c r="I5" s="110" t="s">
        <v>47</v>
      </c>
      <c r="J5" s="110" t="s">
        <v>48</v>
      </c>
      <c r="K5" s="111" t="s">
        <v>19</v>
      </c>
      <c r="L5" s="112" t="s">
        <v>49</v>
      </c>
      <c r="M5" s="109"/>
      <c r="N5" s="113" t="s">
        <v>20</v>
      </c>
      <c r="O5" s="114" t="s">
        <v>49</v>
      </c>
      <c r="P5" s="115" t="s">
        <v>50</v>
      </c>
      <c r="Q5" s="115" t="s">
        <v>51</v>
      </c>
      <c r="R5" s="116"/>
      <c r="S5" s="109"/>
      <c r="T5" s="117" t="s">
        <v>52</v>
      </c>
      <c r="U5" s="117" t="s">
        <v>44</v>
      </c>
      <c r="V5" s="117" t="s">
        <v>45</v>
      </c>
      <c r="W5" s="117" t="s">
        <v>53</v>
      </c>
      <c r="X5" s="117" t="s">
        <v>54</v>
      </c>
      <c r="Y5" s="118" t="s">
        <v>55</v>
      </c>
      <c r="Z5" s="117" t="s">
        <v>47</v>
      </c>
      <c r="AA5" s="117" t="s">
        <v>48</v>
      </c>
      <c r="AB5" s="118" t="s">
        <v>56</v>
      </c>
      <c r="AC5" s="119" t="s">
        <v>49</v>
      </c>
      <c r="AD5" s="120" t="s">
        <v>50</v>
      </c>
      <c r="AE5" s="120" t="s">
        <v>51</v>
      </c>
      <c r="AF5" s="121"/>
      <c r="AH5" s="323"/>
      <c r="AI5" s="110" t="s">
        <v>43</v>
      </c>
      <c r="AJ5" s="110" t="s">
        <v>44</v>
      </c>
      <c r="AK5" s="110" t="s">
        <v>45</v>
      </c>
      <c r="AL5" s="111" t="s">
        <v>46</v>
      </c>
      <c r="AM5" s="110" t="s">
        <v>47</v>
      </c>
      <c r="AN5" s="110" t="s">
        <v>48</v>
      </c>
      <c r="AO5" s="111" t="s">
        <v>19</v>
      </c>
      <c r="AP5" s="112" t="s">
        <v>49</v>
      </c>
      <c r="AQ5" s="109"/>
      <c r="AR5" s="113" t="s">
        <v>20</v>
      </c>
      <c r="AS5" s="114" t="s">
        <v>49</v>
      </c>
      <c r="AT5" s="115" t="s">
        <v>50</v>
      </c>
      <c r="AU5" s="115" t="s">
        <v>51</v>
      </c>
      <c r="AV5" s="116"/>
      <c r="AW5" s="109"/>
      <c r="AX5" s="117" t="s">
        <v>52</v>
      </c>
      <c r="AY5" s="117" t="s">
        <v>44</v>
      </c>
      <c r="AZ5" s="117" t="s">
        <v>45</v>
      </c>
      <c r="BA5" s="117" t="s">
        <v>53</v>
      </c>
      <c r="BB5" s="117" t="s">
        <v>54</v>
      </c>
      <c r="BC5" s="118" t="s">
        <v>55</v>
      </c>
      <c r="BD5" s="117" t="s">
        <v>47</v>
      </c>
      <c r="BE5" s="117" t="s">
        <v>48</v>
      </c>
      <c r="BF5" s="118" t="s">
        <v>56</v>
      </c>
      <c r="BG5" s="119" t="s">
        <v>49</v>
      </c>
      <c r="BH5" s="120" t="s">
        <v>50</v>
      </c>
      <c r="BI5" s="120" t="s">
        <v>51</v>
      </c>
      <c r="BJ5" s="121"/>
    </row>
    <row r="6" spans="2:64" ht="7.5" customHeight="1" x14ac:dyDescent="0.35">
      <c r="L6" s="122"/>
      <c r="O6" s="122"/>
      <c r="R6"/>
      <c r="AC6" s="122"/>
      <c r="AF6"/>
      <c r="AP6" s="122"/>
      <c r="AS6" s="122"/>
      <c r="AV6"/>
      <c r="BG6" s="122"/>
      <c r="BJ6"/>
    </row>
    <row r="7" spans="2:64" hidden="1" outlineLevel="1" x14ac:dyDescent="0.35">
      <c r="B7" t="s">
        <v>57</v>
      </c>
      <c r="C7" s="123" t="s">
        <v>57</v>
      </c>
      <c r="D7" s="124"/>
      <c r="E7" s="125">
        <v>124.2270882200001</v>
      </c>
      <c r="F7" s="125">
        <v>0</v>
      </c>
      <c r="G7" s="125">
        <v>0</v>
      </c>
      <c r="H7" s="126">
        <f>SUM(E7:G7)</f>
        <v>124.2270882200001</v>
      </c>
      <c r="I7" s="125">
        <v>0</v>
      </c>
      <c r="J7" s="125">
        <v>2.3283064365386962E-16</v>
      </c>
      <c r="K7" s="126">
        <f>SUM(H7:J7)</f>
        <v>124.2270882200001</v>
      </c>
      <c r="L7" s="127"/>
      <c r="M7" s="124"/>
      <c r="N7" s="126"/>
      <c r="O7" s="127"/>
      <c r="P7" s="128"/>
      <c r="Q7" s="129"/>
      <c r="R7" s="130"/>
      <c r="S7" s="124"/>
      <c r="T7" s="125">
        <v>105.26204021000004</v>
      </c>
      <c r="U7" s="125">
        <v>0</v>
      </c>
      <c r="V7" s="125">
        <v>0</v>
      </c>
      <c r="W7" s="125">
        <v>0</v>
      </c>
      <c r="X7" s="125">
        <v>-1.2994338300000003</v>
      </c>
      <c r="Y7" s="126">
        <f>SUM(T7:X7)</f>
        <v>103.96260638000004</v>
      </c>
      <c r="Z7" s="125">
        <v>0</v>
      </c>
      <c r="AA7" s="125">
        <v>0</v>
      </c>
      <c r="AB7" s="126">
        <f>SUM(Y7:AA7)</f>
        <v>103.96260638000004</v>
      </c>
      <c r="AC7" s="127"/>
      <c r="AD7" s="128"/>
      <c r="AE7" s="129"/>
      <c r="AF7" s="130"/>
      <c r="AH7" s="123" t="s">
        <v>57</v>
      </c>
      <c r="AI7" s="125">
        <v>590.92391388929309</v>
      </c>
      <c r="AJ7" s="125">
        <v>0</v>
      </c>
      <c r="AK7" s="125">
        <v>0</v>
      </c>
      <c r="AL7" s="126">
        <f>SUM(AI7:AK7)</f>
        <v>590.92391388929309</v>
      </c>
      <c r="AM7" s="125">
        <v>0</v>
      </c>
      <c r="AN7" s="125">
        <v>3.4924596548080445E-16</v>
      </c>
      <c r="AO7" s="126">
        <f>SUM(AL7:AN7)</f>
        <v>590.92391388929309</v>
      </c>
      <c r="AP7" s="127"/>
      <c r="AQ7" s="124"/>
      <c r="AR7" s="126"/>
      <c r="AS7" s="127"/>
      <c r="AT7" s="128"/>
      <c r="AU7" s="129"/>
      <c r="AV7" s="130"/>
      <c r="AW7" s="124"/>
      <c r="AX7" s="125">
        <v>508.29343694112316</v>
      </c>
      <c r="AY7" s="125">
        <v>0</v>
      </c>
      <c r="AZ7" s="125">
        <v>0</v>
      </c>
      <c r="BA7" s="125">
        <v>0</v>
      </c>
      <c r="BB7" s="125">
        <v>-5.0745383400000019</v>
      </c>
      <c r="BC7" s="126">
        <f>SUM(AX7:BB7)</f>
        <v>503.21889860112316</v>
      </c>
      <c r="BD7" s="125">
        <v>0</v>
      </c>
      <c r="BE7" s="125">
        <v>0</v>
      </c>
      <c r="BF7" s="126">
        <f>SUM(BC7:BE7)</f>
        <v>503.21889860112316</v>
      </c>
      <c r="BG7" s="127"/>
      <c r="BH7" s="128"/>
      <c r="BI7" s="129"/>
      <c r="BJ7" s="130"/>
    </row>
    <row r="8" spans="2:64" hidden="1" outlineLevel="1" x14ac:dyDescent="0.35">
      <c r="B8" t="s">
        <v>58</v>
      </c>
      <c r="C8" s="123" t="s">
        <v>58</v>
      </c>
      <c r="D8" s="131"/>
      <c r="E8" s="125">
        <v>-10.492420040874997</v>
      </c>
      <c r="F8" s="125">
        <v>0</v>
      </c>
      <c r="G8" s="125">
        <v>0</v>
      </c>
      <c r="H8" s="126">
        <f>SUM(E8:G8)</f>
        <v>-10.492420040874997</v>
      </c>
      <c r="I8" s="125">
        <v>0</v>
      </c>
      <c r="J8" s="125">
        <v>0</v>
      </c>
      <c r="K8" s="126">
        <f>SUM(H8:J8)</f>
        <v>-10.492420040874997</v>
      </c>
      <c r="L8" s="127"/>
      <c r="M8" s="131"/>
      <c r="N8" s="126"/>
      <c r="O8" s="127"/>
      <c r="P8" s="128"/>
      <c r="Q8" s="129"/>
      <c r="R8" s="130"/>
      <c r="S8" s="131"/>
      <c r="T8" s="125">
        <v>-8.7770623911600065</v>
      </c>
      <c r="U8" s="125">
        <v>0</v>
      </c>
      <c r="V8" s="125">
        <v>0</v>
      </c>
      <c r="W8" s="125">
        <v>0</v>
      </c>
      <c r="X8" s="125">
        <v>0</v>
      </c>
      <c r="Y8" s="126">
        <f t="shared" ref="Y8:Y10" si="0">SUM(T8:X8)</f>
        <v>-8.7770623911600065</v>
      </c>
      <c r="Z8" s="125">
        <v>0</v>
      </c>
      <c r="AA8" s="125">
        <v>0</v>
      </c>
      <c r="AB8" s="126">
        <f>SUM(Y8:AA8)</f>
        <v>-8.7770623911600065</v>
      </c>
      <c r="AC8" s="127"/>
      <c r="AD8" s="128"/>
      <c r="AE8" s="129"/>
      <c r="AF8" s="130"/>
      <c r="AH8" s="123" t="s">
        <v>58</v>
      </c>
      <c r="AI8" s="125">
        <v>-47.45713467725777</v>
      </c>
      <c r="AJ8" s="125">
        <v>0</v>
      </c>
      <c r="AK8" s="125">
        <v>0</v>
      </c>
      <c r="AL8" s="126">
        <f>SUM(AI8:AK8)</f>
        <v>-47.45713467725777</v>
      </c>
      <c r="AM8" s="125">
        <v>0</v>
      </c>
      <c r="AN8" s="125">
        <v>0</v>
      </c>
      <c r="AO8" s="126">
        <f>SUM(AL8:AN8)</f>
        <v>-47.45713467725777</v>
      </c>
      <c r="AP8" s="127"/>
      <c r="AQ8" s="131"/>
      <c r="AR8" s="126"/>
      <c r="AS8" s="127"/>
      <c r="AT8" s="128"/>
      <c r="AU8" s="129"/>
      <c r="AV8" s="130"/>
      <c r="AW8" s="131"/>
      <c r="AX8" s="125">
        <v>-41.662829759255004</v>
      </c>
      <c r="AY8" s="125">
        <v>0</v>
      </c>
      <c r="AZ8" s="125">
        <v>0</v>
      </c>
      <c r="BA8" s="125">
        <v>0</v>
      </c>
      <c r="BB8" s="125">
        <v>0</v>
      </c>
      <c r="BC8" s="126">
        <f t="shared" ref="BC8:BC10" si="1">SUM(AX8:BB8)</f>
        <v>-41.662829759255004</v>
      </c>
      <c r="BD8" s="125">
        <v>0</v>
      </c>
      <c r="BE8" s="125">
        <v>0</v>
      </c>
      <c r="BF8" s="126">
        <f>SUM(BC8:BE8)</f>
        <v>-41.662829759255004</v>
      </c>
      <c r="BG8" s="127"/>
      <c r="BH8" s="128"/>
      <c r="BI8" s="129"/>
      <c r="BJ8" s="130"/>
    </row>
    <row r="9" spans="2:64" collapsed="1" x14ac:dyDescent="0.35">
      <c r="B9" t="s">
        <v>59</v>
      </c>
      <c r="C9" s="131" t="s">
        <v>59</v>
      </c>
      <c r="D9" s="124"/>
      <c r="E9" s="126">
        <f>SUM(E7:E8)</f>
        <v>113.73466817912509</v>
      </c>
      <c r="F9" s="126">
        <f t="shared" ref="F9:K9" si="2">SUM(F7:F8)</f>
        <v>0</v>
      </c>
      <c r="G9" s="126">
        <f t="shared" si="2"/>
        <v>0</v>
      </c>
      <c r="H9" s="126">
        <f t="shared" si="2"/>
        <v>113.73466817912509</v>
      </c>
      <c r="I9" s="126">
        <f t="shared" si="2"/>
        <v>0</v>
      </c>
      <c r="J9" s="126">
        <f t="shared" si="2"/>
        <v>2.3283064365386962E-16</v>
      </c>
      <c r="K9" s="126">
        <f t="shared" si="2"/>
        <v>113.73466817912509</v>
      </c>
      <c r="L9" s="132">
        <f>IFERROR(K9/K$9,0)</f>
        <v>1</v>
      </c>
      <c r="M9" s="124"/>
      <c r="N9" s="126">
        <v>113.07077002367129</v>
      </c>
      <c r="O9" s="132">
        <f>IFERROR(N9/N$9,0)</f>
        <v>1</v>
      </c>
      <c r="P9" s="133">
        <f>K9-N9</f>
        <v>0.6638981554538077</v>
      </c>
      <c r="Q9" s="134">
        <f>IFERROR(K9/N9-1,"")</f>
        <v>5.8715276752323575E-3</v>
      </c>
      <c r="R9" s="135">
        <f>IF(Q9&gt;0.05,1,IF(Q9&lt;-0.05,-1,0))</f>
        <v>0</v>
      </c>
      <c r="S9" s="124"/>
      <c r="T9" s="126">
        <f>SUM(T7:T8)</f>
        <v>96.484977818840036</v>
      </c>
      <c r="U9" s="126">
        <f t="shared" ref="U9:AB9" si="3">SUM(U7:U8)</f>
        <v>0</v>
      </c>
      <c r="V9" s="126">
        <f t="shared" si="3"/>
        <v>0</v>
      </c>
      <c r="W9" s="126">
        <f t="shared" si="3"/>
        <v>0</v>
      </c>
      <c r="X9" s="126">
        <f t="shared" si="3"/>
        <v>-1.2994338300000003</v>
      </c>
      <c r="Y9" s="126">
        <f t="shared" si="0"/>
        <v>95.185543988840038</v>
      </c>
      <c r="Z9" s="126">
        <f t="shared" si="3"/>
        <v>0</v>
      </c>
      <c r="AA9" s="126">
        <f t="shared" si="3"/>
        <v>0</v>
      </c>
      <c r="AB9" s="126">
        <f t="shared" si="3"/>
        <v>95.185543988840038</v>
      </c>
      <c r="AC9" s="132">
        <f>IFERROR(AB9/AB$9,0)</f>
        <v>1</v>
      </c>
      <c r="AD9" s="133">
        <f>$K9-AB9</f>
        <v>18.549124190285056</v>
      </c>
      <c r="AE9" s="134">
        <f>IFERROR(K9/AB9-1,"")</f>
        <v>0.19487333278738039</v>
      </c>
      <c r="AF9" s="135">
        <f>IF(AE9&gt;0.05,1,IF(AE9&lt;-0.05,-1,0))</f>
        <v>1</v>
      </c>
      <c r="AG9" s="94"/>
      <c r="AH9" s="131" t="s">
        <v>59</v>
      </c>
      <c r="AI9" s="126">
        <f>SUM(AI7:AI8)</f>
        <v>543.46677921203536</v>
      </c>
      <c r="AJ9" s="126">
        <f t="shared" ref="AJ9:AO9" si="4">SUM(AJ7:AJ8)</f>
        <v>0</v>
      </c>
      <c r="AK9" s="126">
        <f t="shared" si="4"/>
        <v>0</v>
      </c>
      <c r="AL9" s="126">
        <f t="shared" si="4"/>
        <v>543.46677921203536</v>
      </c>
      <c r="AM9" s="126">
        <f t="shared" si="4"/>
        <v>0</v>
      </c>
      <c r="AN9" s="126">
        <f t="shared" si="4"/>
        <v>3.4924596548080445E-16</v>
      </c>
      <c r="AO9" s="126">
        <f t="shared" si="4"/>
        <v>543.46677921203536</v>
      </c>
      <c r="AP9" s="132">
        <f>IFERROR(AO9/AO$9,0)</f>
        <v>1</v>
      </c>
      <c r="AQ9" s="124"/>
      <c r="AR9" s="126">
        <v>541.69577162352141</v>
      </c>
      <c r="AS9" s="132">
        <f>IFERROR(AR9/AR$9,0)</f>
        <v>1</v>
      </c>
      <c r="AT9" s="133">
        <f>AO9-AR9</f>
        <v>1.7710075885139531</v>
      </c>
      <c r="AU9" s="134">
        <f>IFERROR(AO9/AR9-1,"")</f>
        <v>3.2693768002030055E-3</v>
      </c>
      <c r="AV9" s="135">
        <f>IF(AU9&gt;0.05,1,IF(AU9&lt;-0.05,-1,0))</f>
        <v>0</v>
      </c>
      <c r="AW9" s="124"/>
      <c r="AX9" s="126">
        <f>SUM(AX7:AX8)</f>
        <v>466.63060718186819</v>
      </c>
      <c r="AY9" s="126">
        <f t="shared" ref="AY9:BB9" si="5">SUM(AY7:AY8)</f>
        <v>0</v>
      </c>
      <c r="AZ9" s="126">
        <f t="shared" si="5"/>
        <v>0</v>
      </c>
      <c r="BA9" s="126">
        <f t="shared" si="5"/>
        <v>0</v>
      </c>
      <c r="BB9" s="126">
        <f t="shared" si="5"/>
        <v>-5.0745383400000019</v>
      </c>
      <c r="BC9" s="126">
        <f t="shared" si="1"/>
        <v>461.55606884186818</v>
      </c>
      <c r="BD9" s="126">
        <f t="shared" ref="BD9:BF9" si="6">SUM(BD7:BD8)</f>
        <v>0</v>
      </c>
      <c r="BE9" s="126">
        <f t="shared" si="6"/>
        <v>0</v>
      </c>
      <c r="BF9" s="126">
        <f t="shared" si="6"/>
        <v>461.55606884186818</v>
      </c>
      <c r="BG9" s="132">
        <f>IFERROR(BF9/BF$9,0)</f>
        <v>1</v>
      </c>
      <c r="BH9" s="133">
        <f>$AO9-BF9</f>
        <v>81.91071037016718</v>
      </c>
      <c r="BI9" s="134">
        <f>IFERROR(AO9/BF9-1,"")</f>
        <v>0.177466435607047</v>
      </c>
      <c r="BJ9" s="135">
        <f>IF(BI9&gt;0.05,1,IF(BI9&lt;-0.05,-1,0))</f>
        <v>1</v>
      </c>
    </row>
    <row r="10" spans="2:64" x14ac:dyDescent="0.35">
      <c r="B10" t="s">
        <v>60</v>
      </c>
      <c r="C10" s="123" t="s">
        <v>61</v>
      </c>
      <c r="D10" s="131"/>
      <c r="E10" s="125">
        <v>-38.090190790520253</v>
      </c>
      <c r="F10" s="125">
        <v>0</v>
      </c>
      <c r="G10" s="125">
        <v>1.2186270165999999</v>
      </c>
      <c r="H10" s="125">
        <f>SUM(E10:G10)</f>
        <v>-36.871563773920251</v>
      </c>
      <c r="I10" s="125">
        <v>0</v>
      </c>
      <c r="J10" s="125">
        <v>0</v>
      </c>
      <c r="K10" s="125">
        <f>SUM(H10:J10)</f>
        <v>-36.871563773920251</v>
      </c>
      <c r="L10" s="136">
        <f t="shared" ref="L10:L11" si="7">IFERROR(K10/K$9,0)</f>
        <v>-0.32418931152856412</v>
      </c>
      <c r="M10" s="131"/>
      <c r="N10" s="125">
        <v>-38.265249946288357</v>
      </c>
      <c r="O10" s="136">
        <f t="shared" ref="O10:O11" si="8">IFERROR(N10/N$9,0)</f>
        <v>-0.33841858455795032</v>
      </c>
      <c r="P10" s="137">
        <f>K10-N10</f>
        <v>1.3936861723681062</v>
      </c>
      <c r="Q10" s="138">
        <f t="shared" ref="Q10:Q11" si="9">IFERROR(K10/N10-1,"")</f>
        <v>-3.6421718774197864E-2</v>
      </c>
      <c r="R10" s="139"/>
      <c r="S10" s="131"/>
      <c r="T10" s="125">
        <v>-33.679461150429255</v>
      </c>
      <c r="U10" s="125">
        <v>0</v>
      </c>
      <c r="V10" s="125">
        <v>1.8643878955674447</v>
      </c>
      <c r="W10" s="125">
        <v>0</v>
      </c>
      <c r="X10" s="125">
        <v>1.2994338300000003</v>
      </c>
      <c r="Y10" s="125">
        <f t="shared" si="0"/>
        <v>-30.51563942486181</v>
      </c>
      <c r="Z10" s="125">
        <v>0</v>
      </c>
      <c r="AA10" s="125">
        <v>0</v>
      </c>
      <c r="AB10" s="125">
        <f>SUM(Y10:AA10)</f>
        <v>-30.51563942486181</v>
      </c>
      <c r="AC10" s="136">
        <f t="shared" ref="AC10:AC11" si="10">IFERROR(AB10/AB$9,0)</f>
        <v>-0.32059111232730458</v>
      </c>
      <c r="AD10" s="137">
        <f t="shared" ref="AD10:AD11" si="11">$K10-AB10</f>
        <v>-6.3559243490584407</v>
      </c>
      <c r="AE10" s="138">
        <f>IFERROR(K10/AB10-1,"")</f>
        <v>0.20828416080575773</v>
      </c>
      <c r="AF10" s="139"/>
      <c r="AH10" s="123" t="s">
        <v>61</v>
      </c>
      <c r="AI10" s="125">
        <v>-185.92998806810837</v>
      </c>
      <c r="AJ10" s="125">
        <v>0</v>
      </c>
      <c r="AK10" s="125">
        <v>4.1597062411844838</v>
      </c>
      <c r="AL10" s="125">
        <f>SUM(AI10:AK10)</f>
        <v>-181.77028182692388</v>
      </c>
      <c r="AM10" s="125">
        <v>0</v>
      </c>
      <c r="AN10" s="125">
        <v>0</v>
      </c>
      <c r="AO10" s="125">
        <f>SUM(AL10:AN10)</f>
        <v>-181.77028182692388</v>
      </c>
      <c r="AP10" s="136">
        <f t="shared" ref="AP10:AP11" si="12">IFERROR(AO10/AO$9,0)</f>
        <v>-0.33446438453969529</v>
      </c>
      <c r="AQ10" s="131"/>
      <c r="AR10" s="125">
        <v>-182.95621871167742</v>
      </c>
      <c r="AS10" s="136">
        <f t="shared" ref="AS10:AS11" si="13">IFERROR(AR10/AR$9,0)</f>
        <v>-0.33774717894388884</v>
      </c>
      <c r="AT10" s="137">
        <f t="shared" ref="AT10:AT11" si="14">AO10-AR10</f>
        <v>1.185936884753545</v>
      </c>
      <c r="AU10" s="138">
        <f t="shared" ref="AU10:AU11" si="15">IFERROR(AO10/AR10-1,"")</f>
        <v>-6.4820802107987685E-3</v>
      </c>
      <c r="AV10" s="139"/>
      <c r="AW10" s="131"/>
      <c r="AX10" s="125">
        <v>-170.50280094077462</v>
      </c>
      <c r="AY10" s="125">
        <v>0</v>
      </c>
      <c r="AZ10" s="125">
        <v>9.6893797543179687</v>
      </c>
      <c r="BA10" s="125">
        <v>-0.26966965999999998</v>
      </c>
      <c r="BB10" s="125">
        <v>5.074538340000001</v>
      </c>
      <c r="BC10" s="125">
        <f t="shared" si="1"/>
        <v>-156.00855250645665</v>
      </c>
      <c r="BD10" s="125">
        <v>0</v>
      </c>
      <c r="BE10" s="125">
        <v>0</v>
      </c>
      <c r="BF10" s="125">
        <f>SUM(BC10:BE10)</f>
        <v>-156.00855250645665</v>
      </c>
      <c r="BG10" s="136">
        <f t="shared" ref="BG10:BG11" si="16">IFERROR(BF10/BF$9,0)</f>
        <v>-0.33800563580046022</v>
      </c>
      <c r="BH10" s="137">
        <f t="shared" ref="BH10:BH11" si="17">$AO10-BF10</f>
        <v>-25.761729320467225</v>
      </c>
      <c r="BI10" s="138">
        <f>IFERROR(AO10/BF10-1,"")</f>
        <v>0.16513023745541799</v>
      </c>
      <c r="BJ10" s="139"/>
    </row>
    <row r="11" spans="2:64" x14ac:dyDescent="0.35">
      <c r="C11" s="140" t="s">
        <v>62</v>
      </c>
      <c r="D11" s="124"/>
      <c r="E11" s="141">
        <f>SUM(E9:E10)</f>
        <v>75.644477388604841</v>
      </c>
      <c r="F11" s="141">
        <f t="shared" ref="F11:K11" si="18">SUM(F9:F10)</f>
        <v>0</v>
      </c>
      <c r="G11" s="141">
        <f t="shared" si="18"/>
        <v>1.2186270165999999</v>
      </c>
      <c r="H11" s="141">
        <f t="shared" si="18"/>
        <v>76.863104405204837</v>
      </c>
      <c r="I11" s="141">
        <f t="shared" si="18"/>
        <v>0</v>
      </c>
      <c r="J11" s="141">
        <f t="shared" si="18"/>
        <v>2.3283064365386962E-16</v>
      </c>
      <c r="K11" s="141">
        <f t="shared" si="18"/>
        <v>76.863104405204837</v>
      </c>
      <c r="L11" s="142">
        <f t="shared" si="7"/>
        <v>0.67581068847143588</v>
      </c>
      <c r="M11" s="124"/>
      <c r="N11" s="141">
        <f>N9+N10</f>
        <v>74.805520077382937</v>
      </c>
      <c r="O11" s="142">
        <f t="shared" si="8"/>
        <v>0.66158141544204974</v>
      </c>
      <c r="P11" s="143">
        <f t="shared" ref="P11" si="19">K11-N11</f>
        <v>2.0575843278218997</v>
      </c>
      <c r="Q11" s="144">
        <f t="shared" si="9"/>
        <v>2.7505782002363199E-2</v>
      </c>
      <c r="R11" s="145">
        <f>IF(Q11&gt;0.05,1,IF(Q11&lt;-0.05,-1,0))</f>
        <v>0</v>
      </c>
      <c r="S11" s="124"/>
      <c r="T11" s="141">
        <f t="shared" ref="T11:AB11" si="20">SUM(T9:T10)</f>
        <v>62.805516668410782</v>
      </c>
      <c r="U11" s="141">
        <f t="shared" si="20"/>
        <v>0</v>
      </c>
      <c r="V11" s="141">
        <f t="shared" si="20"/>
        <v>1.8643878955674447</v>
      </c>
      <c r="W11" s="141">
        <f t="shared" si="20"/>
        <v>0</v>
      </c>
      <c r="X11" s="141">
        <f t="shared" si="20"/>
        <v>0</v>
      </c>
      <c r="Y11" s="141">
        <f t="shared" si="20"/>
        <v>64.669904563978236</v>
      </c>
      <c r="Z11" s="141">
        <f t="shared" si="20"/>
        <v>0</v>
      </c>
      <c r="AA11" s="141">
        <f t="shared" si="20"/>
        <v>0</v>
      </c>
      <c r="AB11" s="141">
        <f t="shared" si="20"/>
        <v>64.669904563978236</v>
      </c>
      <c r="AC11" s="142">
        <f t="shared" si="10"/>
        <v>0.67940888767269547</v>
      </c>
      <c r="AD11" s="143">
        <f t="shared" si="11"/>
        <v>12.193199841226601</v>
      </c>
      <c r="AE11" s="144">
        <f>IFERROR(K11/AB11-1,"")</f>
        <v>0.18854519615324028</v>
      </c>
      <c r="AF11" s="145">
        <f>IF(AE11&gt;0.05,1,IF(AE11&lt;-0.05,-1,0))</f>
        <v>1</v>
      </c>
      <c r="AG11" s="94"/>
      <c r="AH11" s="140" t="s">
        <v>62</v>
      </c>
      <c r="AI11" s="141">
        <f>SUM(AI9:AI10)</f>
        <v>357.53679114392696</v>
      </c>
      <c r="AJ11" s="141">
        <f t="shared" ref="AJ11:AO11" si="21">SUM(AJ9:AJ10)</f>
        <v>0</v>
      </c>
      <c r="AK11" s="141">
        <f t="shared" si="21"/>
        <v>4.1597062411844838</v>
      </c>
      <c r="AL11" s="141">
        <f t="shared" si="21"/>
        <v>361.69649738511146</v>
      </c>
      <c r="AM11" s="141">
        <f t="shared" si="21"/>
        <v>0</v>
      </c>
      <c r="AN11" s="141">
        <f t="shared" si="21"/>
        <v>3.4924596548080445E-16</v>
      </c>
      <c r="AO11" s="141">
        <f t="shared" si="21"/>
        <v>361.69649738511146</v>
      </c>
      <c r="AP11" s="142">
        <f t="shared" si="12"/>
        <v>0.6655356154603046</v>
      </c>
      <c r="AQ11" s="124"/>
      <c r="AR11" s="141">
        <f>AR9+AR10</f>
        <v>358.73955291184399</v>
      </c>
      <c r="AS11" s="142">
        <f t="shared" si="13"/>
        <v>0.66225282105611116</v>
      </c>
      <c r="AT11" s="143">
        <f t="shared" si="14"/>
        <v>2.9569444732674697</v>
      </c>
      <c r="AU11" s="144">
        <f t="shared" si="15"/>
        <v>8.2425939634096501E-3</v>
      </c>
      <c r="AV11" s="145">
        <f>IF(AU11&gt;0.05,1,IF(AU11&lt;-0.05,-1,0))</f>
        <v>0</v>
      </c>
      <c r="AW11" s="124"/>
      <c r="AX11" s="141">
        <f t="shared" ref="AX11:BF11" si="22">SUM(AX9:AX10)</f>
        <v>296.12780624109359</v>
      </c>
      <c r="AY11" s="141">
        <f t="shared" si="22"/>
        <v>0</v>
      </c>
      <c r="AZ11" s="141">
        <f t="shared" si="22"/>
        <v>9.6893797543179687</v>
      </c>
      <c r="BA11" s="141">
        <f t="shared" si="22"/>
        <v>-0.26966965999999998</v>
      </c>
      <c r="BB11" s="141">
        <f t="shared" si="22"/>
        <v>0</v>
      </c>
      <c r="BC11" s="141">
        <f t="shared" si="22"/>
        <v>305.5475163354115</v>
      </c>
      <c r="BD11" s="141">
        <f t="shared" si="22"/>
        <v>0</v>
      </c>
      <c r="BE11" s="141">
        <f t="shared" si="22"/>
        <v>0</v>
      </c>
      <c r="BF11" s="141">
        <f t="shared" si="22"/>
        <v>305.5475163354115</v>
      </c>
      <c r="BG11" s="142">
        <f t="shared" si="16"/>
        <v>0.66199436419953972</v>
      </c>
      <c r="BH11" s="143">
        <f t="shared" si="17"/>
        <v>56.148981049699955</v>
      </c>
      <c r="BI11" s="144">
        <f>IFERROR(AO11/BF11-1,"")</f>
        <v>0.1837651365101034</v>
      </c>
      <c r="BJ11" s="145">
        <f>IF(BI11&gt;0.05,1,IF(BI11&lt;-0.05,-1,0))</f>
        <v>1</v>
      </c>
    </row>
    <row r="12" spans="2:64" ht="7.5" customHeight="1" x14ac:dyDescent="0.35">
      <c r="L12" s="146"/>
      <c r="O12" s="146"/>
      <c r="R12"/>
      <c r="AC12" s="146"/>
      <c r="AF12"/>
      <c r="AP12" s="146"/>
      <c r="AS12" s="146"/>
      <c r="AV12"/>
      <c r="BG12" s="146"/>
      <c r="BJ12"/>
    </row>
    <row r="13" spans="2:64" x14ac:dyDescent="0.35">
      <c r="C13" s="147" t="s">
        <v>63</v>
      </c>
      <c r="D13" s="148"/>
      <c r="E13" s="149">
        <f>SUM(E14:E18)</f>
        <v>-41.175391276375422</v>
      </c>
      <c r="F13" s="149">
        <f t="shared" ref="F13:J13" si="23">SUM(F14:F18)</f>
        <v>-0.48076930000000001</v>
      </c>
      <c r="G13" s="149">
        <f t="shared" si="23"/>
        <v>-1.2186270165999999</v>
      </c>
      <c r="H13" s="149">
        <f t="shared" si="23"/>
        <v>-42.87478759297543</v>
      </c>
      <c r="I13" s="149">
        <f t="shared" si="23"/>
        <v>8.6874999999999994E-2</v>
      </c>
      <c r="J13" s="149">
        <f t="shared" si="23"/>
        <v>0</v>
      </c>
      <c r="K13" s="149">
        <f>SUM(K14:K18)</f>
        <v>-42.787912592975424</v>
      </c>
      <c r="L13" s="150">
        <f t="shared" ref="L13:L22" si="24">IFERROR(K13/K$9,0)</f>
        <v>-0.37620818065417921</v>
      </c>
      <c r="M13" s="148"/>
      <c r="N13" s="149">
        <f>SUM(N14:N18)</f>
        <v>-48.034142108911666</v>
      </c>
      <c r="O13" s="150">
        <f t="shared" ref="O13:O22" si="25">IFERROR(N13/N$9,0)</f>
        <v>-0.42481484913258971</v>
      </c>
      <c r="P13" s="151">
        <f t="shared" ref="P13:P38" si="26">K13-N13</f>
        <v>5.2462295159362426</v>
      </c>
      <c r="Q13" s="152">
        <f t="shared" ref="Q13:Q38" si="27">IFERROR(K13/N13-1,"")</f>
        <v>-0.10921876160588118</v>
      </c>
      <c r="R13" s="153"/>
      <c r="S13" s="148"/>
      <c r="T13" s="149">
        <f>SUM(T14:T18)</f>
        <v>-39.982951786254091</v>
      </c>
      <c r="U13" s="149">
        <f t="shared" ref="U13:AA13" si="28">SUM(U14:U18)</f>
        <v>-0.12618796000000002</v>
      </c>
      <c r="V13" s="149">
        <f t="shared" si="28"/>
        <v>-1.8643878955674449</v>
      </c>
      <c r="W13" s="149">
        <f t="shared" si="28"/>
        <v>0</v>
      </c>
      <c r="X13" s="149">
        <f t="shared" si="28"/>
        <v>0</v>
      </c>
      <c r="Y13" s="149">
        <f t="shared" si="28"/>
        <v>-41.973527641821534</v>
      </c>
      <c r="Z13" s="149">
        <f t="shared" si="28"/>
        <v>2.2572009999999997E-2</v>
      </c>
      <c r="AA13" s="149">
        <f t="shared" si="28"/>
        <v>0</v>
      </c>
      <c r="AB13" s="149">
        <f>SUM(AB14:AB18)</f>
        <v>-41.950955631821536</v>
      </c>
      <c r="AC13" s="150">
        <f t="shared" ref="AC13:AC22" si="29">IFERROR(AB13/AB$9,0)</f>
        <v>-0.44072822273033441</v>
      </c>
      <c r="AD13" s="151">
        <f t="shared" ref="AD13:AD38" si="30">$K13-AB13</f>
        <v>-0.83695696115388785</v>
      </c>
      <c r="AE13" s="152">
        <f t="shared" ref="AE13:AE22" si="31">IFERROR(K13/AB13-1,"")</f>
        <v>1.9950843754296343E-2</v>
      </c>
      <c r="AF13" s="153"/>
      <c r="AG13" s="94"/>
      <c r="AH13" s="147" t="s">
        <v>63</v>
      </c>
      <c r="AI13" s="149">
        <f>SUM(AI14:AI18)</f>
        <v>-230.83726089128524</v>
      </c>
      <c r="AJ13" s="149">
        <f t="shared" ref="AJ13:AN13" si="32">SUM(AJ14:AJ18)</f>
        <v>0.54364769999999274</v>
      </c>
      <c r="AK13" s="149">
        <f t="shared" si="32"/>
        <v>-4.1597062411844838</v>
      </c>
      <c r="AL13" s="149">
        <f t="shared" si="32"/>
        <v>-234.45331943246975</v>
      </c>
      <c r="AM13" s="149">
        <f t="shared" si="32"/>
        <v>0.62187499999999996</v>
      </c>
      <c r="AN13" s="149">
        <f t="shared" si="32"/>
        <v>0</v>
      </c>
      <c r="AO13" s="149">
        <f>SUM(AO14:AO18)</f>
        <v>-233.83144443246977</v>
      </c>
      <c r="AP13" s="150">
        <f t="shared" ref="AP13:AP22" si="33">IFERROR(AO13/AO$9,0)</f>
        <v>-0.43025894751377186</v>
      </c>
      <c r="AQ13" s="148"/>
      <c r="AR13" s="149">
        <f>SUM(AR14:AR18)</f>
        <v>-232.09528935940745</v>
      </c>
      <c r="AS13" s="150">
        <f t="shared" ref="AS13:AS22" si="34">IFERROR(AR13/AR$9,0)</f>
        <v>-0.42846058898298672</v>
      </c>
      <c r="AT13" s="151">
        <f t="shared" ref="AT13:AT22" si="35">AO13-AR13</f>
        <v>-1.7361550730623208</v>
      </c>
      <c r="AU13" s="152">
        <f t="shared" ref="AU13:AU22" si="36">IFERROR(AO13/AR13-1,"")</f>
        <v>7.4803546330224346E-3</v>
      </c>
      <c r="AV13" s="153"/>
      <c r="AW13" s="148"/>
      <c r="AX13" s="149">
        <f>SUM(AX14:AX18)</f>
        <v>-190.50089050550429</v>
      </c>
      <c r="AY13" s="149">
        <f t="shared" ref="AY13:BE13" si="37">SUM(AY14:AY18)</f>
        <v>-5.8884284900000008</v>
      </c>
      <c r="AZ13" s="149">
        <f t="shared" si="37"/>
        <v>-9.6893797543179545</v>
      </c>
      <c r="BA13" s="149">
        <f t="shared" si="37"/>
        <v>0.26966965999999998</v>
      </c>
      <c r="BB13" s="149">
        <f t="shared" si="37"/>
        <v>0</v>
      </c>
      <c r="BC13" s="149">
        <f t="shared" si="37"/>
        <v>-205.80902908982222</v>
      </c>
      <c r="BD13" s="149">
        <f t="shared" si="37"/>
        <v>-0.55265431000000009</v>
      </c>
      <c r="BE13" s="149">
        <f t="shared" si="37"/>
        <v>0</v>
      </c>
      <c r="BF13" s="149">
        <f>SUM(BF14:BF18)</f>
        <v>-206.36168339982223</v>
      </c>
      <c r="BG13" s="150">
        <f t="shared" ref="BG13:BG22" si="38">IFERROR(BF13/BF$9,0)</f>
        <v>-0.44709992421424094</v>
      </c>
      <c r="BH13" s="151">
        <f t="shared" ref="BH13:BH24" si="39">$AO13-BF13</f>
        <v>-27.46976103264754</v>
      </c>
      <c r="BI13" s="152">
        <f t="shared" ref="BI13:BI22" si="40">IFERROR(AO13/BF13-1,"")</f>
        <v>0.13311463921054245</v>
      </c>
      <c r="BJ13" s="153"/>
    </row>
    <row r="14" spans="2:64" x14ac:dyDescent="0.35">
      <c r="B14" t="s">
        <v>64</v>
      </c>
      <c r="C14" s="123" t="s">
        <v>64</v>
      </c>
      <c r="D14" s="148"/>
      <c r="E14" s="125">
        <v>-14.739141556989333</v>
      </c>
      <c r="F14" s="125">
        <v>-0.4652693</v>
      </c>
      <c r="G14" s="125">
        <v>2.2207366931947332</v>
      </c>
      <c r="H14" s="125">
        <f>SUM(E14:G14)</f>
        <v>-12.9836741637946</v>
      </c>
      <c r="I14" s="125">
        <v>8.6874999999999994E-2</v>
      </c>
      <c r="J14" s="125">
        <v>0</v>
      </c>
      <c r="K14" s="125">
        <f t="shared" ref="K14:K22" si="41">SUM(H14:J14)</f>
        <v>-12.896799163794601</v>
      </c>
      <c r="L14" s="154">
        <f t="shared" si="24"/>
        <v>-0.1133937379892201</v>
      </c>
      <c r="M14" s="148"/>
      <c r="N14" s="125">
        <v>-13.844132008972375</v>
      </c>
      <c r="O14" s="154">
        <f t="shared" si="25"/>
        <v>-0.12243776182008945</v>
      </c>
      <c r="P14" s="155">
        <f t="shared" si="26"/>
        <v>0.94733284517777427</v>
      </c>
      <c r="Q14" s="156">
        <f t="shared" si="27"/>
        <v>-6.8428475296523295E-2</v>
      </c>
      <c r="R14" s="157"/>
      <c r="S14" s="148"/>
      <c r="T14" s="125">
        <v>-13.50822893751255</v>
      </c>
      <c r="U14" s="125">
        <v>-0.12618796000000002</v>
      </c>
      <c r="V14" s="125">
        <v>1.0637550473888888</v>
      </c>
      <c r="W14" s="125">
        <v>0</v>
      </c>
      <c r="X14" s="125">
        <v>0</v>
      </c>
      <c r="Y14" s="125">
        <f t="shared" ref="Y14:Y22" si="42">SUM(T14:X14)</f>
        <v>-12.57066185012366</v>
      </c>
      <c r="Z14" s="125">
        <v>5.4843999999999997E-2</v>
      </c>
      <c r="AA14" s="125">
        <v>0</v>
      </c>
      <c r="AB14" s="125">
        <f t="shared" ref="AB14:AB22" si="43">SUM(Y14:AA14)</f>
        <v>-12.515817850123661</v>
      </c>
      <c r="AC14" s="154">
        <f t="shared" si="29"/>
        <v>-0.13148864129610971</v>
      </c>
      <c r="AD14" s="155">
        <f t="shared" si="30"/>
        <v>-0.38098131367094012</v>
      </c>
      <c r="AE14" s="156">
        <f t="shared" si="31"/>
        <v>3.0439985483423859E-2</v>
      </c>
      <c r="AF14" s="157"/>
      <c r="AG14" s="94"/>
      <c r="AH14" s="123" t="s">
        <v>64</v>
      </c>
      <c r="AI14" s="125">
        <v>-78.343974449426923</v>
      </c>
      <c r="AJ14" s="125">
        <v>1.0550476999999927</v>
      </c>
      <c r="AK14" s="125">
        <v>8.5753587058048097</v>
      </c>
      <c r="AL14" s="125">
        <f>SUM(AI14:AK14)</f>
        <v>-68.713568043622132</v>
      </c>
      <c r="AM14" s="125">
        <v>0.62187499999999996</v>
      </c>
      <c r="AN14" s="125">
        <v>0</v>
      </c>
      <c r="AO14" s="125">
        <f t="shared" ref="AO14:AO18" si="44">SUM(AL14:AN14)</f>
        <v>-68.091693043622129</v>
      </c>
      <c r="AP14" s="154">
        <f t="shared" si="33"/>
        <v>-0.12529136213688588</v>
      </c>
      <c r="AQ14" s="148"/>
      <c r="AR14" s="125">
        <v>-67.68166880380501</v>
      </c>
      <c r="AS14" s="154">
        <f t="shared" si="34"/>
        <v>-0.12494405965354992</v>
      </c>
      <c r="AT14" s="155">
        <f t="shared" si="35"/>
        <v>-0.410024239817119</v>
      </c>
      <c r="AU14" s="156">
        <f t="shared" si="36"/>
        <v>6.0581283981884226E-3</v>
      </c>
      <c r="AV14" s="157"/>
      <c r="AW14" s="148"/>
      <c r="AX14" s="125">
        <v>-64.069854876601738</v>
      </c>
      <c r="AY14" s="125">
        <v>-5.2050880100000008</v>
      </c>
      <c r="AZ14" s="125">
        <v>5.4171676022396644</v>
      </c>
      <c r="BA14" s="125">
        <v>0</v>
      </c>
      <c r="BB14" s="125">
        <v>0</v>
      </c>
      <c r="BC14" s="125">
        <f t="shared" ref="BC14:BC18" si="45">SUM(AX14:BB14)</f>
        <v>-63.85777528436207</v>
      </c>
      <c r="BD14" s="125">
        <v>0.69235841999999992</v>
      </c>
      <c r="BE14" s="125">
        <v>0</v>
      </c>
      <c r="BF14" s="125">
        <f t="shared" ref="BF14:BF18" si="46">SUM(BC14:BE14)</f>
        <v>-63.165416864362072</v>
      </c>
      <c r="BG14" s="154">
        <f t="shared" si="38"/>
        <v>-0.13685318237252539</v>
      </c>
      <c r="BH14" s="155">
        <f t="shared" si="39"/>
        <v>-4.9262761792600571</v>
      </c>
      <c r="BI14" s="156">
        <f t="shared" si="40"/>
        <v>7.7990084191773335E-2</v>
      </c>
      <c r="BJ14" s="157"/>
    </row>
    <row r="15" spans="2:64" x14ac:dyDescent="0.35">
      <c r="B15" t="s">
        <v>65</v>
      </c>
      <c r="C15" s="123" t="s">
        <v>65</v>
      </c>
      <c r="D15" s="148"/>
      <c r="E15" s="125">
        <v>-13.18466558168268</v>
      </c>
      <c r="F15" s="125">
        <v>0</v>
      </c>
      <c r="G15" s="125">
        <v>-1.9152108779197332</v>
      </c>
      <c r="H15" s="125">
        <f>SUM(E15:G15)</f>
        <v>-15.099876459602413</v>
      </c>
      <c r="I15" s="125">
        <v>0</v>
      </c>
      <c r="J15" s="125">
        <v>0</v>
      </c>
      <c r="K15" s="125">
        <f t="shared" si="41"/>
        <v>-15.099876459602413</v>
      </c>
      <c r="L15" s="154">
        <f t="shared" si="24"/>
        <v>-0.13276406131348656</v>
      </c>
      <c r="M15" s="148"/>
      <c r="N15" s="125">
        <v>-16.048389093634896</v>
      </c>
      <c r="O15" s="154">
        <f t="shared" si="25"/>
        <v>-0.14193225260847853</v>
      </c>
      <c r="P15" s="155">
        <f t="shared" si="26"/>
        <v>0.94851263403248254</v>
      </c>
      <c r="Q15" s="156">
        <f t="shared" si="27"/>
        <v>-5.9103292454984246E-2</v>
      </c>
      <c r="R15" s="157"/>
      <c r="S15" s="148"/>
      <c r="T15" s="125">
        <v>-11.48434940621523</v>
      </c>
      <c r="U15" s="125">
        <v>0</v>
      </c>
      <c r="V15" s="125">
        <v>-2.5025588940096668</v>
      </c>
      <c r="W15" s="125">
        <v>0</v>
      </c>
      <c r="X15" s="125">
        <v>0</v>
      </c>
      <c r="Y15" s="125">
        <f t="shared" si="42"/>
        <v>-13.986908300224897</v>
      </c>
      <c r="Z15" s="125">
        <v>0</v>
      </c>
      <c r="AA15" s="125">
        <v>0</v>
      </c>
      <c r="AB15" s="125">
        <f t="shared" si="43"/>
        <v>-13.986908300224897</v>
      </c>
      <c r="AC15" s="154">
        <f t="shared" si="29"/>
        <v>-0.14694361889516314</v>
      </c>
      <c r="AD15" s="155">
        <f t="shared" si="30"/>
        <v>-1.112968159377516</v>
      </c>
      <c r="AE15" s="156">
        <f t="shared" si="31"/>
        <v>7.957213527735929E-2</v>
      </c>
      <c r="AF15" s="157"/>
      <c r="AG15" s="94"/>
      <c r="AH15" s="123" t="s">
        <v>65</v>
      </c>
      <c r="AI15" s="125">
        <v>-65.675701837619727</v>
      </c>
      <c r="AJ15" s="125">
        <v>0</v>
      </c>
      <c r="AK15" s="125">
        <v>-8.8112952909042175</v>
      </c>
      <c r="AL15" s="125">
        <f t="shared" ref="AL15:AL18" si="47">SUM(AI15:AK15)</f>
        <v>-74.486997128523939</v>
      </c>
      <c r="AM15" s="125">
        <v>0</v>
      </c>
      <c r="AN15" s="125">
        <v>0</v>
      </c>
      <c r="AO15" s="125">
        <f t="shared" si="44"/>
        <v>-74.486997128523939</v>
      </c>
      <c r="AP15" s="154">
        <f t="shared" si="33"/>
        <v>-0.13705897025853458</v>
      </c>
      <c r="AQ15" s="148"/>
      <c r="AR15" s="125">
        <v>-76.373717969783314</v>
      </c>
      <c r="AS15" s="154">
        <f t="shared" si="34"/>
        <v>-0.14099005746506557</v>
      </c>
      <c r="AT15" s="155">
        <f t="shared" si="35"/>
        <v>1.8867208412593754</v>
      </c>
      <c r="AU15" s="156">
        <f t="shared" si="36"/>
        <v>-2.4703797214715162E-2</v>
      </c>
      <c r="AV15" s="157"/>
      <c r="AW15" s="148"/>
      <c r="AX15" s="125">
        <v>-50.426442724554988</v>
      </c>
      <c r="AY15" s="125">
        <v>-0.50380100000000005</v>
      </c>
      <c r="AZ15" s="125">
        <v>-14.989079264076734</v>
      </c>
      <c r="BA15" s="125">
        <v>0</v>
      </c>
      <c r="BB15" s="125">
        <v>0</v>
      </c>
      <c r="BC15" s="125">
        <f t="shared" si="45"/>
        <v>-65.91932298863172</v>
      </c>
      <c r="BD15" s="125">
        <v>7.8306000000000001E-2</v>
      </c>
      <c r="BE15" s="125">
        <v>0</v>
      </c>
      <c r="BF15" s="125">
        <f t="shared" si="46"/>
        <v>-65.841016988631722</v>
      </c>
      <c r="BG15" s="154">
        <f t="shared" si="38"/>
        <v>-0.14265009482778407</v>
      </c>
      <c r="BH15" s="155">
        <f t="shared" si="39"/>
        <v>-8.6459801398922167</v>
      </c>
      <c r="BI15" s="156">
        <f t="shared" si="40"/>
        <v>0.13131601751207844</v>
      </c>
      <c r="BJ15" s="157"/>
      <c r="BK15" s="203">
        <f>AO15-K15</f>
        <v>-59.387120668921526</v>
      </c>
      <c r="BL15">
        <f>BK15/4</f>
        <v>-14.846780167230381</v>
      </c>
    </row>
    <row r="16" spans="2:64" x14ac:dyDescent="0.35">
      <c r="B16" t="s">
        <v>66</v>
      </c>
      <c r="C16" s="123" t="s">
        <v>66</v>
      </c>
      <c r="D16" s="148"/>
      <c r="E16" s="125">
        <v>-11.542274627703259</v>
      </c>
      <c r="F16" s="125">
        <v>-1.55E-2</v>
      </c>
      <c r="G16" s="125">
        <v>-0.51027857187500003</v>
      </c>
      <c r="H16" s="125">
        <f t="shared" ref="H16:H18" si="48">SUM(E16:G16)</f>
        <v>-12.068053199578259</v>
      </c>
      <c r="I16" s="125">
        <v>0</v>
      </c>
      <c r="J16" s="125">
        <v>0</v>
      </c>
      <c r="K16" s="125">
        <f t="shared" si="41"/>
        <v>-12.068053199578259</v>
      </c>
      <c r="L16" s="154">
        <f t="shared" si="24"/>
        <v>-0.10610707704859013</v>
      </c>
      <c r="M16" s="148"/>
      <c r="N16" s="125">
        <v>-17.612835194246422</v>
      </c>
      <c r="O16" s="154">
        <f t="shared" si="25"/>
        <v>-0.1557682431149906</v>
      </c>
      <c r="P16" s="155">
        <f t="shared" si="26"/>
        <v>5.5447819946681633</v>
      </c>
      <c r="Q16" s="156">
        <f t="shared" si="27"/>
        <v>-0.31481484573701546</v>
      </c>
      <c r="R16" s="157"/>
      <c r="S16" s="148"/>
      <c r="T16" s="125">
        <v>-14.626596379080192</v>
      </c>
      <c r="U16" s="125">
        <v>0</v>
      </c>
      <c r="V16" s="125">
        <v>-0.42558404894666685</v>
      </c>
      <c r="W16" s="125">
        <v>0</v>
      </c>
      <c r="X16" s="125">
        <v>0</v>
      </c>
      <c r="Y16" s="125">
        <f t="shared" si="42"/>
        <v>-15.052180428026858</v>
      </c>
      <c r="Z16" s="125">
        <v>0</v>
      </c>
      <c r="AA16" s="125">
        <v>0</v>
      </c>
      <c r="AB16" s="125">
        <f t="shared" si="43"/>
        <v>-15.052180428026858</v>
      </c>
      <c r="AC16" s="154">
        <f t="shared" si="29"/>
        <v>-0.15813515159183877</v>
      </c>
      <c r="AD16" s="155">
        <f t="shared" si="30"/>
        <v>2.9841272284485996</v>
      </c>
      <c r="AE16" s="156">
        <f t="shared" si="31"/>
        <v>-0.19825215640467708</v>
      </c>
      <c r="AF16" s="157"/>
      <c r="AG16" s="94"/>
      <c r="AH16" s="123" t="s">
        <v>66</v>
      </c>
      <c r="AI16" s="125">
        <v>-81.786056224001641</v>
      </c>
      <c r="AJ16" s="125">
        <v>-0.51139999999999997</v>
      </c>
      <c r="AK16" s="125">
        <v>-2.909895396085076</v>
      </c>
      <c r="AL16" s="125">
        <f t="shared" si="47"/>
        <v>-85.207351620086712</v>
      </c>
      <c r="AM16" s="125">
        <v>0</v>
      </c>
      <c r="AN16" s="125">
        <v>0</v>
      </c>
      <c r="AO16" s="125">
        <f t="shared" si="44"/>
        <v>-85.207351620086712</v>
      </c>
      <c r="AP16" s="154">
        <f t="shared" si="33"/>
        <v>-0.15678483925664716</v>
      </c>
      <c r="AQ16" s="148"/>
      <c r="AR16" s="125">
        <v>-85.432236653102933</v>
      </c>
      <c r="AS16" s="154">
        <f t="shared" si="34"/>
        <v>-0.15771257803444391</v>
      </c>
      <c r="AT16" s="155">
        <f t="shared" si="35"/>
        <v>0.22488503301622131</v>
      </c>
      <c r="AU16" s="156">
        <f t="shared" si="36"/>
        <v>-2.6323205598534072E-3</v>
      </c>
      <c r="AV16" s="157"/>
      <c r="AW16" s="148"/>
      <c r="AX16" s="125">
        <v>-74.210972724347542</v>
      </c>
      <c r="AY16" s="125">
        <v>-0.1111111</v>
      </c>
      <c r="AZ16" s="125">
        <v>-0.11746809248088318</v>
      </c>
      <c r="BA16" s="125">
        <v>0.26966965999999998</v>
      </c>
      <c r="BB16" s="125">
        <v>0</v>
      </c>
      <c r="BC16" s="125">
        <f t="shared" si="45"/>
        <v>-74.169882256828416</v>
      </c>
      <c r="BD16" s="125">
        <v>0</v>
      </c>
      <c r="BE16" s="125">
        <v>0</v>
      </c>
      <c r="BF16" s="125">
        <f t="shared" si="46"/>
        <v>-74.169882256828416</v>
      </c>
      <c r="BG16" s="154">
        <f t="shared" si="38"/>
        <v>-0.16069528116688994</v>
      </c>
      <c r="BH16" s="155">
        <f t="shared" si="39"/>
        <v>-11.037469363258296</v>
      </c>
      <c r="BI16" s="156">
        <f t="shared" si="40"/>
        <v>0.14881335964696296</v>
      </c>
      <c r="BJ16" s="157"/>
    </row>
    <row r="17" spans="2:64" x14ac:dyDescent="0.35">
      <c r="B17" t="s">
        <v>67</v>
      </c>
      <c r="C17" s="123" t="s">
        <v>68</v>
      </c>
      <c r="D17" s="148"/>
      <c r="E17" s="125">
        <v>-1.7506316900001551</v>
      </c>
      <c r="F17" s="125">
        <v>0</v>
      </c>
      <c r="G17" s="125">
        <v>0</v>
      </c>
      <c r="H17" s="125">
        <f t="shared" si="48"/>
        <v>-1.7506316900001551</v>
      </c>
      <c r="I17" s="125">
        <v>0</v>
      </c>
      <c r="J17" s="125">
        <v>0</v>
      </c>
      <c r="K17" s="125">
        <f t="shared" si="41"/>
        <v>-1.7506316900001551</v>
      </c>
      <c r="L17" s="154">
        <f t="shared" si="24"/>
        <v>-1.5392243350488508E-2</v>
      </c>
      <c r="M17" s="148"/>
      <c r="N17" s="125">
        <v>-0.5287858120579727</v>
      </c>
      <c r="O17" s="154">
        <f t="shared" si="25"/>
        <v>-4.6765915890311155E-3</v>
      </c>
      <c r="P17" s="155">
        <f t="shared" si="26"/>
        <v>-1.2218458779421824</v>
      </c>
      <c r="Q17" s="156">
        <f t="shared" si="27"/>
        <v>2.310663126884779</v>
      </c>
      <c r="R17" s="157"/>
      <c r="S17" s="148"/>
      <c r="T17" s="125">
        <v>-0.40976279344612287</v>
      </c>
      <c r="U17" s="125">
        <v>0</v>
      </c>
      <c r="V17" s="125">
        <v>0</v>
      </c>
      <c r="W17" s="125">
        <v>0</v>
      </c>
      <c r="X17" s="125">
        <v>0</v>
      </c>
      <c r="Y17" s="125">
        <f t="shared" si="42"/>
        <v>-0.40976279344612287</v>
      </c>
      <c r="Z17" s="125">
        <v>0</v>
      </c>
      <c r="AA17" s="125">
        <v>0</v>
      </c>
      <c r="AB17" s="125">
        <f t="shared" si="43"/>
        <v>-0.40976279344612287</v>
      </c>
      <c r="AC17" s="154">
        <f t="shared" si="29"/>
        <v>-4.304884715416085E-3</v>
      </c>
      <c r="AD17" s="155">
        <f t="shared" si="30"/>
        <v>-1.3408688965540323</v>
      </c>
      <c r="AE17" s="156">
        <f t="shared" si="31"/>
        <v>3.272305143366645</v>
      </c>
      <c r="AF17" s="157"/>
      <c r="AG17" s="94"/>
      <c r="AH17" s="123" t="s">
        <v>68</v>
      </c>
      <c r="AI17" s="125">
        <v>-4.990854710236948</v>
      </c>
      <c r="AJ17" s="125">
        <v>0</v>
      </c>
      <c r="AK17" s="125">
        <v>0</v>
      </c>
      <c r="AL17" s="125">
        <f t="shared" si="47"/>
        <v>-4.990854710236948</v>
      </c>
      <c r="AM17" s="125">
        <v>0</v>
      </c>
      <c r="AN17" s="125">
        <v>0</v>
      </c>
      <c r="AO17" s="125">
        <f t="shared" si="44"/>
        <v>-4.990854710236948</v>
      </c>
      <c r="AP17" s="154">
        <f t="shared" si="33"/>
        <v>-9.183366676934911E-3</v>
      </c>
      <c r="AQ17" s="148"/>
      <c r="AR17" s="125">
        <v>-2.6076659327161735</v>
      </c>
      <c r="AS17" s="154">
        <f t="shared" si="34"/>
        <v>-4.8138938299272923E-3</v>
      </c>
      <c r="AT17" s="155">
        <f t="shared" si="35"/>
        <v>-2.3831887775207745</v>
      </c>
      <c r="AU17" s="156">
        <f t="shared" si="36"/>
        <v>0.9139164444421064</v>
      </c>
      <c r="AV17" s="157"/>
      <c r="AW17" s="148"/>
      <c r="AX17" s="125">
        <v>-3.1455839600000015</v>
      </c>
      <c r="AY17" s="125">
        <v>0</v>
      </c>
      <c r="AZ17" s="125">
        <v>0</v>
      </c>
      <c r="BA17" s="125">
        <v>0</v>
      </c>
      <c r="BB17" s="125">
        <v>0</v>
      </c>
      <c r="BC17" s="125">
        <f t="shared" si="45"/>
        <v>-3.1455839600000015</v>
      </c>
      <c r="BD17" s="125">
        <v>0</v>
      </c>
      <c r="BE17" s="125">
        <v>0</v>
      </c>
      <c r="BF17" s="125">
        <f t="shared" si="46"/>
        <v>-3.1455839600000015</v>
      </c>
      <c r="BG17" s="154">
        <f t="shared" si="38"/>
        <v>-6.8151719202671716E-3</v>
      </c>
      <c r="BH17" s="155">
        <f t="shared" si="39"/>
        <v>-1.8452707502369465</v>
      </c>
      <c r="BI17" s="156">
        <f t="shared" si="40"/>
        <v>0.58662263468464082</v>
      </c>
      <c r="BJ17" s="157"/>
      <c r="BL17" s="203"/>
    </row>
    <row r="18" spans="2:64" x14ac:dyDescent="0.35">
      <c r="B18" t="s">
        <v>69</v>
      </c>
      <c r="C18" s="123" t="s">
        <v>70</v>
      </c>
      <c r="D18" s="131"/>
      <c r="E18" s="125">
        <v>4.132218E-2</v>
      </c>
      <c r="F18" s="125">
        <v>0</v>
      </c>
      <c r="G18" s="125">
        <v>-1.0138742599999999</v>
      </c>
      <c r="H18" s="125">
        <f t="shared" si="48"/>
        <v>-0.97255207999999993</v>
      </c>
      <c r="I18" s="125">
        <v>0</v>
      </c>
      <c r="J18" s="125">
        <v>0</v>
      </c>
      <c r="K18" s="125">
        <f t="shared" si="41"/>
        <v>-0.97255207999999993</v>
      </c>
      <c r="L18" s="154">
        <f t="shared" si="24"/>
        <v>-8.5510609523939563E-3</v>
      </c>
      <c r="M18" s="131"/>
      <c r="N18" s="125">
        <v>0</v>
      </c>
      <c r="O18" s="154">
        <f t="shared" si="25"/>
        <v>0</v>
      </c>
      <c r="P18" s="155">
        <f t="shared" si="26"/>
        <v>-0.97255207999999993</v>
      </c>
      <c r="Q18" s="156" t="str">
        <f t="shared" si="27"/>
        <v/>
      </c>
      <c r="R18" s="157"/>
      <c r="S18" s="131"/>
      <c r="T18" s="125">
        <v>4.5985730000000002E-2</v>
      </c>
      <c r="U18" s="125">
        <v>0</v>
      </c>
      <c r="V18" s="125">
        <v>0</v>
      </c>
      <c r="W18" s="125">
        <v>0</v>
      </c>
      <c r="X18" s="125">
        <v>0</v>
      </c>
      <c r="Y18" s="125">
        <f t="shared" si="42"/>
        <v>4.5985730000000002E-2</v>
      </c>
      <c r="Z18" s="125">
        <v>-3.227199E-2</v>
      </c>
      <c r="AA18" s="125">
        <v>0</v>
      </c>
      <c r="AB18" s="125">
        <f t="shared" si="43"/>
        <v>1.3713740000000002E-2</v>
      </c>
      <c r="AC18" s="154">
        <f t="shared" si="29"/>
        <v>1.4407376819328637E-4</v>
      </c>
      <c r="AD18" s="155">
        <f t="shared" si="30"/>
        <v>-0.98626581999999996</v>
      </c>
      <c r="AE18" s="156">
        <f t="shared" si="31"/>
        <v>-71.918077781845057</v>
      </c>
      <c r="AF18" s="157"/>
      <c r="AG18" s="94"/>
      <c r="AH18" s="123" t="s">
        <v>70</v>
      </c>
      <c r="AI18" s="125">
        <v>-4.0673669999999884E-2</v>
      </c>
      <c r="AJ18" s="125">
        <v>0</v>
      </c>
      <c r="AK18" s="125">
        <v>-1.0138742599999999</v>
      </c>
      <c r="AL18" s="125">
        <f t="shared" si="47"/>
        <v>-1.0545479299999998</v>
      </c>
      <c r="AM18" s="125">
        <v>0</v>
      </c>
      <c r="AN18" s="125">
        <v>0</v>
      </c>
      <c r="AO18" s="125">
        <f t="shared" si="44"/>
        <v>-1.0545479299999998</v>
      </c>
      <c r="AP18" s="154">
        <f t="shared" si="33"/>
        <v>-1.940409184769258E-3</v>
      </c>
      <c r="AQ18" s="131"/>
      <c r="AR18" s="125">
        <v>0</v>
      </c>
      <c r="AS18" s="154">
        <f t="shared" si="34"/>
        <v>0</v>
      </c>
      <c r="AT18" s="155">
        <f t="shared" si="35"/>
        <v>-1.0545479299999998</v>
      </c>
      <c r="AU18" s="156" t="str">
        <f t="shared" si="36"/>
        <v/>
      </c>
      <c r="AV18" s="157"/>
      <c r="AW18" s="131"/>
      <c r="AX18" s="125">
        <v>1.3519637800000004</v>
      </c>
      <c r="AY18" s="125">
        <v>-6.8428380000000011E-2</v>
      </c>
      <c r="AZ18" s="125">
        <v>0</v>
      </c>
      <c r="BA18" s="125">
        <v>0</v>
      </c>
      <c r="BB18" s="125">
        <v>0</v>
      </c>
      <c r="BC18" s="125">
        <f t="shared" si="45"/>
        <v>1.2835354000000003</v>
      </c>
      <c r="BD18" s="125">
        <v>-1.32331873</v>
      </c>
      <c r="BE18" s="125">
        <v>0</v>
      </c>
      <c r="BF18" s="125">
        <f t="shared" si="46"/>
        <v>-3.9783329999999673E-2</v>
      </c>
      <c r="BG18" s="154">
        <f t="shared" si="38"/>
        <v>-8.619392677432149E-5</v>
      </c>
      <c r="BH18" s="155">
        <f t="shared" si="39"/>
        <v>-1.0147646000000001</v>
      </c>
      <c r="BI18" s="156">
        <f t="shared" si="40"/>
        <v>25.507281567430592</v>
      </c>
      <c r="BJ18" s="157"/>
    </row>
    <row r="19" spans="2:64" x14ac:dyDescent="0.35">
      <c r="C19" s="140" t="s">
        <v>71</v>
      </c>
      <c r="D19" s="124"/>
      <c r="E19" s="141">
        <f>SUM(E11,E13)</f>
        <v>34.469086112229419</v>
      </c>
      <c r="F19" s="158">
        <f t="shared" ref="F19:J19" si="49">SUM(F11,F13)</f>
        <v>-0.48076930000000001</v>
      </c>
      <c r="G19" s="141">
        <f t="shared" si="49"/>
        <v>0</v>
      </c>
      <c r="H19" s="141">
        <f t="shared" si="49"/>
        <v>33.988316812229407</v>
      </c>
      <c r="I19" s="141">
        <f t="shared" si="49"/>
        <v>8.6874999999999994E-2</v>
      </c>
      <c r="J19" s="141">
        <f t="shared" si="49"/>
        <v>2.3283064365386962E-16</v>
      </c>
      <c r="K19" s="141">
        <f>SUM(K11,K13)</f>
        <v>34.075191812229413</v>
      </c>
      <c r="L19" s="142">
        <f t="shared" si="24"/>
        <v>0.29960250781725661</v>
      </c>
      <c r="M19" s="124"/>
      <c r="N19" s="141">
        <f>N11+N13</f>
        <v>26.77137796847127</v>
      </c>
      <c r="O19" s="142">
        <f t="shared" si="25"/>
        <v>0.23676656630946</v>
      </c>
      <c r="P19" s="143">
        <f t="shared" si="26"/>
        <v>7.3038138437581424</v>
      </c>
      <c r="Q19" s="144">
        <f t="shared" si="27"/>
        <v>0.27282173716869806</v>
      </c>
      <c r="R19" s="145">
        <f>IF(Q19&gt;0.05,1,IF(Q19&lt;-0.05,-1,0))</f>
        <v>1</v>
      </c>
      <c r="S19" s="124"/>
      <c r="T19" s="141">
        <f t="shared" ref="T19:AB19" si="50">SUM(T11,T13)</f>
        <v>22.822564882156691</v>
      </c>
      <c r="U19" s="141">
        <f t="shared" si="50"/>
        <v>-0.12618796000000002</v>
      </c>
      <c r="V19" s="141">
        <f t="shared" si="50"/>
        <v>0</v>
      </c>
      <c r="W19" s="141">
        <f t="shared" si="50"/>
        <v>0</v>
      </c>
      <c r="X19" s="141">
        <f t="shared" si="50"/>
        <v>0</v>
      </c>
      <c r="Y19" s="141">
        <f t="shared" si="50"/>
        <v>22.696376922156702</v>
      </c>
      <c r="Z19" s="141">
        <f t="shared" si="50"/>
        <v>2.2572009999999997E-2</v>
      </c>
      <c r="AA19" s="141">
        <f t="shared" si="50"/>
        <v>0</v>
      </c>
      <c r="AB19" s="141">
        <f t="shared" si="50"/>
        <v>22.7189489321567</v>
      </c>
      <c r="AC19" s="142">
        <f t="shared" si="29"/>
        <v>0.23868066494236106</v>
      </c>
      <c r="AD19" s="143">
        <f t="shared" si="30"/>
        <v>11.356242880072713</v>
      </c>
      <c r="AE19" s="144">
        <f t="shared" si="31"/>
        <v>0.49985775812009225</v>
      </c>
      <c r="AF19" s="145">
        <f>IF(AE19&gt;0.05,1,IF(AE19&lt;-0.05,-1,0))</f>
        <v>1</v>
      </c>
      <c r="AG19" s="94"/>
      <c r="AH19" s="140" t="s">
        <v>71</v>
      </c>
      <c r="AI19" s="141">
        <f>SUM(AI11,AI13)</f>
        <v>126.69953025264172</v>
      </c>
      <c r="AJ19" s="158">
        <f t="shared" ref="AJ19:AO19" si="51">SUM(AJ11,AJ13)</f>
        <v>0.54364769999999274</v>
      </c>
      <c r="AK19" s="141">
        <f t="shared" si="51"/>
        <v>0</v>
      </c>
      <c r="AL19" s="141">
        <f t="shared" si="51"/>
        <v>127.2431779526417</v>
      </c>
      <c r="AM19" s="141">
        <f t="shared" si="51"/>
        <v>0.62187499999999996</v>
      </c>
      <c r="AN19" s="141">
        <f t="shared" si="51"/>
        <v>3.4924596548080445E-16</v>
      </c>
      <c r="AO19" s="141">
        <f t="shared" si="51"/>
        <v>127.86505295264169</v>
      </c>
      <c r="AP19" s="142">
        <f t="shared" si="33"/>
        <v>0.23527666794653279</v>
      </c>
      <c r="AQ19" s="124"/>
      <c r="AR19" s="141">
        <f>AR11+AR13</f>
        <v>126.64426355243654</v>
      </c>
      <c r="AS19" s="142">
        <f t="shared" si="34"/>
        <v>0.23379223207312447</v>
      </c>
      <c r="AT19" s="143">
        <f t="shared" si="35"/>
        <v>1.2207894002051489</v>
      </c>
      <c r="AU19" s="144">
        <f t="shared" si="36"/>
        <v>9.6395159635453975E-3</v>
      </c>
      <c r="AV19" s="145">
        <f>IF(AU19&gt;0.05,1,IF(AU19&lt;-0.05,-1,0))</f>
        <v>0</v>
      </c>
      <c r="AW19" s="124"/>
      <c r="AX19" s="141">
        <f t="shared" ref="AX19:BF19" si="52">SUM(AX11,AX13)</f>
        <v>105.62691573558931</v>
      </c>
      <c r="AY19" s="141">
        <f t="shared" si="52"/>
        <v>-5.8884284900000008</v>
      </c>
      <c r="AZ19" s="141">
        <f t="shared" si="52"/>
        <v>1.4210854715202004E-14</v>
      </c>
      <c r="BA19" s="141">
        <f t="shared" si="52"/>
        <v>0</v>
      </c>
      <c r="BB19" s="141">
        <f t="shared" si="52"/>
        <v>0</v>
      </c>
      <c r="BC19" s="141">
        <f t="shared" si="52"/>
        <v>99.738487245589283</v>
      </c>
      <c r="BD19" s="141">
        <f t="shared" si="52"/>
        <v>-0.55265431000000009</v>
      </c>
      <c r="BE19" s="141">
        <f t="shared" si="52"/>
        <v>0</v>
      </c>
      <c r="BF19" s="141">
        <f t="shared" si="52"/>
        <v>99.185832935589275</v>
      </c>
      <c r="BG19" s="142">
        <f t="shared" si="38"/>
        <v>0.21489443998529878</v>
      </c>
      <c r="BH19" s="143">
        <f t="shared" si="39"/>
        <v>28.679220017052415</v>
      </c>
      <c r="BI19" s="144">
        <f t="shared" si="40"/>
        <v>0.28914633439310378</v>
      </c>
      <c r="BJ19" s="145">
        <f>IF(BI19&gt;0.05,1,IF(BI19&lt;-0.05,-1,0))</f>
        <v>1</v>
      </c>
    </row>
    <row r="20" spans="2:64" hidden="1" outlineLevel="1" x14ac:dyDescent="0.35">
      <c r="B20" t="s">
        <v>72</v>
      </c>
      <c r="C20" s="123" t="s">
        <v>73</v>
      </c>
      <c r="D20" s="124"/>
      <c r="E20" s="125">
        <v>3.4911693200000027</v>
      </c>
      <c r="F20" s="125">
        <v>0</v>
      </c>
      <c r="G20" s="125">
        <v>0</v>
      </c>
      <c r="H20" s="125">
        <f t="shared" ref="H20:H22" si="53">SUM(E20:G20)</f>
        <v>3.4911693200000027</v>
      </c>
      <c r="I20" s="125">
        <v>0</v>
      </c>
      <c r="J20" s="125">
        <v>0</v>
      </c>
      <c r="K20" s="125">
        <f t="shared" si="41"/>
        <v>3.4911693200000027</v>
      </c>
      <c r="L20" s="136">
        <f t="shared" si="24"/>
        <v>3.0695735749645185E-2</v>
      </c>
      <c r="M20" s="124"/>
      <c r="N20" s="125">
        <v>0</v>
      </c>
      <c r="O20" s="136">
        <f t="shared" si="25"/>
        <v>0</v>
      </c>
      <c r="P20" s="155">
        <f t="shared" si="26"/>
        <v>3.4911693200000027</v>
      </c>
      <c r="Q20" s="156" t="str">
        <f t="shared" si="27"/>
        <v/>
      </c>
      <c r="R20" s="159"/>
      <c r="S20" s="124"/>
      <c r="T20" s="125">
        <v>0.41767092515401666</v>
      </c>
      <c r="U20" s="125">
        <v>0</v>
      </c>
      <c r="V20" s="125">
        <v>0</v>
      </c>
      <c r="W20" s="125">
        <v>0</v>
      </c>
      <c r="X20" s="125">
        <v>0</v>
      </c>
      <c r="Y20" s="125">
        <f t="shared" si="42"/>
        <v>0.41767092515401666</v>
      </c>
      <c r="Z20" s="125">
        <v>0</v>
      </c>
      <c r="AA20" s="125">
        <v>0</v>
      </c>
      <c r="AB20" s="125">
        <f t="shared" si="43"/>
        <v>0.41767092515401666</v>
      </c>
      <c r="AC20" s="136">
        <f t="shared" si="29"/>
        <v>4.3879659415823292E-3</v>
      </c>
      <c r="AD20" s="155">
        <f t="shared" si="30"/>
        <v>3.073498394845986</v>
      </c>
      <c r="AE20" s="156">
        <f t="shared" si="31"/>
        <v>7.3586601550314512</v>
      </c>
      <c r="AF20" s="159"/>
      <c r="AG20" s="94"/>
      <c r="AH20" s="123" t="s">
        <v>73</v>
      </c>
      <c r="AI20" s="125">
        <v>16.979845560000005</v>
      </c>
      <c r="AJ20" s="125">
        <v>0</v>
      </c>
      <c r="AK20" s="125">
        <v>0</v>
      </c>
      <c r="AL20" s="125">
        <f t="shared" ref="AL20:AL22" si="54">SUM(AI20:AK20)</f>
        <v>16.979845560000005</v>
      </c>
      <c r="AM20" s="125">
        <v>0</v>
      </c>
      <c r="AN20" s="125">
        <v>0</v>
      </c>
      <c r="AO20" s="125">
        <f t="shared" ref="AO20:AO22" si="55">SUM(AL20:AN20)</f>
        <v>16.979845560000005</v>
      </c>
      <c r="AP20" s="136">
        <f t="shared" si="33"/>
        <v>3.1243575889990622E-2</v>
      </c>
      <c r="AQ20" s="124"/>
      <c r="AR20" s="125">
        <v>0</v>
      </c>
      <c r="AS20" s="136">
        <f t="shared" si="34"/>
        <v>0</v>
      </c>
      <c r="AT20" s="155">
        <f t="shared" si="35"/>
        <v>16.979845560000005</v>
      </c>
      <c r="AU20" s="156" t="str">
        <f t="shared" si="36"/>
        <v/>
      </c>
      <c r="AV20" s="159"/>
      <c r="AW20" s="124"/>
      <c r="AX20" s="125">
        <v>-0.88102105484597826</v>
      </c>
      <c r="AY20" s="125">
        <v>0</v>
      </c>
      <c r="AZ20" s="125">
        <v>0</v>
      </c>
      <c r="BA20" s="125">
        <v>0</v>
      </c>
      <c r="BB20" s="125">
        <v>0</v>
      </c>
      <c r="BC20" s="125">
        <f t="shared" ref="BC20:BC22" si="56">SUM(AX20:BB20)</f>
        <v>-0.88102105484597826</v>
      </c>
      <c r="BD20" s="125">
        <v>0</v>
      </c>
      <c r="BE20" s="125">
        <v>0</v>
      </c>
      <c r="BF20" s="125">
        <f t="shared" ref="BF20:BF22" si="57">SUM(BC20:BE20)</f>
        <v>-0.88102105484597826</v>
      </c>
      <c r="BG20" s="136">
        <f t="shared" si="38"/>
        <v>-1.9088061328207152E-3</v>
      </c>
      <c r="BH20" s="155">
        <f t="shared" si="39"/>
        <v>17.860866614845982</v>
      </c>
      <c r="BI20" s="156">
        <f t="shared" si="40"/>
        <v>-20.272916880480743</v>
      </c>
      <c r="BJ20" s="159"/>
    </row>
    <row r="21" spans="2:64" hidden="1" outlineLevel="1" x14ac:dyDescent="0.35">
      <c r="B21" t="s">
        <v>74</v>
      </c>
      <c r="C21" s="123" t="s">
        <v>75</v>
      </c>
      <c r="D21" s="124"/>
      <c r="E21" s="125">
        <v>-6.159669669999996</v>
      </c>
      <c r="F21" s="125">
        <v>0</v>
      </c>
      <c r="G21" s="125">
        <v>0</v>
      </c>
      <c r="H21" s="125">
        <f t="shared" si="53"/>
        <v>-6.159669669999996</v>
      </c>
      <c r="I21" s="125">
        <v>0</v>
      </c>
      <c r="J21" s="125">
        <v>0</v>
      </c>
      <c r="K21" s="125">
        <f t="shared" si="41"/>
        <v>-6.159669669999996</v>
      </c>
      <c r="L21" s="136">
        <f t="shared" si="24"/>
        <v>-5.4158241885393255E-2</v>
      </c>
      <c r="M21" s="124"/>
      <c r="N21" s="125">
        <v>0</v>
      </c>
      <c r="O21" s="136">
        <f t="shared" si="25"/>
        <v>0</v>
      </c>
      <c r="P21" s="155">
        <f t="shared" si="26"/>
        <v>-6.159669669999996</v>
      </c>
      <c r="Q21" s="156" t="str">
        <f t="shared" si="27"/>
        <v/>
      </c>
      <c r="R21" s="159"/>
      <c r="S21" s="124"/>
      <c r="T21" s="125">
        <v>-0.67363035360491474</v>
      </c>
      <c r="U21" s="125">
        <v>0</v>
      </c>
      <c r="V21" s="125">
        <v>0</v>
      </c>
      <c r="W21" s="125">
        <v>0</v>
      </c>
      <c r="X21" s="125">
        <v>0</v>
      </c>
      <c r="Y21" s="125">
        <f t="shared" si="42"/>
        <v>-0.67363035360491474</v>
      </c>
      <c r="Z21" s="125">
        <v>0</v>
      </c>
      <c r="AA21" s="125">
        <v>0</v>
      </c>
      <c r="AB21" s="125">
        <f t="shared" si="43"/>
        <v>-0.67363035360491474</v>
      </c>
      <c r="AC21" s="136">
        <f t="shared" si="29"/>
        <v>-7.0770237304510659E-3</v>
      </c>
      <c r="AD21" s="155">
        <f t="shared" si="30"/>
        <v>-5.4860393163950816</v>
      </c>
      <c r="AE21" s="156">
        <f t="shared" si="31"/>
        <v>8.1439906723868507</v>
      </c>
      <c r="AF21" s="159"/>
      <c r="AG21" s="94"/>
      <c r="AH21" s="123" t="s">
        <v>75</v>
      </c>
      <c r="AI21" s="125">
        <v>-37.973931899999997</v>
      </c>
      <c r="AJ21" s="125">
        <v>7.2759576141834256E-18</v>
      </c>
      <c r="AK21" s="125">
        <v>0</v>
      </c>
      <c r="AL21" s="125">
        <f t="shared" si="54"/>
        <v>-37.973931899999997</v>
      </c>
      <c r="AM21" s="125">
        <v>0</v>
      </c>
      <c r="AN21" s="125">
        <v>0</v>
      </c>
      <c r="AO21" s="125">
        <f t="shared" si="55"/>
        <v>-37.973931899999997</v>
      </c>
      <c r="AP21" s="136">
        <f t="shared" si="33"/>
        <v>-6.9873510861248683E-2</v>
      </c>
      <c r="AQ21" s="124"/>
      <c r="AR21" s="125">
        <v>0</v>
      </c>
      <c r="AS21" s="136">
        <f t="shared" si="34"/>
        <v>0</v>
      </c>
      <c r="AT21" s="155">
        <f t="shared" si="35"/>
        <v>-37.973931899999997</v>
      </c>
      <c r="AU21" s="156" t="str">
        <f t="shared" si="36"/>
        <v/>
      </c>
      <c r="AV21" s="159"/>
      <c r="AW21" s="124"/>
      <c r="AX21" s="125">
        <v>-2.3142329888015403</v>
      </c>
      <c r="AY21" s="125">
        <v>0</v>
      </c>
      <c r="AZ21" s="125">
        <v>0</v>
      </c>
      <c r="BA21" s="125">
        <v>0</v>
      </c>
      <c r="BB21" s="125">
        <v>0</v>
      </c>
      <c r="BC21" s="125">
        <f t="shared" si="56"/>
        <v>-2.3142329888015403</v>
      </c>
      <c r="BD21" s="125">
        <v>0</v>
      </c>
      <c r="BE21" s="125">
        <v>0</v>
      </c>
      <c r="BF21" s="125">
        <f t="shared" si="57"/>
        <v>-2.3142329888015403</v>
      </c>
      <c r="BG21" s="136">
        <f t="shared" si="38"/>
        <v>-5.0139801966170442E-3</v>
      </c>
      <c r="BH21" s="155">
        <f t="shared" si="39"/>
        <v>-35.659698911198454</v>
      </c>
      <c r="BI21" s="156">
        <f t="shared" si="40"/>
        <v>15.408862929425855</v>
      </c>
      <c r="BJ21" s="159"/>
    </row>
    <row r="22" spans="2:64" hidden="1" outlineLevel="1" x14ac:dyDescent="0.35">
      <c r="B22" t="s">
        <v>76</v>
      </c>
      <c r="C22" s="123" t="s">
        <v>77</v>
      </c>
      <c r="D22" s="124"/>
      <c r="E22" s="125">
        <v>2.6647991199999996</v>
      </c>
      <c r="F22" s="125">
        <v>0</v>
      </c>
      <c r="G22" s="125">
        <v>0</v>
      </c>
      <c r="H22" s="125">
        <f t="shared" si="53"/>
        <v>2.6647991199999996</v>
      </c>
      <c r="I22" s="125">
        <v>0</v>
      </c>
      <c r="J22" s="125">
        <v>0</v>
      </c>
      <c r="K22" s="125">
        <f t="shared" si="41"/>
        <v>2.6647991199999996</v>
      </c>
      <c r="L22" s="136">
        <f t="shared" si="24"/>
        <v>2.3429963463762037E-2</v>
      </c>
      <c r="M22" s="124"/>
      <c r="N22" s="125">
        <v>0</v>
      </c>
      <c r="O22" s="136">
        <f t="shared" si="25"/>
        <v>0</v>
      </c>
      <c r="P22" s="155">
        <f t="shared" si="26"/>
        <v>2.6647991199999996</v>
      </c>
      <c r="Q22" s="156" t="str">
        <f t="shared" si="27"/>
        <v/>
      </c>
      <c r="R22" s="159"/>
      <c r="S22" s="124"/>
      <c r="T22" s="125">
        <v>0.18852077845089207</v>
      </c>
      <c r="U22" s="125">
        <v>0</v>
      </c>
      <c r="V22" s="125">
        <v>0</v>
      </c>
      <c r="W22" s="125">
        <v>0</v>
      </c>
      <c r="X22" s="125">
        <v>0</v>
      </c>
      <c r="Y22" s="125">
        <f t="shared" si="42"/>
        <v>0.18852077845089207</v>
      </c>
      <c r="Z22" s="125">
        <v>0</v>
      </c>
      <c r="AA22" s="125">
        <v>0</v>
      </c>
      <c r="AB22" s="125">
        <f t="shared" si="43"/>
        <v>0.18852077845089207</v>
      </c>
      <c r="AC22" s="136">
        <f t="shared" si="29"/>
        <v>1.9805610237726336E-3</v>
      </c>
      <c r="AD22" s="155">
        <f t="shared" si="30"/>
        <v>2.4762783415491074</v>
      </c>
      <c r="AE22" s="156">
        <f t="shared" si="31"/>
        <v>13.135307215984975</v>
      </c>
      <c r="AF22" s="159"/>
      <c r="AG22" s="94"/>
      <c r="AH22" s="123" t="s">
        <v>77</v>
      </c>
      <c r="AI22" s="125">
        <v>20.976155369999983</v>
      </c>
      <c r="AJ22" s="125">
        <v>0</v>
      </c>
      <c r="AK22" s="125">
        <v>0</v>
      </c>
      <c r="AL22" s="125">
        <f t="shared" si="54"/>
        <v>20.976155369999983</v>
      </c>
      <c r="AM22" s="125">
        <v>0</v>
      </c>
      <c r="AN22" s="125">
        <v>0</v>
      </c>
      <c r="AO22" s="125">
        <f t="shared" si="55"/>
        <v>20.976155369999983</v>
      </c>
      <c r="AP22" s="136">
        <f t="shared" si="33"/>
        <v>3.8596941289425285E-2</v>
      </c>
      <c r="AQ22" s="124"/>
      <c r="AR22" s="125">
        <v>0</v>
      </c>
      <c r="AS22" s="136">
        <f t="shared" si="34"/>
        <v>0</v>
      </c>
      <c r="AT22" s="155">
        <f t="shared" si="35"/>
        <v>20.976155369999983</v>
      </c>
      <c r="AU22" s="156" t="str">
        <f t="shared" si="36"/>
        <v/>
      </c>
      <c r="AV22" s="159"/>
      <c r="AW22" s="124"/>
      <c r="AX22" s="125">
        <v>3.1251551010583323</v>
      </c>
      <c r="AY22" s="125">
        <v>0</v>
      </c>
      <c r="AZ22" s="125">
        <v>0</v>
      </c>
      <c r="BA22" s="125">
        <v>0</v>
      </c>
      <c r="BB22" s="125">
        <v>0</v>
      </c>
      <c r="BC22" s="125">
        <f t="shared" si="56"/>
        <v>3.1251551010583323</v>
      </c>
      <c r="BD22" s="125">
        <v>0</v>
      </c>
      <c r="BE22" s="125">
        <v>0</v>
      </c>
      <c r="BF22" s="125">
        <f t="shared" si="57"/>
        <v>3.1251551010583323</v>
      </c>
      <c r="BG22" s="136">
        <f t="shared" si="38"/>
        <v>6.7709110810739419E-3</v>
      </c>
      <c r="BH22" s="155">
        <f t="shared" si="39"/>
        <v>17.85100026894165</v>
      </c>
      <c r="BI22" s="156">
        <f t="shared" si="40"/>
        <v>5.7120365843271008</v>
      </c>
      <c r="BJ22" s="159"/>
    </row>
    <row r="23" spans="2:64" ht="7.5" customHeight="1" collapsed="1" x14ac:dyDescent="0.35">
      <c r="L23" s="160"/>
      <c r="O23" s="160"/>
      <c r="R23"/>
      <c r="AC23" s="160"/>
      <c r="AF23"/>
      <c r="AP23" s="160"/>
      <c r="AS23" s="160"/>
      <c r="AV23"/>
      <c r="BG23" s="160"/>
      <c r="BJ23"/>
    </row>
    <row r="24" spans="2:64" hidden="1" outlineLevel="1" x14ac:dyDescent="0.35">
      <c r="C24" s="161" t="s">
        <v>78</v>
      </c>
      <c r="D24" s="162"/>
      <c r="E24" s="163">
        <f>SUM(E19:E22)</f>
        <v>34.465384882229429</v>
      </c>
      <c r="F24" s="163">
        <f t="shared" ref="F24:K24" si="58">SUM(F19:F22)</f>
        <v>-0.48076930000000001</v>
      </c>
      <c r="G24" s="163">
        <f t="shared" si="58"/>
        <v>0</v>
      </c>
      <c r="H24" s="163">
        <f t="shared" si="58"/>
        <v>33.984615582229416</v>
      </c>
      <c r="I24" s="163">
        <f t="shared" si="58"/>
        <v>8.6874999999999994E-2</v>
      </c>
      <c r="J24" s="163">
        <f t="shared" si="58"/>
        <v>2.3283064365386962E-16</v>
      </c>
      <c r="K24" s="163">
        <f t="shared" si="58"/>
        <v>34.071490582229423</v>
      </c>
      <c r="L24" s="164">
        <f t="shared" ref="L24:L38" si="59">IFERROR(K24/K$9,0)</f>
        <v>0.29956996514527062</v>
      </c>
      <c r="M24" s="162"/>
      <c r="N24" s="163">
        <f>N19+N20+N21+N22</f>
        <v>26.77137796847127</v>
      </c>
      <c r="O24" s="164">
        <f t="shared" ref="O24:O38" si="60">IFERROR(N24/N$9,0)</f>
        <v>0.23676656630946</v>
      </c>
      <c r="P24" s="165">
        <f t="shared" si="26"/>
        <v>7.3001126137581522</v>
      </c>
      <c r="Q24" s="166">
        <f t="shared" si="27"/>
        <v>0.27268348391911368</v>
      </c>
      <c r="R24" s="167">
        <f t="shared" ref="R24:R38" si="61">IF(Q24&gt;0.05,1,IF(Q24&lt;-0.05,-1,0))</f>
        <v>1</v>
      </c>
      <c r="S24" s="162"/>
      <c r="T24" s="163">
        <f>SUM(T19:T22)</f>
        <v>22.755126232156687</v>
      </c>
      <c r="U24" s="163">
        <f t="shared" ref="U24:AB24" si="62">SUM(U19:U22)</f>
        <v>-0.12618796000000002</v>
      </c>
      <c r="V24" s="163">
        <f t="shared" si="62"/>
        <v>0</v>
      </c>
      <c r="W24" s="163">
        <f t="shared" si="62"/>
        <v>0</v>
      </c>
      <c r="X24" s="163">
        <f t="shared" si="62"/>
        <v>0</v>
      </c>
      <c r="Y24" s="163">
        <f t="shared" si="62"/>
        <v>22.628938272156699</v>
      </c>
      <c r="Z24" s="163">
        <f t="shared" si="62"/>
        <v>2.2572009999999997E-2</v>
      </c>
      <c r="AA24" s="163">
        <f t="shared" si="62"/>
        <v>0</v>
      </c>
      <c r="AB24" s="163">
        <f t="shared" si="62"/>
        <v>22.651510282156696</v>
      </c>
      <c r="AC24" s="164">
        <f t="shared" ref="AC24:AC38" si="63">IFERROR(AB24/AB$9,0)</f>
        <v>0.23797216817726499</v>
      </c>
      <c r="AD24" s="165">
        <f t="shared" si="30"/>
        <v>11.419980300072726</v>
      </c>
      <c r="AE24" s="166">
        <f t="shared" ref="AE24:AE38" si="64">IFERROR(K24/AB24-1,"")</f>
        <v>0.50415977379965704</v>
      </c>
      <c r="AF24" s="167">
        <f t="shared" ref="AF24:AF27" si="65">IF(AE24&gt;0.05,1,IF(AE24&lt;-0.05,-1,0))</f>
        <v>1</v>
      </c>
      <c r="AG24" s="94"/>
      <c r="AH24" s="161" t="s">
        <v>78</v>
      </c>
      <c r="AI24" s="163">
        <f>SUM(AI19:AI22)</f>
        <v>126.68159928264171</v>
      </c>
      <c r="AJ24" s="163">
        <f t="shared" ref="AJ24:AO24" si="66">SUM(AJ19:AJ22)</f>
        <v>0.54364769999999274</v>
      </c>
      <c r="AK24" s="163">
        <f t="shared" si="66"/>
        <v>0</v>
      </c>
      <c r="AL24" s="163">
        <f t="shared" si="66"/>
        <v>127.22524698264169</v>
      </c>
      <c r="AM24" s="163">
        <f t="shared" si="66"/>
        <v>0.62187499999999996</v>
      </c>
      <c r="AN24" s="163">
        <f t="shared" si="66"/>
        <v>3.4924596548080445E-16</v>
      </c>
      <c r="AO24" s="163">
        <f t="shared" si="66"/>
        <v>127.84712198264168</v>
      </c>
      <c r="AP24" s="164">
        <f t="shared" ref="AP24:AP38" si="67">IFERROR(AO24/AO$9,0)</f>
        <v>0.2352436742647</v>
      </c>
      <c r="AQ24" s="162"/>
      <c r="AR24" s="163">
        <f>AR19+AR20+AR21+AR22</f>
        <v>126.64426355243654</v>
      </c>
      <c r="AS24" s="164">
        <f t="shared" ref="AS24:AS38" si="68">IFERROR(AR24/AR$9,0)</f>
        <v>0.23379223207312447</v>
      </c>
      <c r="AT24" s="165">
        <f t="shared" ref="AT24:AT38" si="69">AO24-AR24</f>
        <v>1.2028584302051399</v>
      </c>
      <c r="AU24" s="166">
        <f t="shared" ref="AU24:AU38" si="70">IFERROR(AO24/AR24-1,"")</f>
        <v>9.4979306323423884E-3</v>
      </c>
      <c r="AV24" s="167">
        <f t="shared" ref="AV24" si="71">IF(AU24&gt;0.05,1,IF(AU24&lt;-0.05,-1,0))</f>
        <v>0</v>
      </c>
      <c r="AW24" s="162"/>
      <c r="AX24" s="163">
        <f>SUM(AX19:AX22)</f>
        <v>105.55681679300012</v>
      </c>
      <c r="AY24" s="163">
        <f t="shared" ref="AY24:BF24" si="72">SUM(AY19:AY22)</f>
        <v>-5.8884284900000008</v>
      </c>
      <c r="AZ24" s="163">
        <f t="shared" si="72"/>
        <v>1.4210854715202004E-14</v>
      </c>
      <c r="BA24" s="163">
        <f t="shared" si="72"/>
        <v>0</v>
      </c>
      <c r="BB24" s="163">
        <f t="shared" si="72"/>
        <v>0</v>
      </c>
      <c r="BC24" s="163">
        <f t="shared" si="72"/>
        <v>99.6683883030001</v>
      </c>
      <c r="BD24" s="163">
        <f t="shared" si="72"/>
        <v>-0.55265431000000009</v>
      </c>
      <c r="BE24" s="163">
        <f t="shared" si="72"/>
        <v>0</v>
      </c>
      <c r="BF24" s="163">
        <f t="shared" si="72"/>
        <v>99.115733993000092</v>
      </c>
      <c r="BG24" s="164">
        <f t="shared" ref="BG24:BG38" si="73">IFERROR(BF24/BF$9,0)</f>
        <v>0.21474256473693498</v>
      </c>
      <c r="BH24" s="165">
        <f t="shared" si="39"/>
        <v>28.73138798964159</v>
      </c>
      <c r="BI24" s="166">
        <f t="shared" ref="BI24:BI38" si="74">IFERROR(AO24/BF24-1,"")</f>
        <v>0.28987716512971295</v>
      </c>
      <c r="BJ24" s="167">
        <f t="shared" ref="BJ24" si="75">IF(BI24&gt;0.05,1,IF(BI24&lt;-0.05,-1,0))</f>
        <v>1</v>
      </c>
    </row>
    <row r="25" spans="2:64" collapsed="1" x14ac:dyDescent="0.35">
      <c r="B25" t="s">
        <v>79</v>
      </c>
      <c r="C25" s="168" t="s">
        <v>80</v>
      </c>
      <c r="D25" s="131"/>
      <c r="E25" s="169">
        <v>-0.48076930000000001</v>
      </c>
      <c r="F25" s="170">
        <v>0.48076930000000001</v>
      </c>
      <c r="G25" s="170">
        <v>0</v>
      </c>
      <c r="H25" s="170">
        <f t="shared" ref="H25:H37" si="76">SUM(E25:G25)</f>
        <v>0</v>
      </c>
      <c r="I25" s="170">
        <v>-8.6874999999999994E-2</v>
      </c>
      <c r="J25" s="170">
        <v>0</v>
      </c>
      <c r="K25" s="169">
        <f t="shared" ref="K25" si="77">SUM(H25:J25)</f>
        <v>-8.6874999999999994E-2</v>
      </c>
      <c r="L25" s="171">
        <f t="shared" si="59"/>
        <v>-7.6383921798740578E-4</v>
      </c>
      <c r="M25" s="131"/>
      <c r="N25" s="170">
        <v>-8.7999999999999995E-2</v>
      </c>
      <c r="O25" s="171">
        <f t="shared" si="60"/>
        <v>-7.7827364208784687E-4</v>
      </c>
      <c r="P25" s="172">
        <f t="shared" si="26"/>
        <v>1.125000000000001E-3</v>
      </c>
      <c r="Q25" s="173">
        <f t="shared" si="27"/>
        <v>-1.2784090909090939E-2</v>
      </c>
      <c r="R25" s="174"/>
      <c r="S25" s="131"/>
      <c r="T25" s="125">
        <v>-0.12618796000000002</v>
      </c>
      <c r="U25" s="125">
        <v>0.12618796000000002</v>
      </c>
      <c r="V25" s="125">
        <v>0</v>
      </c>
      <c r="W25" s="125">
        <v>0</v>
      </c>
      <c r="X25" s="125">
        <v>0</v>
      </c>
      <c r="Y25" s="170">
        <f t="shared" ref="Y25:Y30" si="78">SUM(T25:X25)</f>
        <v>0</v>
      </c>
      <c r="Z25" s="125">
        <v>-2.257201E-2</v>
      </c>
      <c r="AA25" s="125">
        <v>0</v>
      </c>
      <c r="AB25" s="170">
        <f t="shared" ref="AB25" si="79">SUM(Y25:AA25)</f>
        <v>-2.257201E-2</v>
      </c>
      <c r="AC25" s="171">
        <f t="shared" si="63"/>
        <v>-2.3713695435355646E-4</v>
      </c>
      <c r="AD25" s="172">
        <f t="shared" si="30"/>
        <v>-6.430298999999999E-2</v>
      </c>
      <c r="AE25" s="173">
        <f t="shared" si="64"/>
        <v>2.8487932620976153</v>
      </c>
      <c r="AF25" s="174"/>
      <c r="AG25" s="94"/>
      <c r="AH25" s="168" t="s">
        <v>80</v>
      </c>
      <c r="AI25" s="170">
        <v>0.5433849199999915</v>
      </c>
      <c r="AJ25" s="170">
        <v>-0.54364769999999296</v>
      </c>
      <c r="AK25" s="170">
        <v>0</v>
      </c>
      <c r="AL25" s="170">
        <f t="shared" ref="AL25" si="80">SUM(AI25:AK25)</f>
        <v>-2.6278000000146129E-4</v>
      </c>
      <c r="AM25" s="170">
        <v>-0.62187499999999996</v>
      </c>
      <c r="AN25" s="170">
        <v>0</v>
      </c>
      <c r="AO25" s="170">
        <f t="shared" ref="AO25" si="81">SUM(AL25:AN25)</f>
        <v>-0.62213778000000142</v>
      </c>
      <c r="AP25" s="171">
        <f t="shared" si="67"/>
        <v>-1.1447576996371884E-3</v>
      </c>
      <c r="AQ25" s="131"/>
      <c r="AR25" s="170">
        <v>-0.69</v>
      </c>
      <c r="AS25" s="171">
        <f t="shared" si="68"/>
        <v>-1.2737777109317183E-3</v>
      </c>
      <c r="AT25" s="172">
        <f t="shared" si="69"/>
        <v>6.786221999999853E-2</v>
      </c>
      <c r="AU25" s="173">
        <f t="shared" si="70"/>
        <v>-9.8351043478258737E-2</v>
      </c>
      <c r="AV25" s="174"/>
      <c r="AW25" s="131"/>
      <c r="AX25" s="125">
        <v>-5.888428489999999</v>
      </c>
      <c r="AY25" s="125">
        <v>5.888428489999999</v>
      </c>
      <c r="AZ25" s="125">
        <v>0</v>
      </c>
      <c r="BA25" s="125">
        <v>0</v>
      </c>
      <c r="BB25" s="125">
        <v>0</v>
      </c>
      <c r="BC25" s="170">
        <f t="shared" ref="BC25" si="82">SUM(AX25:BB25)</f>
        <v>0</v>
      </c>
      <c r="BD25" s="125">
        <v>0.55265431000000009</v>
      </c>
      <c r="BE25" s="125">
        <v>0</v>
      </c>
      <c r="BF25" s="170">
        <f t="shared" ref="BF25" si="83">SUM(BC25:BE25)</f>
        <v>0.55265431000000009</v>
      </c>
      <c r="BG25" s="171">
        <f t="shared" si="73"/>
        <v>1.1973719929340649E-3</v>
      </c>
      <c r="BH25" s="172">
        <f>$AO25-BF25</f>
        <v>-1.1747920900000015</v>
      </c>
      <c r="BI25" s="173">
        <f t="shared" si="74"/>
        <v>-2.1257268218898018</v>
      </c>
      <c r="BJ25" s="174"/>
    </row>
    <row r="26" spans="2:64" x14ac:dyDescent="0.35">
      <c r="C26" s="140" t="s">
        <v>81</v>
      </c>
      <c r="D26" s="148"/>
      <c r="E26" s="141">
        <f>SUM(E24:E25)</f>
        <v>33.984615582229431</v>
      </c>
      <c r="F26" s="141">
        <f t="shared" ref="F26:K26" si="84">SUM(F24:F25)</f>
        <v>0</v>
      </c>
      <c r="G26" s="141">
        <f t="shared" si="84"/>
        <v>0</v>
      </c>
      <c r="H26" s="141">
        <f t="shared" si="84"/>
        <v>33.984615582229416</v>
      </c>
      <c r="I26" s="141">
        <f t="shared" si="84"/>
        <v>0</v>
      </c>
      <c r="J26" s="141">
        <f t="shared" si="84"/>
        <v>2.3283064365386962E-16</v>
      </c>
      <c r="K26" s="141">
        <f t="shared" si="84"/>
        <v>33.984615582229424</v>
      </c>
      <c r="L26" s="142">
        <f t="shared" si="59"/>
        <v>0.29880612592728323</v>
      </c>
      <c r="M26" s="148"/>
      <c r="N26" s="141">
        <f>N24+N25</f>
        <v>26.68337796847127</v>
      </c>
      <c r="O26" s="142">
        <f t="shared" si="60"/>
        <v>0.23598829266737215</v>
      </c>
      <c r="P26" s="143">
        <f t="shared" si="26"/>
        <v>7.3012376137581541</v>
      </c>
      <c r="Q26" s="144">
        <f t="shared" si="27"/>
        <v>0.27362493693209311</v>
      </c>
      <c r="R26" s="145">
        <f t="shared" si="61"/>
        <v>1</v>
      </c>
      <c r="S26" s="148"/>
      <c r="T26" s="141">
        <f t="shared" ref="T26:AB26" si="85">SUM(T24:T25)</f>
        <v>22.628938272156688</v>
      </c>
      <c r="U26" s="141">
        <f t="shared" si="85"/>
        <v>0</v>
      </c>
      <c r="V26" s="141">
        <f t="shared" si="85"/>
        <v>0</v>
      </c>
      <c r="W26" s="141">
        <f t="shared" si="85"/>
        <v>0</v>
      </c>
      <c r="X26" s="141">
        <f t="shared" si="85"/>
        <v>0</v>
      </c>
      <c r="Y26" s="141">
        <f t="shared" si="85"/>
        <v>22.628938272156699</v>
      </c>
      <c r="Z26" s="141">
        <f t="shared" si="85"/>
        <v>0</v>
      </c>
      <c r="AA26" s="141">
        <f t="shared" si="85"/>
        <v>0</v>
      </c>
      <c r="AB26" s="141">
        <f t="shared" si="85"/>
        <v>22.628938272156695</v>
      </c>
      <c r="AC26" s="142">
        <f t="shared" si="63"/>
        <v>0.23773503122291142</v>
      </c>
      <c r="AD26" s="143">
        <f t="shared" si="30"/>
        <v>11.355677310072728</v>
      </c>
      <c r="AE26" s="144">
        <f t="shared" si="64"/>
        <v>0.5018210387733959</v>
      </c>
      <c r="AF26" s="145">
        <f t="shared" si="65"/>
        <v>1</v>
      </c>
      <c r="AG26" s="94"/>
      <c r="AH26" s="140" t="s">
        <v>81</v>
      </c>
      <c r="AI26" s="141">
        <f>SUM(AI24:AI25)</f>
        <v>127.22498420264171</v>
      </c>
      <c r="AJ26" s="141">
        <f t="shared" ref="AJ26:AO26" si="86">SUM(AJ24:AJ25)</f>
        <v>0</v>
      </c>
      <c r="AK26" s="141">
        <f t="shared" si="86"/>
        <v>0</v>
      </c>
      <c r="AL26" s="141">
        <f t="shared" si="86"/>
        <v>127.22498420264169</v>
      </c>
      <c r="AM26" s="141">
        <f t="shared" si="86"/>
        <v>0</v>
      </c>
      <c r="AN26" s="141">
        <f t="shared" si="86"/>
        <v>3.4924596548080445E-16</v>
      </c>
      <c r="AO26" s="141">
        <f t="shared" si="86"/>
        <v>127.22498420264168</v>
      </c>
      <c r="AP26" s="142">
        <f t="shared" si="67"/>
        <v>0.23409891656506282</v>
      </c>
      <c r="AQ26" s="148"/>
      <c r="AR26" s="141">
        <f>AR24+AR25</f>
        <v>125.95426355243654</v>
      </c>
      <c r="AS26" s="142">
        <f t="shared" si="68"/>
        <v>0.23251845436219273</v>
      </c>
      <c r="AT26" s="143">
        <f t="shared" si="69"/>
        <v>1.2707206502051349</v>
      </c>
      <c r="AU26" s="144">
        <f t="shared" si="70"/>
        <v>1.0088746616156552E-2</v>
      </c>
      <c r="AV26" s="145">
        <f t="shared" ref="AV26:AV27" si="87">IF(AU26&gt;0.05,1,IF(AU26&lt;-0.05,-1,0))</f>
        <v>0</v>
      </c>
      <c r="AW26" s="148"/>
      <c r="AX26" s="141">
        <f t="shared" ref="AX26:BF26" si="88">SUM(AX24:AX25)</f>
        <v>99.668388303000128</v>
      </c>
      <c r="AY26" s="141">
        <f t="shared" si="88"/>
        <v>0</v>
      </c>
      <c r="AZ26" s="141">
        <f t="shared" si="88"/>
        <v>1.4210854715202004E-14</v>
      </c>
      <c r="BA26" s="141">
        <f t="shared" si="88"/>
        <v>0</v>
      </c>
      <c r="BB26" s="141">
        <f t="shared" si="88"/>
        <v>0</v>
      </c>
      <c r="BC26" s="141">
        <f t="shared" si="88"/>
        <v>99.6683883030001</v>
      </c>
      <c r="BD26" s="141">
        <f t="shared" si="88"/>
        <v>0</v>
      </c>
      <c r="BE26" s="141">
        <f t="shared" si="88"/>
        <v>0</v>
      </c>
      <c r="BF26" s="141">
        <f t="shared" si="88"/>
        <v>99.668388303000086</v>
      </c>
      <c r="BG26" s="142">
        <f t="shared" si="73"/>
        <v>0.21593993672986903</v>
      </c>
      <c r="BH26" s="143">
        <f t="shared" ref="BH26:BH42" si="89">$AO26-BF26</f>
        <v>27.556595899641593</v>
      </c>
      <c r="BI26" s="144">
        <f t="shared" si="74"/>
        <v>0.27648280832902894</v>
      </c>
      <c r="BJ26" s="145">
        <f t="shared" ref="BJ26:BJ27" si="90">IF(BI26&gt;0.05,1,IF(BI26&lt;-0.05,-1,0))</f>
        <v>1</v>
      </c>
    </row>
    <row r="27" spans="2:64" s="175" customFormat="1" x14ac:dyDescent="0.35">
      <c r="C27" s="176" t="s">
        <v>82</v>
      </c>
      <c r="D27" s="177"/>
      <c r="E27" s="126">
        <f>SUM(E28:E29)</f>
        <v>-8.731861556043274</v>
      </c>
      <c r="F27" s="126">
        <f t="shared" ref="F27:K27" si="91">SUM(F28:F29)</f>
        <v>0</v>
      </c>
      <c r="G27" s="126">
        <f t="shared" si="91"/>
        <v>0</v>
      </c>
      <c r="H27" s="126">
        <f t="shared" si="91"/>
        <v>-8.731861556043274</v>
      </c>
      <c r="I27" s="126">
        <f t="shared" si="91"/>
        <v>0</v>
      </c>
      <c r="J27" s="126">
        <f t="shared" si="91"/>
        <v>0</v>
      </c>
      <c r="K27" s="126">
        <f t="shared" si="91"/>
        <v>-8.731861556043274</v>
      </c>
      <c r="L27" s="178">
        <f t="shared" si="59"/>
        <v>-7.6773966072430352E-2</v>
      </c>
      <c r="M27" s="177"/>
      <c r="N27" s="126">
        <f>SUM(N28:N29)</f>
        <v>-8.8445773176137372</v>
      </c>
      <c r="O27" s="178">
        <f t="shared" si="60"/>
        <v>-7.8221606837577312E-2</v>
      </c>
      <c r="P27" s="179">
        <f t="shared" si="26"/>
        <v>0.11271576157046326</v>
      </c>
      <c r="Q27" s="138">
        <f t="shared" si="27"/>
        <v>-1.2744052940324546E-2</v>
      </c>
      <c r="R27" s="139"/>
      <c r="S27" s="177"/>
      <c r="T27" s="126">
        <f>SUM(T28:T29)</f>
        <v>-7.6700771300000028</v>
      </c>
      <c r="U27" s="126">
        <f t="shared" ref="U27:AB27" si="92">SUM(U28:U29)</f>
        <v>0</v>
      </c>
      <c r="V27" s="126">
        <f t="shared" si="92"/>
        <v>0</v>
      </c>
      <c r="W27" s="126">
        <f t="shared" si="92"/>
        <v>0</v>
      </c>
      <c r="X27" s="126">
        <f t="shared" si="92"/>
        <v>0</v>
      </c>
      <c r="Y27" s="126">
        <f t="shared" si="92"/>
        <v>-7.6700771300000028</v>
      </c>
      <c r="Z27" s="126">
        <f t="shared" si="92"/>
        <v>0</v>
      </c>
      <c r="AA27" s="126">
        <f t="shared" si="92"/>
        <v>0</v>
      </c>
      <c r="AB27" s="126">
        <f t="shared" si="92"/>
        <v>-7.6700771300000028</v>
      </c>
      <c r="AC27" s="178">
        <f t="shared" si="63"/>
        <v>-8.05802731021769E-2</v>
      </c>
      <c r="AD27" s="179">
        <f t="shared" si="30"/>
        <v>-1.0617844260432712</v>
      </c>
      <c r="AE27" s="138">
        <f t="shared" si="64"/>
        <v>0.13843204025814937</v>
      </c>
      <c r="AF27" s="139">
        <f t="shared" si="65"/>
        <v>1</v>
      </c>
      <c r="AG27" s="180"/>
      <c r="AH27" s="176"/>
      <c r="AI27" s="126">
        <f>SUM(AI28:AI29)</f>
        <v>-43.955697770216361</v>
      </c>
      <c r="AJ27" s="126">
        <f t="shared" ref="AJ27:AO27" si="93">SUM(AJ28:AJ29)</f>
        <v>0</v>
      </c>
      <c r="AK27" s="126">
        <f t="shared" si="93"/>
        <v>0</v>
      </c>
      <c r="AL27" s="126">
        <f t="shared" si="93"/>
        <v>-43.955697770216361</v>
      </c>
      <c r="AM27" s="126">
        <f t="shared" si="93"/>
        <v>0</v>
      </c>
      <c r="AN27" s="126">
        <f t="shared" si="93"/>
        <v>0</v>
      </c>
      <c r="AO27" s="126">
        <f t="shared" si="93"/>
        <v>-43.955697770216361</v>
      </c>
      <c r="AP27" s="178">
        <f t="shared" si="67"/>
        <v>-8.0880192592355127E-2</v>
      </c>
      <c r="AQ27" s="177"/>
      <c r="AR27" s="126">
        <f>SUM(AR28:AR29)</f>
        <v>-45.689140744247219</v>
      </c>
      <c r="AS27" s="178">
        <f t="shared" si="68"/>
        <v>-8.4344650886441053E-2</v>
      </c>
      <c r="AT27" s="179">
        <f t="shared" si="69"/>
        <v>1.7334429740308579</v>
      </c>
      <c r="AU27" s="138">
        <f t="shared" si="70"/>
        <v>-3.7939933774069012E-2</v>
      </c>
      <c r="AV27" s="139">
        <f t="shared" si="87"/>
        <v>0</v>
      </c>
      <c r="AW27" s="177"/>
      <c r="AX27" s="126">
        <f>SUM(AX28:AX29)</f>
        <v>-40.793178744340516</v>
      </c>
      <c r="AY27" s="126">
        <f t="shared" ref="AY27:BF27" si="94">SUM(AY28:AY29)</f>
        <v>0</v>
      </c>
      <c r="AZ27" s="126">
        <f t="shared" si="94"/>
        <v>0</v>
      </c>
      <c r="BA27" s="126">
        <f t="shared" si="94"/>
        <v>0</v>
      </c>
      <c r="BB27" s="126">
        <f t="shared" si="94"/>
        <v>0</v>
      </c>
      <c r="BC27" s="126">
        <f t="shared" si="94"/>
        <v>-40.793178744340516</v>
      </c>
      <c r="BD27" s="126">
        <f t="shared" si="94"/>
        <v>0</v>
      </c>
      <c r="BE27" s="126">
        <f t="shared" si="94"/>
        <v>0</v>
      </c>
      <c r="BF27" s="126">
        <f t="shared" si="94"/>
        <v>-40.793178744340516</v>
      </c>
      <c r="BG27" s="178">
        <f t="shared" si="73"/>
        <v>-8.8381848919673711E-2</v>
      </c>
      <c r="BH27" s="179">
        <f t="shared" si="89"/>
        <v>-3.1625190258758451</v>
      </c>
      <c r="BI27" s="138">
        <f t="shared" si="74"/>
        <v>7.7525682558253761E-2</v>
      </c>
      <c r="BJ27" s="139">
        <f t="shared" si="90"/>
        <v>1</v>
      </c>
    </row>
    <row r="28" spans="2:64" ht="14.15" hidden="1" customHeight="1" outlineLevel="1" x14ac:dyDescent="0.35">
      <c r="B28" t="s">
        <v>83</v>
      </c>
      <c r="C28" s="181" t="s">
        <v>84</v>
      </c>
      <c r="D28" s="148"/>
      <c r="E28" s="125">
        <v>-3.9002692560432739</v>
      </c>
      <c r="F28" s="125">
        <v>0</v>
      </c>
      <c r="G28" s="125">
        <v>0</v>
      </c>
      <c r="H28" s="125">
        <f t="shared" si="76"/>
        <v>-3.9002692560432739</v>
      </c>
      <c r="I28" s="125">
        <v>0</v>
      </c>
      <c r="J28" s="125">
        <v>0</v>
      </c>
      <c r="K28" s="125">
        <f t="shared" ref="K28:K35" si="95">SUM(H28:J28)</f>
        <v>-3.9002692560432739</v>
      </c>
      <c r="L28" s="154">
        <f t="shared" si="59"/>
        <v>-3.4292703522030683E-2</v>
      </c>
      <c r="M28" s="148"/>
      <c r="N28" s="125">
        <v>-3.8564283186474291</v>
      </c>
      <c r="O28" s="154">
        <f t="shared" si="60"/>
        <v>-3.4106324011414169E-2</v>
      </c>
      <c r="P28" s="155">
        <f t="shared" si="26"/>
        <v>-4.3840937395844826E-2</v>
      </c>
      <c r="Q28" s="156">
        <f t="shared" si="27"/>
        <v>1.1368274935606992E-2</v>
      </c>
      <c r="R28" s="157"/>
      <c r="S28" s="148"/>
      <c r="T28" s="125">
        <v>-2.5037259900000035</v>
      </c>
      <c r="U28" s="125">
        <v>0</v>
      </c>
      <c r="V28" s="125">
        <v>0</v>
      </c>
      <c r="W28" s="125">
        <v>0</v>
      </c>
      <c r="X28" s="125">
        <v>0</v>
      </c>
      <c r="Y28" s="125">
        <f t="shared" si="78"/>
        <v>-2.5037259900000035</v>
      </c>
      <c r="Z28" s="125">
        <v>0</v>
      </c>
      <c r="AA28" s="125">
        <v>0</v>
      </c>
      <c r="AB28" s="125">
        <f t="shared" ref="AB28:AB35" si="96">SUM(Y28:AA28)</f>
        <v>-2.5037259900000035</v>
      </c>
      <c r="AC28" s="154">
        <f t="shared" si="63"/>
        <v>-2.6303636929296229E-2</v>
      </c>
      <c r="AD28" s="155">
        <f t="shared" si="30"/>
        <v>-1.3965432660432704</v>
      </c>
      <c r="AE28" s="156">
        <f t="shared" si="64"/>
        <v>0.55778598441727589</v>
      </c>
      <c r="AF28" s="157"/>
      <c r="AG28" s="94"/>
      <c r="AH28" s="123" t="s">
        <v>82</v>
      </c>
      <c r="AI28" s="125">
        <v>-19.652629340216361</v>
      </c>
      <c r="AJ28" s="125">
        <v>0</v>
      </c>
      <c r="AK28" s="125">
        <v>0</v>
      </c>
      <c r="AL28" s="125">
        <f t="shared" ref="AL28:AL30" si="97">SUM(AI28:AK28)</f>
        <v>-19.652629340216361</v>
      </c>
      <c r="AM28" s="125">
        <v>0</v>
      </c>
      <c r="AN28" s="125">
        <v>0</v>
      </c>
      <c r="AO28" s="125">
        <f t="shared" ref="AO28:AO30" si="98">SUM(AL28:AN28)</f>
        <v>-19.652629340216361</v>
      </c>
      <c r="AP28" s="154">
        <f t="shared" si="67"/>
        <v>-3.6161601945035947E-2</v>
      </c>
      <c r="AQ28" s="148"/>
      <c r="AR28" s="125">
        <v>-19.727686132721963</v>
      </c>
      <c r="AS28" s="154">
        <f t="shared" si="68"/>
        <v>-3.6418386788576791E-2</v>
      </c>
      <c r="AT28" s="155">
        <f t="shared" si="69"/>
        <v>7.5056792505602488E-2</v>
      </c>
      <c r="AU28" s="156">
        <f t="shared" si="70"/>
        <v>-3.8046424705179271E-3</v>
      </c>
      <c r="AV28" s="157"/>
      <c r="AW28" s="148"/>
      <c r="AX28" s="125">
        <v>-15.198727533379758</v>
      </c>
      <c r="AY28" s="125">
        <v>0</v>
      </c>
      <c r="AZ28" s="125">
        <v>0</v>
      </c>
      <c r="BA28" s="125">
        <v>0</v>
      </c>
      <c r="BB28" s="125">
        <v>0</v>
      </c>
      <c r="BC28" s="125">
        <f t="shared" ref="BC28:BC30" si="99">SUM(AX28:BB28)</f>
        <v>-15.198727533379758</v>
      </c>
      <c r="BD28" s="125">
        <v>0</v>
      </c>
      <c r="BE28" s="125">
        <v>0</v>
      </c>
      <c r="BF28" s="125">
        <f t="shared" ref="BF28:BF30" si="100">SUM(BC28:BE28)</f>
        <v>-15.198727533379758</v>
      </c>
      <c r="BG28" s="154">
        <f t="shared" si="73"/>
        <v>-3.2929320096507994E-2</v>
      </c>
      <c r="BH28" s="155">
        <f t="shared" si="89"/>
        <v>-4.453901806836603</v>
      </c>
      <c r="BI28" s="156">
        <f t="shared" si="74"/>
        <v>0.29304438789726661</v>
      </c>
      <c r="BJ28" s="157"/>
    </row>
    <row r="29" spans="2:64" hidden="1" outlineLevel="1" x14ac:dyDescent="0.35">
      <c r="B29" t="s">
        <v>85</v>
      </c>
      <c r="C29" s="181" t="s">
        <v>86</v>
      </c>
      <c r="D29" s="148"/>
      <c r="E29" s="125">
        <v>-4.8315923000000005</v>
      </c>
      <c r="F29" s="125">
        <v>0</v>
      </c>
      <c r="G29" s="125">
        <v>0</v>
      </c>
      <c r="H29" s="125">
        <f t="shared" si="76"/>
        <v>-4.8315923000000005</v>
      </c>
      <c r="I29" s="125">
        <v>0</v>
      </c>
      <c r="J29" s="125">
        <v>0</v>
      </c>
      <c r="K29" s="125">
        <f t="shared" si="95"/>
        <v>-4.8315923000000005</v>
      </c>
      <c r="L29" s="154">
        <f t="shared" si="59"/>
        <v>-4.2481262550399676E-2</v>
      </c>
      <c r="M29" s="148"/>
      <c r="N29" s="125">
        <v>-4.9881489989663077</v>
      </c>
      <c r="O29" s="154">
        <f t="shared" si="60"/>
        <v>-4.4115282826163137E-2</v>
      </c>
      <c r="P29" s="155">
        <f t="shared" si="26"/>
        <v>0.1565566989663072</v>
      </c>
      <c r="Q29" s="156">
        <f t="shared" si="27"/>
        <v>-3.1385730257606603E-2</v>
      </c>
      <c r="R29" s="157"/>
      <c r="S29" s="148"/>
      <c r="T29" s="125">
        <v>-5.1663511399999997</v>
      </c>
      <c r="U29" s="125">
        <v>0</v>
      </c>
      <c r="V29" s="125">
        <v>0</v>
      </c>
      <c r="W29" s="125">
        <v>0</v>
      </c>
      <c r="X29" s="125">
        <v>0</v>
      </c>
      <c r="Y29" s="125">
        <f t="shared" si="78"/>
        <v>-5.1663511399999997</v>
      </c>
      <c r="Z29" s="125">
        <v>0</v>
      </c>
      <c r="AA29" s="125">
        <v>0</v>
      </c>
      <c r="AB29" s="125">
        <f t="shared" si="96"/>
        <v>-5.1663511399999997</v>
      </c>
      <c r="AC29" s="154">
        <f t="shared" si="63"/>
        <v>-5.4276636172880671E-2</v>
      </c>
      <c r="AD29" s="155">
        <f t="shared" si="30"/>
        <v>0.33475883999999922</v>
      </c>
      <c r="AE29" s="156">
        <f t="shared" si="64"/>
        <v>-6.479599061863206E-2</v>
      </c>
      <c r="AF29" s="157"/>
      <c r="AG29" s="94"/>
      <c r="AH29" s="123" t="s">
        <v>86</v>
      </c>
      <c r="AI29" s="125">
        <v>-24.303068430000003</v>
      </c>
      <c r="AJ29" s="125">
        <v>0</v>
      </c>
      <c r="AK29" s="125">
        <v>0</v>
      </c>
      <c r="AL29" s="125">
        <f t="shared" si="97"/>
        <v>-24.303068430000003</v>
      </c>
      <c r="AM29" s="125">
        <v>0</v>
      </c>
      <c r="AN29" s="125">
        <v>0</v>
      </c>
      <c r="AO29" s="125">
        <f t="shared" si="98"/>
        <v>-24.303068430000003</v>
      </c>
      <c r="AP29" s="154">
        <f t="shared" si="67"/>
        <v>-4.471859064731918E-2</v>
      </c>
      <c r="AQ29" s="148"/>
      <c r="AR29" s="125">
        <v>-25.961454611525255</v>
      </c>
      <c r="AS29" s="154">
        <f t="shared" si="68"/>
        <v>-4.7926264097864268E-2</v>
      </c>
      <c r="AT29" s="155">
        <f t="shared" si="69"/>
        <v>1.6583861815252519</v>
      </c>
      <c r="AU29" s="156">
        <f t="shared" si="70"/>
        <v>-6.3878785158248852E-2</v>
      </c>
      <c r="AV29" s="157"/>
      <c r="AW29" s="148"/>
      <c r="AX29" s="125">
        <v>-25.594451210960759</v>
      </c>
      <c r="AY29" s="125">
        <v>0</v>
      </c>
      <c r="AZ29" s="125">
        <v>0</v>
      </c>
      <c r="BA29" s="125">
        <v>0</v>
      </c>
      <c r="BB29" s="125">
        <v>0</v>
      </c>
      <c r="BC29" s="125">
        <f t="shared" si="99"/>
        <v>-25.594451210960759</v>
      </c>
      <c r="BD29" s="125">
        <v>0</v>
      </c>
      <c r="BE29" s="125">
        <v>0</v>
      </c>
      <c r="BF29" s="125">
        <f t="shared" si="100"/>
        <v>-25.594451210960759</v>
      </c>
      <c r="BG29" s="154">
        <f t="shared" si="73"/>
        <v>-5.5452528823165724E-2</v>
      </c>
      <c r="BH29" s="155">
        <f t="shared" si="89"/>
        <v>1.2913827809607561</v>
      </c>
      <c r="BI29" s="156">
        <f t="shared" si="74"/>
        <v>-5.045557610579765E-2</v>
      </c>
      <c r="BJ29" s="157"/>
    </row>
    <row r="30" spans="2:64" s="175" customFormat="1" collapsed="1" x14ac:dyDescent="0.35">
      <c r="B30" t="s">
        <v>87</v>
      </c>
      <c r="C30" s="176" t="s">
        <v>88</v>
      </c>
      <c r="D30" s="177"/>
      <c r="E30" s="126">
        <v>-0.74368261008494974</v>
      </c>
      <c r="F30" s="126">
        <v>0</v>
      </c>
      <c r="G30" s="126">
        <v>0</v>
      </c>
      <c r="H30" s="126">
        <f t="shared" si="76"/>
        <v>-0.74368261008494974</v>
      </c>
      <c r="I30" s="126">
        <v>0</v>
      </c>
      <c r="J30" s="126">
        <v>0</v>
      </c>
      <c r="K30" s="126">
        <f t="shared" si="95"/>
        <v>-0.74368261008494974</v>
      </c>
      <c r="L30" s="178">
        <f t="shared" si="59"/>
        <v>-6.538750426683405E-3</v>
      </c>
      <c r="M30" s="177"/>
      <c r="N30" s="126">
        <v>-1.478177065575643</v>
      </c>
      <c r="O30" s="178">
        <f t="shared" si="60"/>
        <v>-1.3073025550866839E-2</v>
      </c>
      <c r="P30" s="179">
        <f t="shared" si="26"/>
        <v>0.73449445549069325</v>
      </c>
      <c r="Q30" s="138">
        <f t="shared" si="27"/>
        <v>-0.49689206563671096</v>
      </c>
      <c r="R30" s="139"/>
      <c r="S30" s="177"/>
      <c r="T30" s="126">
        <v>-3.2063321020000402</v>
      </c>
      <c r="U30" s="126">
        <v>0</v>
      </c>
      <c r="V30" s="126">
        <v>0</v>
      </c>
      <c r="W30" s="126">
        <v>0</v>
      </c>
      <c r="X30" s="126">
        <v>0</v>
      </c>
      <c r="Y30" s="126">
        <f t="shared" si="78"/>
        <v>-3.2063321020000402</v>
      </c>
      <c r="Z30" s="126">
        <v>0</v>
      </c>
      <c r="AA30" s="126">
        <v>0</v>
      </c>
      <c r="AB30" s="126">
        <f t="shared" si="96"/>
        <v>-3.2063321020000402</v>
      </c>
      <c r="AC30" s="178">
        <f t="shared" si="63"/>
        <v>-3.368507409461214E-2</v>
      </c>
      <c r="AD30" s="179">
        <f t="shared" si="30"/>
        <v>2.4626494919150903</v>
      </c>
      <c r="AE30" s="138">
        <f t="shared" si="64"/>
        <v>-0.76805814668385208</v>
      </c>
      <c r="AF30" s="139"/>
      <c r="AG30" s="180"/>
      <c r="AH30" s="176" t="s">
        <v>88</v>
      </c>
      <c r="AI30" s="126">
        <v>-5.2624089904247366</v>
      </c>
      <c r="AJ30" s="126">
        <v>0</v>
      </c>
      <c r="AK30" s="126">
        <v>0</v>
      </c>
      <c r="AL30" s="126">
        <f t="shared" si="97"/>
        <v>-5.2624089904247366</v>
      </c>
      <c r="AM30" s="126">
        <v>0</v>
      </c>
      <c r="AN30" s="126">
        <v>0</v>
      </c>
      <c r="AO30" s="126">
        <f t="shared" si="98"/>
        <v>-5.2624089904247366</v>
      </c>
      <c r="AP30" s="178">
        <f t="shared" si="67"/>
        <v>-9.6830371086428276E-3</v>
      </c>
      <c r="AQ30" s="177"/>
      <c r="AR30" s="126">
        <v>-8.0803087526739041</v>
      </c>
      <c r="AS30" s="178">
        <f t="shared" si="68"/>
        <v>-1.4916691574786223E-2</v>
      </c>
      <c r="AT30" s="179">
        <f t="shared" si="69"/>
        <v>2.8178997622491675</v>
      </c>
      <c r="AU30" s="138">
        <f t="shared" si="70"/>
        <v>-0.34873664466307419</v>
      </c>
      <c r="AV30" s="139"/>
      <c r="AW30" s="177"/>
      <c r="AX30" s="126">
        <v>-10.368244812000402</v>
      </c>
      <c r="AY30" s="126">
        <v>0</v>
      </c>
      <c r="AZ30" s="126">
        <v>0</v>
      </c>
      <c r="BA30" s="126">
        <v>0</v>
      </c>
      <c r="BB30" s="126">
        <v>0</v>
      </c>
      <c r="BC30" s="126">
        <f t="shared" si="99"/>
        <v>-10.368244812000402</v>
      </c>
      <c r="BD30" s="126">
        <v>0</v>
      </c>
      <c r="BE30" s="126">
        <v>0</v>
      </c>
      <c r="BF30" s="126">
        <f t="shared" si="100"/>
        <v>-10.368244812000402</v>
      </c>
      <c r="BG30" s="178">
        <f t="shared" si="73"/>
        <v>-2.2463673455786849E-2</v>
      </c>
      <c r="BH30" s="179">
        <f t="shared" si="89"/>
        <v>5.1058358215756652</v>
      </c>
      <c r="BI30" s="138">
        <f t="shared" si="74"/>
        <v>-0.4924493888942586</v>
      </c>
      <c r="BJ30" s="139"/>
    </row>
    <row r="31" spans="2:64" hidden="1" outlineLevel="1" x14ac:dyDescent="0.35">
      <c r="C31" s="181" t="s">
        <v>89</v>
      </c>
      <c r="D31" s="148"/>
      <c r="E31" s="125"/>
      <c r="F31" s="125"/>
      <c r="G31" s="125"/>
      <c r="H31" s="125"/>
      <c r="I31" s="125"/>
      <c r="J31" s="125"/>
      <c r="K31" s="125">
        <v>2.7418116800000005</v>
      </c>
      <c r="L31" s="154">
        <f t="shared" si="59"/>
        <v>2.4107088224689908E-2</v>
      </c>
      <c r="M31" s="148"/>
      <c r="N31" s="125">
        <v>1.1928444015241368</v>
      </c>
      <c r="O31" s="154">
        <f t="shared" si="60"/>
        <v>1.0549538145662365E-2</v>
      </c>
      <c r="P31" s="155">
        <f t="shared" si="26"/>
        <v>1.5489672784758637</v>
      </c>
      <c r="Q31" s="156">
        <f t="shared" si="27"/>
        <v>1.2985493133024701</v>
      </c>
      <c r="R31" s="157"/>
      <c r="S31" s="148"/>
      <c r="T31" s="125"/>
      <c r="U31" s="125"/>
      <c r="V31" s="125"/>
      <c r="W31" s="125"/>
      <c r="X31" s="125"/>
      <c r="Y31" s="125"/>
      <c r="Z31" s="125"/>
      <c r="AA31" s="125"/>
      <c r="AB31" s="125">
        <v>0.99911402000000027</v>
      </c>
      <c r="AC31" s="154">
        <f t="shared" si="63"/>
        <v>1.0496489047928756E-2</v>
      </c>
      <c r="AD31" s="155">
        <f t="shared" si="30"/>
        <v>1.7426976600000001</v>
      </c>
      <c r="AE31" s="156">
        <f t="shared" si="64"/>
        <v>1.7442430244347884</v>
      </c>
      <c r="AF31" s="157"/>
      <c r="AG31" s="94"/>
      <c r="AH31" s="123"/>
      <c r="AI31" s="125"/>
      <c r="AJ31" s="125"/>
      <c r="AK31" s="125"/>
      <c r="AL31" s="125"/>
      <c r="AM31" s="125"/>
      <c r="AN31" s="125"/>
      <c r="AO31" s="125">
        <v>17.13997153</v>
      </c>
      <c r="AP31" s="154">
        <f>IFERROR(AO31/AO$9,0)</f>
        <v>3.1538213899386817E-2</v>
      </c>
      <c r="AQ31" s="148"/>
      <c r="AR31" s="125">
        <v>6.0266249196256876</v>
      </c>
      <c r="AS31" s="154">
        <f>IFERROR(AR31/AR$9,0)</f>
        <v>1.1125478977920086E-2</v>
      </c>
      <c r="AT31" s="155">
        <f>AO31-AR31</f>
        <v>11.113346610374313</v>
      </c>
      <c r="AU31" s="156">
        <f>IFERROR(AO31/AR31-1,"")</f>
        <v>1.8440415254952618</v>
      </c>
      <c r="AV31" s="157"/>
      <c r="AW31" s="148"/>
      <c r="AX31" s="125"/>
      <c r="AY31" s="125"/>
      <c r="AZ31" s="125"/>
      <c r="BA31" s="125"/>
      <c r="BB31" s="125"/>
      <c r="BC31" s="125"/>
      <c r="BD31" s="125"/>
      <c r="BE31" s="125"/>
      <c r="BF31" s="125">
        <v>9.9846334800000012</v>
      </c>
      <c r="BG31" s="154">
        <f t="shared" si="73"/>
        <v>2.1632547276549396E-2</v>
      </c>
      <c r="BH31" s="155">
        <f>$AO31-BF31</f>
        <v>7.1553380499999992</v>
      </c>
      <c r="BI31" s="156">
        <f>IFERROR(AO31/BF31-1,"")</f>
        <v>0.71663502364234999</v>
      </c>
      <c r="BJ31" s="157"/>
    </row>
    <row r="32" spans="2:64" hidden="1" outlineLevel="1" x14ac:dyDescent="0.35">
      <c r="C32" s="181" t="s">
        <v>90</v>
      </c>
      <c r="D32" s="148"/>
      <c r="E32" s="125"/>
      <c r="F32" s="125"/>
      <c r="G32" s="125"/>
      <c r="H32" s="125"/>
      <c r="I32" s="125"/>
      <c r="J32" s="125"/>
      <c r="K32" s="125">
        <v>-3.4471245399999999</v>
      </c>
      <c r="L32" s="154">
        <f t="shared" si="59"/>
        <v>-3.0308476695698371E-2</v>
      </c>
      <c r="M32" s="148"/>
      <c r="N32" s="125">
        <v>-2.6710214670997798</v>
      </c>
      <c r="O32" s="154">
        <f t="shared" si="60"/>
        <v>-2.3622563696529205E-2</v>
      </c>
      <c r="P32" s="155">
        <f t="shared" si="26"/>
        <v>-0.77610307290022007</v>
      </c>
      <c r="Q32" s="156">
        <f t="shared" si="27"/>
        <v>0.2905641465109301</v>
      </c>
      <c r="R32" s="157"/>
      <c r="S32" s="148"/>
      <c r="T32" s="125"/>
      <c r="U32" s="125"/>
      <c r="V32" s="125"/>
      <c r="W32" s="125"/>
      <c r="X32" s="125"/>
      <c r="Y32" s="125"/>
      <c r="Z32" s="125"/>
      <c r="AA32" s="125"/>
      <c r="AB32" s="125">
        <v>-4.2054469000000001</v>
      </c>
      <c r="AC32" s="154">
        <f t="shared" si="63"/>
        <v>-4.4181571316050522E-2</v>
      </c>
      <c r="AD32" s="155">
        <f t="shared" si="30"/>
        <v>0.7583223600000002</v>
      </c>
      <c r="AE32" s="156">
        <f t="shared" si="64"/>
        <v>-0.18031909046337025</v>
      </c>
      <c r="AF32" s="157"/>
      <c r="AG32" s="94"/>
      <c r="AH32" s="123"/>
      <c r="AI32" s="125"/>
      <c r="AJ32" s="125"/>
      <c r="AK32" s="125"/>
      <c r="AL32" s="125"/>
      <c r="AM32" s="125"/>
      <c r="AN32" s="125"/>
      <c r="AO32" s="125">
        <v>-22.364280469999997</v>
      </c>
      <c r="AP32" s="154">
        <f>IFERROR(AO32/AO$9,0)</f>
        <v>-4.1151145434180254E-2</v>
      </c>
      <c r="AQ32" s="148"/>
      <c r="AR32" s="125">
        <v>-14.106933672299586</v>
      </c>
      <c r="AS32" s="154">
        <f>IFERROR(AR32/AR$9,0)</f>
        <v>-2.6042170552706301E-2</v>
      </c>
      <c r="AT32" s="155">
        <f>AO32-AR32</f>
        <v>-8.2573467977004107</v>
      </c>
      <c r="AU32" s="156">
        <f>IFERROR(AO32/AR32-1,"")</f>
        <v>0.58533959182884376</v>
      </c>
      <c r="AV32" s="157"/>
      <c r="AW32" s="148"/>
      <c r="AX32" s="125"/>
      <c r="AY32" s="125"/>
      <c r="AZ32" s="125"/>
      <c r="BA32" s="125"/>
      <c r="BB32" s="125"/>
      <c r="BC32" s="125"/>
      <c r="BD32" s="125"/>
      <c r="BE32" s="125"/>
      <c r="BF32" s="125">
        <v>-20.368833210000002</v>
      </c>
      <c r="BG32" s="154">
        <f t="shared" si="73"/>
        <v>-4.4130788402607882E-2</v>
      </c>
      <c r="BH32" s="155">
        <f>$AO32-BF32</f>
        <v>-1.9954472599999953</v>
      </c>
      <c r="BI32" s="156">
        <f>IFERROR(AO32/BF32-1,"")</f>
        <v>9.7965712587814613E-2</v>
      </c>
      <c r="BJ32" s="157"/>
    </row>
    <row r="33" spans="2:62" s="175" customFormat="1" collapsed="1" x14ac:dyDescent="0.35">
      <c r="C33" s="176" t="s">
        <v>91</v>
      </c>
      <c r="D33" s="177"/>
      <c r="E33" s="126">
        <f>SUM(E34:E35)</f>
        <v>-5.7406935284390901</v>
      </c>
      <c r="F33" s="126">
        <f t="shared" ref="F33:K33" si="101">SUM(F34:F35)</f>
        <v>0</v>
      </c>
      <c r="G33" s="126">
        <f t="shared" si="101"/>
        <v>0</v>
      </c>
      <c r="H33" s="126">
        <f t="shared" si="101"/>
        <v>-5.7406935284390901</v>
      </c>
      <c r="I33" s="126">
        <f t="shared" si="101"/>
        <v>0</v>
      </c>
      <c r="J33" s="126">
        <f t="shared" si="101"/>
        <v>0</v>
      </c>
      <c r="K33" s="126">
        <f t="shared" si="101"/>
        <v>-5.7406935284390901</v>
      </c>
      <c r="L33" s="178">
        <f t="shared" si="59"/>
        <v>-5.0474438624095265E-2</v>
      </c>
      <c r="M33" s="177"/>
      <c r="N33" s="126">
        <f t="shared" ref="N33" si="102">SUM(N34:N35)</f>
        <v>-7.4642437402051192</v>
      </c>
      <c r="O33" s="178">
        <f t="shared" si="60"/>
        <v>-6.6013910921827845E-2</v>
      </c>
      <c r="P33" s="179">
        <f t="shared" si="26"/>
        <v>1.7235502117660291</v>
      </c>
      <c r="Q33" s="138">
        <f t="shared" si="27"/>
        <v>-0.23090754693370519</v>
      </c>
      <c r="R33" s="139"/>
      <c r="S33" s="177"/>
      <c r="T33" s="126">
        <f t="shared" ref="T33:AB33" si="103">SUM(T34:T35)</f>
        <v>-14.041346439999998</v>
      </c>
      <c r="U33" s="126">
        <f t="shared" si="103"/>
        <v>0</v>
      </c>
      <c r="V33" s="126">
        <f t="shared" si="103"/>
        <v>0</v>
      </c>
      <c r="W33" s="126">
        <f t="shared" si="103"/>
        <v>0</v>
      </c>
      <c r="X33" s="126">
        <f t="shared" si="103"/>
        <v>0</v>
      </c>
      <c r="Y33" s="126">
        <f t="shared" si="103"/>
        <v>-14.041346439999998</v>
      </c>
      <c r="Z33" s="126">
        <f t="shared" si="103"/>
        <v>0</v>
      </c>
      <c r="AA33" s="126">
        <f t="shared" si="103"/>
        <v>0</v>
      </c>
      <c r="AB33" s="126">
        <f t="shared" si="103"/>
        <v>-14.041346439999998</v>
      </c>
      <c r="AC33" s="178">
        <f t="shared" si="63"/>
        <v>-0.14751553493927885</v>
      </c>
      <c r="AD33" s="179">
        <f t="shared" si="30"/>
        <v>8.300652911560908</v>
      </c>
      <c r="AE33" s="138">
        <f t="shared" si="64"/>
        <v>-0.5911579026292374</v>
      </c>
      <c r="AF33" s="139"/>
      <c r="AG33" s="180"/>
      <c r="AH33" s="176"/>
      <c r="AI33" s="126">
        <f t="shared" ref="AI33:AO33" si="104">SUM(AI34:AI35)</f>
        <v>-28.282652492195453</v>
      </c>
      <c r="AJ33" s="126">
        <f t="shared" si="104"/>
        <v>0</v>
      </c>
      <c r="AK33" s="126">
        <f t="shared" si="104"/>
        <v>0</v>
      </c>
      <c r="AL33" s="126">
        <f t="shared" si="104"/>
        <v>-28.282652492195453</v>
      </c>
      <c r="AM33" s="126">
        <f t="shared" si="104"/>
        <v>0</v>
      </c>
      <c r="AN33" s="126">
        <f t="shared" si="104"/>
        <v>0</v>
      </c>
      <c r="AO33" s="126">
        <f t="shared" si="104"/>
        <v>-28.282652492195453</v>
      </c>
      <c r="AP33" s="178">
        <f t="shared" si="67"/>
        <v>-5.2041180020611491E-2</v>
      </c>
      <c r="AQ33" s="177"/>
      <c r="AR33" s="126">
        <f t="shared" ref="AR33" si="105">SUM(AR34:AR35)</f>
        <v>-35.778353468472488</v>
      </c>
      <c r="AS33" s="178">
        <f t="shared" ref="AS33" si="106">IFERROR(AR33/AR$9,0)</f>
        <v>-6.6048795915908398E-2</v>
      </c>
      <c r="AT33" s="179">
        <f t="shared" ref="AT33" si="107">AO33-AR33</f>
        <v>7.4957009762770355</v>
      </c>
      <c r="AU33" s="138">
        <f t="shared" ref="AU33" si="108">IFERROR(AO33/AR33-1,"")</f>
        <v>-0.20950379907454852</v>
      </c>
      <c r="AV33" s="139"/>
      <c r="AW33" s="177"/>
      <c r="AX33" s="126">
        <f t="shared" ref="AX33:BF33" si="109">SUM(AX34:AX35)</f>
        <v>-23.010914780000007</v>
      </c>
      <c r="AY33" s="126">
        <f t="shared" si="109"/>
        <v>0</v>
      </c>
      <c r="AZ33" s="126">
        <f t="shared" si="109"/>
        <v>0</v>
      </c>
      <c r="BA33" s="126">
        <f t="shared" si="109"/>
        <v>0</v>
      </c>
      <c r="BB33" s="126">
        <f t="shared" si="109"/>
        <v>0</v>
      </c>
      <c r="BC33" s="126">
        <f t="shared" si="109"/>
        <v>-23.010914780000007</v>
      </c>
      <c r="BD33" s="126">
        <f t="shared" si="109"/>
        <v>0</v>
      </c>
      <c r="BE33" s="126">
        <f t="shared" si="109"/>
        <v>0</v>
      </c>
      <c r="BF33" s="126">
        <f t="shared" si="109"/>
        <v>-23.010914780000007</v>
      </c>
      <c r="BG33" s="178">
        <f t="shared" si="73"/>
        <v>-4.9855080094036594E-2</v>
      </c>
      <c r="BH33" s="179">
        <f t="shared" ref="BH33" si="110">$AO33-BF33</f>
        <v>-5.2717377121954456</v>
      </c>
      <c r="BI33" s="138">
        <f t="shared" ref="BI33" si="111">IFERROR(AO33/BF33-1,"")</f>
        <v>0.22909726808329189</v>
      </c>
      <c r="BJ33" s="139"/>
    </row>
    <row r="34" spans="2:62" hidden="1" outlineLevel="1" x14ac:dyDescent="0.35">
      <c r="B34" t="s">
        <v>92</v>
      </c>
      <c r="C34" s="181" t="s">
        <v>93</v>
      </c>
      <c r="D34" s="148"/>
      <c r="E34" s="125">
        <v>-5.1142733384390899</v>
      </c>
      <c r="F34" s="125">
        <v>0</v>
      </c>
      <c r="G34" s="125">
        <v>0</v>
      </c>
      <c r="H34" s="125">
        <f t="shared" si="76"/>
        <v>-5.1142733384390899</v>
      </c>
      <c r="I34" s="125">
        <v>0</v>
      </c>
      <c r="J34" s="125">
        <v>0</v>
      </c>
      <c r="K34" s="125">
        <f t="shared" si="95"/>
        <v>-5.1142733384390899</v>
      </c>
      <c r="L34" s="154">
        <f t="shared" si="59"/>
        <v>-4.496670558166508E-2</v>
      </c>
      <c r="M34" s="148"/>
      <c r="N34" s="125">
        <v>-5.401682461924616</v>
      </c>
      <c r="O34" s="154">
        <f t="shared" si="60"/>
        <v>-4.7772580489137711E-2</v>
      </c>
      <c r="P34" s="155">
        <f t="shared" si="26"/>
        <v>0.28740912348552605</v>
      </c>
      <c r="Q34" s="156">
        <f t="shared" si="27"/>
        <v>-5.3207334105885629E-2</v>
      </c>
      <c r="R34" s="157"/>
      <c r="S34" s="148"/>
      <c r="T34" s="125">
        <v>-5.7813332099999988</v>
      </c>
      <c r="U34" s="125">
        <v>0</v>
      </c>
      <c r="V34" s="125">
        <v>0</v>
      </c>
      <c r="W34" s="125">
        <v>0</v>
      </c>
      <c r="X34" s="125">
        <v>0</v>
      </c>
      <c r="Y34" s="125">
        <f t="shared" ref="Y34:Y42" si="112">SUM(T34:X34)</f>
        <v>-5.7813332099999988</v>
      </c>
      <c r="Z34" s="125">
        <v>0</v>
      </c>
      <c r="AA34" s="125">
        <v>0</v>
      </c>
      <c r="AB34" s="125">
        <f t="shared" si="96"/>
        <v>-5.7813332099999988</v>
      </c>
      <c r="AC34" s="154">
        <f t="shared" si="63"/>
        <v>-6.0737512942908925E-2</v>
      </c>
      <c r="AD34" s="155">
        <f t="shared" si="30"/>
        <v>0.66705987156090885</v>
      </c>
      <c r="AE34" s="156">
        <f t="shared" si="64"/>
        <v>-0.11538166843715081</v>
      </c>
      <c r="AF34" s="157"/>
      <c r="AG34" s="94"/>
      <c r="AH34" s="123" t="s">
        <v>91</v>
      </c>
      <c r="AI34" s="125">
        <v>-17.499857852195451</v>
      </c>
      <c r="AJ34" s="125">
        <v>0</v>
      </c>
      <c r="AK34" s="125">
        <v>0</v>
      </c>
      <c r="AL34" s="125">
        <f t="shared" ref="AL34:AL35" si="113">SUM(AI34:AK34)</f>
        <v>-17.499857852195451</v>
      </c>
      <c r="AM34" s="125">
        <v>0</v>
      </c>
      <c r="AN34" s="125">
        <v>0</v>
      </c>
      <c r="AO34" s="125">
        <f t="shared" ref="AO34:AO35" si="114">SUM(AL34:AN34)</f>
        <v>-17.499857852195451</v>
      </c>
      <c r="AP34" s="154">
        <f t="shared" si="67"/>
        <v>-3.2200418722130988E-2</v>
      </c>
      <c r="AQ34" s="148"/>
      <c r="AR34" s="125">
        <v>-25.486149924570512</v>
      </c>
      <c r="AS34" s="154">
        <f t="shared" si="68"/>
        <v>-4.7048825668669587E-2</v>
      </c>
      <c r="AT34" s="155">
        <f t="shared" si="69"/>
        <v>7.9862920723750612</v>
      </c>
      <c r="AU34" s="156">
        <f t="shared" si="70"/>
        <v>-0.31335812180386224</v>
      </c>
      <c r="AV34" s="157"/>
      <c r="AW34" s="148"/>
      <c r="AX34" s="125">
        <v>-17.445239430000004</v>
      </c>
      <c r="AY34" s="125">
        <v>0</v>
      </c>
      <c r="AZ34" s="125">
        <v>0</v>
      </c>
      <c r="BA34" s="125">
        <v>0</v>
      </c>
      <c r="BB34" s="125">
        <v>0</v>
      </c>
      <c r="BC34" s="125">
        <f t="shared" ref="BC34:BC35" si="115">SUM(AX34:BB34)</f>
        <v>-17.445239430000004</v>
      </c>
      <c r="BD34" s="125">
        <v>0</v>
      </c>
      <c r="BE34" s="125">
        <v>0</v>
      </c>
      <c r="BF34" s="125">
        <f t="shared" ref="BF34:BF35" si="116">SUM(BC34:BE34)</f>
        <v>-17.445239430000004</v>
      </c>
      <c r="BG34" s="154">
        <f t="shared" si="73"/>
        <v>-3.7796576857441012E-2</v>
      </c>
      <c r="BH34" s="155">
        <f t="shared" si="89"/>
        <v>-5.4618422195446215E-2</v>
      </c>
      <c r="BI34" s="156">
        <f t="shared" si="74"/>
        <v>3.1308496747555203E-3</v>
      </c>
      <c r="BJ34" s="157"/>
    </row>
    <row r="35" spans="2:62" hidden="1" outlineLevel="1" x14ac:dyDescent="0.35">
      <c r="B35" t="s">
        <v>94</v>
      </c>
      <c r="C35" s="181" t="s">
        <v>95</v>
      </c>
      <c r="D35" s="124"/>
      <c r="E35" s="125">
        <v>-0.62642019000000004</v>
      </c>
      <c r="F35" s="125">
        <v>0</v>
      </c>
      <c r="G35" s="125">
        <v>0</v>
      </c>
      <c r="H35" s="125">
        <f t="shared" si="76"/>
        <v>-0.62642019000000004</v>
      </c>
      <c r="I35" s="125">
        <v>0</v>
      </c>
      <c r="J35" s="125">
        <v>0</v>
      </c>
      <c r="K35" s="125">
        <f t="shared" si="95"/>
        <v>-0.62642019000000004</v>
      </c>
      <c r="L35" s="154">
        <f t="shared" si="59"/>
        <v>-5.5077330424301834E-3</v>
      </c>
      <c r="M35" s="124"/>
      <c r="N35" s="125">
        <v>-2.0625612782805032</v>
      </c>
      <c r="O35" s="154">
        <f t="shared" si="60"/>
        <v>-1.8241330432690141E-2</v>
      </c>
      <c r="P35" s="155">
        <f t="shared" si="26"/>
        <v>1.436141088280503</v>
      </c>
      <c r="Q35" s="156">
        <f t="shared" si="27"/>
        <v>-0.69629014342680362</v>
      </c>
      <c r="R35" s="157"/>
      <c r="S35" s="124"/>
      <c r="T35" s="125">
        <v>-8.2600132300000002</v>
      </c>
      <c r="U35" s="125">
        <v>0</v>
      </c>
      <c r="V35" s="125">
        <v>0</v>
      </c>
      <c r="W35" s="125">
        <v>0</v>
      </c>
      <c r="X35" s="125">
        <v>0</v>
      </c>
      <c r="Y35" s="125">
        <f t="shared" si="112"/>
        <v>-8.2600132300000002</v>
      </c>
      <c r="Z35" s="125">
        <v>0</v>
      </c>
      <c r="AA35" s="125">
        <v>0</v>
      </c>
      <c r="AB35" s="125">
        <f t="shared" si="96"/>
        <v>-8.2600132300000002</v>
      </c>
      <c r="AC35" s="154">
        <f t="shared" si="63"/>
        <v>-8.6778021996369956E-2</v>
      </c>
      <c r="AD35" s="155">
        <f t="shared" si="30"/>
        <v>7.6335930400000001</v>
      </c>
      <c r="AE35" s="156">
        <f t="shared" si="64"/>
        <v>-0.92416232606930093</v>
      </c>
      <c r="AF35" s="157"/>
      <c r="AG35" s="94"/>
      <c r="AH35" s="123" t="s">
        <v>96</v>
      </c>
      <c r="AI35" s="125">
        <v>-10.782794640000004</v>
      </c>
      <c r="AJ35" s="125">
        <v>0</v>
      </c>
      <c r="AK35" s="125">
        <v>0</v>
      </c>
      <c r="AL35" s="125">
        <f t="shared" si="113"/>
        <v>-10.782794640000004</v>
      </c>
      <c r="AM35" s="125">
        <v>0</v>
      </c>
      <c r="AN35" s="125">
        <v>0</v>
      </c>
      <c r="AO35" s="125">
        <f t="shared" si="114"/>
        <v>-10.782794640000004</v>
      </c>
      <c r="AP35" s="154">
        <f t="shared" si="67"/>
        <v>-1.9840761298480513E-2</v>
      </c>
      <c r="AQ35" s="124"/>
      <c r="AR35" s="125">
        <v>-10.292203543901978</v>
      </c>
      <c r="AS35" s="154">
        <f t="shared" si="68"/>
        <v>-1.8999970247238814E-2</v>
      </c>
      <c r="AT35" s="155">
        <f t="shared" si="69"/>
        <v>-0.49059109609802576</v>
      </c>
      <c r="AU35" s="156">
        <f t="shared" si="70"/>
        <v>4.7666283901730333E-2</v>
      </c>
      <c r="AV35" s="157"/>
      <c r="AW35" s="124"/>
      <c r="AX35" s="125">
        <v>-5.5656753500000038</v>
      </c>
      <c r="AY35" s="125">
        <v>0</v>
      </c>
      <c r="AZ35" s="125">
        <v>0</v>
      </c>
      <c r="BA35" s="125">
        <v>0</v>
      </c>
      <c r="BB35" s="125">
        <v>0</v>
      </c>
      <c r="BC35" s="125">
        <f t="shared" si="115"/>
        <v>-5.5656753500000038</v>
      </c>
      <c r="BD35" s="125">
        <v>0</v>
      </c>
      <c r="BE35" s="125">
        <v>0</v>
      </c>
      <c r="BF35" s="125">
        <f t="shared" si="116"/>
        <v>-5.5656753500000038</v>
      </c>
      <c r="BG35" s="154">
        <f t="shared" si="73"/>
        <v>-1.2058503236595589E-2</v>
      </c>
      <c r="BH35" s="155">
        <f t="shared" si="89"/>
        <v>-5.2171192900000003</v>
      </c>
      <c r="BI35" s="156">
        <f t="shared" si="74"/>
        <v>0.93737398642915748</v>
      </c>
      <c r="BJ35" s="157"/>
    </row>
    <row r="36" spans="2:62" hidden="1" outlineLevel="1" x14ac:dyDescent="0.35">
      <c r="C36" s="182" t="s">
        <v>97</v>
      </c>
      <c r="D36" s="162"/>
      <c r="E36" s="183">
        <f>SUM(E24,E27,E30,E33)</f>
        <v>19.249147187662118</v>
      </c>
      <c r="F36" s="183">
        <f t="shared" ref="F36:K36" si="117">SUM(F24,F27,F30,F33)</f>
        <v>-0.48076930000000001</v>
      </c>
      <c r="G36" s="183">
        <f t="shared" si="117"/>
        <v>0</v>
      </c>
      <c r="H36" s="183">
        <f t="shared" si="117"/>
        <v>18.768377887662105</v>
      </c>
      <c r="I36" s="183">
        <f t="shared" si="117"/>
        <v>8.6874999999999994E-2</v>
      </c>
      <c r="J36" s="183">
        <f t="shared" si="117"/>
        <v>2.3283064365386962E-16</v>
      </c>
      <c r="K36" s="183">
        <f t="shared" si="117"/>
        <v>18.855252887662111</v>
      </c>
      <c r="L36" s="184">
        <f t="shared" si="59"/>
        <v>0.16578281002206161</v>
      </c>
      <c r="M36" s="162"/>
      <c r="N36" s="183">
        <f t="shared" ref="N36" si="118">SUM(N24,N27,N30,N33)</f>
        <v>8.98437984507677</v>
      </c>
      <c r="O36" s="184">
        <f t="shared" si="60"/>
        <v>7.9458022999187999E-2</v>
      </c>
      <c r="P36" s="185">
        <f t="shared" si="26"/>
        <v>9.870873042585341</v>
      </c>
      <c r="Q36" s="186">
        <f t="shared" si="27"/>
        <v>1.0986704939901166</v>
      </c>
      <c r="R36" s="187"/>
      <c r="S36" s="162"/>
      <c r="T36" s="183">
        <f t="shared" ref="T36:AB36" si="119">SUM(T24,T27,T30,T33)</f>
        <v>-2.1626294398433537</v>
      </c>
      <c r="U36" s="183">
        <f t="shared" si="119"/>
        <v>-0.12618796000000002</v>
      </c>
      <c r="V36" s="183">
        <f t="shared" si="119"/>
        <v>0</v>
      </c>
      <c r="W36" s="183">
        <f t="shared" si="119"/>
        <v>0</v>
      </c>
      <c r="X36" s="183">
        <f t="shared" si="119"/>
        <v>0</v>
      </c>
      <c r="Y36" s="183">
        <f t="shared" si="119"/>
        <v>-2.2888173998433423</v>
      </c>
      <c r="Z36" s="183">
        <f t="shared" si="119"/>
        <v>2.2572009999999997E-2</v>
      </c>
      <c r="AA36" s="183">
        <f t="shared" si="119"/>
        <v>0</v>
      </c>
      <c r="AB36" s="183">
        <f t="shared" si="119"/>
        <v>-2.2662453898433448</v>
      </c>
      <c r="AC36" s="184">
        <f t="shared" si="63"/>
        <v>-2.3808713958802914E-2</v>
      </c>
      <c r="AD36" s="185">
        <f t="shared" si="30"/>
        <v>21.121498277505456</v>
      </c>
      <c r="AE36" s="186">
        <f t="shared" si="64"/>
        <v>-9.3200402622619301</v>
      </c>
      <c r="AF36" s="187"/>
      <c r="AG36" s="94"/>
      <c r="AH36" s="182" t="s">
        <v>97</v>
      </c>
      <c r="AI36" s="183">
        <f t="shared" ref="AI36:AO36" si="120">SUM(AI24,AI27,AI30,AI33)</f>
        <v>49.180840029805168</v>
      </c>
      <c r="AJ36" s="183">
        <f t="shared" si="120"/>
        <v>0.54364769999999274</v>
      </c>
      <c r="AK36" s="183">
        <f t="shared" si="120"/>
        <v>0</v>
      </c>
      <c r="AL36" s="183">
        <f t="shared" si="120"/>
        <v>49.724487729805148</v>
      </c>
      <c r="AM36" s="183">
        <f t="shared" si="120"/>
        <v>0.62187499999999996</v>
      </c>
      <c r="AN36" s="183">
        <f t="shared" si="120"/>
        <v>3.4924596548080445E-16</v>
      </c>
      <c r="AO36" s="183">
        <f t="shared" si="120"/>
        <v>50.346362729805136</v>
      </c>
      <c r="AP36" s="184">
        <f t="shared" si="67"/>
        <v>9.2639264543090571E-2</v>
      </c>
      <c r="AQ36" s="162"/>
      <c r="AR36" s="183">
        <f t="shared" ref="AR36" si="121">SUM(AR24,AR27,AR30,AR33)</f>
        <v>37.096460587042927</v>
      </c>
      <c r="AS36" s="184">
        <f t="shared" si="68"/>
        <v>6.8482093695988774E-2</v>
      </c>
      <c r="AT36" s="185">
        <f t="shared" si="69"/>
        <v>13.24990214276221</v>
      </c>
      <c r="AU36" s="186">
        <f t="shared" si="70"/>
        <v>0.3571742946115497</v>
      </c>
      <c r="AV36" s="187"/>
      <c r="AW36" s="162"/>
      <c r="AX36" s="183">
        <f t="shared" ref="AX36:BF36" si="122">SUM(AX24,AX27,AX30,AX33)</f>
        <v>31.384478456659195</v>
      </c>
      <c r="AY36" s="183">
        <f t="shared" si="122"/>
        <v>-5.8884284900000008</v>
      </c>
      <c r="AZ36" s="183">
        <f t="shared" si="122"/>
        <v>1.4210854715202004E-14</v>
      </c>
      <c r="BA36" s="183">
        <f t="shared" si="122"/>
        <v>0</v>
      </c>
      <c r="BB36" s="183">
        <f t="shared" si="122"/>
        <v>0</v>
      </c>
      <c r="BC36" s="183">
        <f t="shared" si="122"/>
        <v>25.496049966659172</v>
      </c>
      <c r="BD36" s="183">
        <f t="shared" si="122"/>
        <v>-0.55265431000000009</v>
      </c>
      <c r="BE36" s="183">
        <f t="shared" si="122"/>
        <v>0</v>
      </c>
      <c r="BF36" s="183">
        <f t="shared" si="122"/>
        <v>24.943395656659163</v>
      </c>
      <c r="BG36" s="184">
        <f t="shared" si="73"/>
        <v>5.40419622674378E-2</v>
      </c>
      <c r="BH36" s="185">
        <f t="shared" si="89"/>
        <v>25.402967073145973</v>
      </c>
      <c r="BI36" s="186">
        <f t="shared" si="74"/>
        <v>1.0184245730939252</v>
      </c>
      <c r="BJ36" s="187"/>
    </row>
    <row r="37" spans="2:62" collapsed="1" x14ac:dyDescent="0.35">
      <c r="B37" t="s">
        <v>98</v>
      </c>
      <c r="C37" s="168" t="s">
        <v>80</v>
      </c>
      <c r="D37" s="131"/>
      <c r="E37" s="125">
        <v>0</v>
      </c>
      <c r="F37" s="125">
        <v>0</v>
      </c>
      <c r="G37" s="125">
        <v>0</v>
      </c>
      <c r="H37" s="170">
        <f t="shared" si="76"/>
        <v>0</v>
      </c>
      <c r="I37" s="125">
        <v>0</v>
      </c>
      <c r="J37" s="125">
        <v>0</v>
      </c>
      <c r="K37" s="169">
        <f t="shared" ref="K37" si="123">SUM(H37:J37)</f>
        <v>0</v>
      </c>
      <c r="L37" s="188">
        <f t="shared" si="59"/>
        <v>0</v>
      </c>
      <c r="M37" s="131"/>
      <c r="N37" s="169">
        <v>0</v>
      </c>
      <c r="O37" s="188">
        <f t="shared" si="60"/>
        <v>0</v>
      </c>
      <c r="P37" s="189">
        <f t="shared" si="26"/>
        <v>0</v>
      </c>
      <c r="Q37" s="190" t="str">
        <f t="shared" si="27"/>
        <v/>
      </c>
      <c r="R37" s="191"/>
      <c r="S37" s="131"/>
      <c r="T37" s="125">
        <v>0</v>
      </c>
      <c r="U37" s="125">
        <v>0</v>
      </c>
      <c r="V37" s="125">
        <v>0</v>
      </c>
      <c r="W37" s="125">
        <v>0</v>
      </c>
      <c r="X37" s="125">
        <v>0</v>
      </c>
      <c r="Y37" s="170">
        <f t="shared" si="112"/>
        <v>0</v>
      </c>
      <c r="Z37" s="125">
        <v>0</v>
      </c>
      <c r="AA37" s="125">
        <v>0</v>
      </c>
      <c r="AB37" s="170">
        <f t="shared" ref="AB37" si="124">SUM(Y37:AA37)</f>
        <v>0</v>
      </c>
      <c r="AC37" s="188">
        <f t="shared" si="63"/>
        <v>0</v>
      </c>
      <c r="AD37" s="189">
        <f t="shared" si="30"/>
        <v>0</v>
      </c>
      <c r="AE37" s="190" t="str">
        <f t="shared" si="64"/>
        <v/>
      </c>
      <c r="AF37" s="191"/>
      <c r="AG37" s="94"/>
      <c r="AH37" s="168" t="s">
        <v>80</v>
      </c>
      <c r="AI37" s="125">
        <v>0</v>
      </c>
      <c r="AJ37" s="125">
        <v>0</v>
      </c>
      <c r="AK37" s="125">
        <v>0</v>
      </c>
      <c r="AL37" s="170">
        <f t="shared" ref="AL37" si="125">SUM(AI37:AK37)</f>
        <v>0</v>
      </c>
      <c r="AM37" s="125">
        <v>0</v>
      </c>
      <c r="AN37" s="125">
        <v>0</v>
      </c>
      <c r="AO37" s="170">
        <f t="shared" ref="AO37" si="126">SUM(AL37:AN37)</f>
        <v>0</v>
      </c>
      <c r="AP37" s="188">
        <f t="shared" si="67"/>
        <v>0</v>
      </c>
      <c r="AQ37" s="131"/>
      <c r="AR37" s="170">
        <v>0</v>
      </c>
      <c r="AS37" s="188">
        <f t="shared" si="68"/>
        <v>0</v>
      </c>
      <c r="AT37" s="189">
        <f t="shared" si="69"/>
        <v>0</v>
      </c>
      <c r="AU37" s="190" t="str">
        <f t="shared" si="70"/>
        <v/>
      </c>
      <c r="AV37" s="191"/>
      <c r="AW37" s="131"/>
      <c r="AX37" s="125">
        <v>-1.3778999999999999E-4</v>
      </c>
      <c r="AY37" s="125">
        <v>0</v>
      </c>
      <c r="AZ37" s="125">
        <v>0</v>
      </c>
      <c r="BA37" s="125">
        <v>0</v>
      </c>
      <c r="BB37" s="125">
        <v>0</v>
      </c>
      <c r="BC37" s="170">
        <f t="shared" ref="BC37:BC38" si="127">SUM(AX37:BB37)</f>
        <v>-1.3778999999999999E-4</v>
      </c>
      <c r="BD37" s="125">
        <v>0</v>
      </c>
      <c r="BE37" s="125">
        <v>0</v>
      </c>
      <c r="BF37" s="170">
        <f t="shared" ref="BF37" si="128">SUM(BC37:BE37)</f>
        <v>-1.3778999999999999E-4</v>
      </c>
      <c r="BG37" s="188">
        <f t="shared" si="73"/>
        <v>-2.9853361119428298E-7</v>
      </c>
      <c r="BH37" s="189">
        <f t="shared" si="89"/>
        <v>1.3778999999999999E-4</v>
      </c>
      <c r="BI37" s="190">
        <f t="shared" si="74"/>
        <v>-1</v>
      </c>
      <c r="BJ37" s="191"/>
    </row>
    <row r="38" spans="2:62" x14ac:dyDescent="0.35">
      <c r="C38" s="140" t="s">
        <v>99</v>
      </c>
      <c r="D38" s="124"/>
      <c r="E38" s="141">
        <f t="shared" ref="E38:K38" si="129">SUM(E26,E28:E29,E30,E34:E35,E37)</f>
        <v>18.768377887662115</v>
      </c>
      <c r="F38" s="141">
        <f t="shared" si="129"/>
        <v>0</v>
      </c>
      <c r="G38" s="141">
        <f t="shared" si="129"/>
        <v>0</v>
      </c>
      <c r="H38" s="141">
        <f t="shared" si="129"/>
        <v>18.768377887662101</v>
      </c>
      <c r="I38" s="141">
        <f t="shared" si="129"/>
        <v>0</v>
      </c>
      <c r="J38" s="141">
        <f t="shared" si="129"/>
        <v>2.3283064365386962E-16</v>
      </c>
      <c r="K38" s="141">
        <f t="shared" si="129"/>
        <v>18.768377887662108</v>
      </c>
      <c r="L38" s="142">
        <f t="shared" si="59"/>
        <v>0.16501897080407418</v>
      </c>
      <c r="M38" s="124"/>
      <c r="N38" s="141">
        <f>N36+N37+N25</f>
        <v>8.8963798450767708</v>
      </c>
      <c r="O38" s="142">
        <f t="shared" si="60"/>
        <v>7.8679749357100162E-2</v>
      </c>
      <c r="P38" s="143">
        <f t="shared" si="26"/>
        <v>9.8719980425853375</v>
      </c>
      <c r="Q38" s="144">
        <f t="shared" si="27"/>
        <v>1.1096646292647305</v>
      </c>
      <c r="R38" s="145">
        <f t="shared" si="61"/>
        <v>1</v>
      </c>
      <c r="S38" s="124"/>
      <c r="T38" s="141">
        <f>SUM(T26,T28:T29,T30,T34:T35,T37)</f>
        <v>-2.2888173998433539</v>
      </c>
      <c r="U38" s="141">
        <f>SUM(U26,U28:U29,U30,U34:U35,U37)</f>
        <v>0</v>
      </c>
      <c r="V38" s="141">
        <f>SUM(V26,V28:V29,V30,V34:V35,V37)</f>
        <v>0</v>
      </c>
      <c r="W38" s="141">
        <f>SUM(W26,W28:W29,W30,W34:W35,W37)</f>
        <v>0</v>
      </c>
      <c r="X38" s="141">
        <f>SUM(X26,X28:X29,X30,X34:X35,X37)</f>
        <v>0</v>
      </c>
      <c r="Y38" s="141">
        <f t="shared" si="112"/>
        <v>-2.2888173998433539</v>
      </c>
      <c r="Z38" s="141">
        <f>SUM(Z26,Z28:Z29,Z30,Z34:Z35,Z37)</f>
        <v>0</v>
      </c>
      <c r="AA38" s="141">
        <f>SUM(AA26,AA28:AA29,AA30,AA34:AA35,AA37)</f>
        <v>0</v>
      </c>
      <c r="AB38" s="141">
        <f>SUM(AB26,AB28:AB29,AB30,AB34:AB35,AB37)</f>
        <v>-2.2888173998433468</v>
      </c>
      <c r="AC38" s="142">
        <f t="shared" si="63"/>
        <v>-2.4045850913156492E-2</v>
      </c>
      <c r="AD38" s="143">
        <f t="shared" si="30"/>
        <v>21.057195287505454</v>
      </c>
      <c r="AE38" s="144">
        <f t="shared" si="64"/>
        <v>-9.2000328593039669</v>
      </c>
      <c r="AF38" s="145">
        <f t="shared" ref="AF38" si="130">IF(AE38&gt;0.05,1,IF(AE38&lt;-0.05,-1,0))</f>
        <v>-1</v>
      </c>
      <c r="AG38" s="94"/>
      <c r="AH38" s="140" t="s">
        <v>99</v>
      </c>
      <c r="AI38" s="141">
        <f t="shared" ref="AI38:AO38" si="131">SUM(AI26,AI28:AI29,AI30,AI34:AI35,AI37)</f>
        <v>49.724224949805148</v>
      </c>
      <c r="AJ38" s="141">
        <f t="shared" si="131"/>
        <v>0</v>
      </c>
      <c r="AK38" s="141">
        <f t="shared" si="131"/>
        <v>0</v>
      </c>
      <c r="AL38" s="141">
        <f t="shared" si="131"/>
        <v>49.724224949805148</v>
      </c>
      <c r="AM38" s="141">
        <f t="shared" si="131"/>
        <v>0</v>
      </c>
      <c r="AN38" s="141">
        <f t="shared" si="131"/>
        <v>3.4924596548080445E-16</v>
      </c>
      <c r="AO38" s="141">
        <f t="shared" si="131"/>
        <v>49.724224949805119</v>
      </c>
      <c r="AP38" s="142">
        <f t="shared" si="67"/>
        <v>9.1494506843453352E-2</v>
      </c>
      <c r="AQ38" s="124"/>
      <c r="AR38" s="141">
        <f>AR36+AR37+AR25</f>
        <v>36.406460587042929</v>
      </c>
      <c r="AS38" s="142">
        <f t="shared" si="68"/>
        <v>6.7208315985057054E-2</v>
      </c>
      <c r="AT38" s="143">
        <f t="shared" si="69"/>
        <v>13.31776436276219</v>
      </c>
      <c r="AU38" s="144">
        <f t="shared" si="70"/>
        <v>0.3658077206083028</v>
      </c>
      <c r="AV38" s="145">
        <f t="shared" ref="AV38" si="132">IF(AU38&gt;0.05,1,IF(AU38&lt;-0.05,-1,0))</f>
        <v>1</v>
      </c>
      <c r="AW38" s="124"/>
      <c r="AX38" s="141">
        <f>SUM(AX26,AX28:AX29,AX30,AX34:AX35,AX37)</f>
        <v>25.495912176659214</v>
      </c>
      <c r="AY38" s="141">
        <f>SUM(AY26,AY28:AY29,AY30,AY34:AY35,AY37)</f>
        <v>0</v>
      </c>
      <c r="AZ38" s="141">
        <f>SUM(AZ26,AZ28:AZ29,AZ30,AZ34:AZ35,AZ37)</f>
        <v>1.4210854715202004E-14</v>
      </c>
      <c r="BA38" s="141">
        <f>SUM(BA26,BA28:BA29,BA30,BA34:BA35,BA37)</f>
        <v>0</v>
      </c>
      <c r="BB38" s="141">
        <f>SUM(BB26,BB28:BB29,BB30,BB34:BB35,BB37)</f>
        <v>0</v>
      </c>
      <c r="BC38" s="141">
        <f t="shared" si="127"/>
        <v>25.495912176659228</v>
      </c>
      <c r="BD38" s="141">
        <f>SUM(BD26,BD28:BD29,BD30,BD34:BD35,BD37)</f>
        <v>0</v>
      </c>
      <c r="BE38" s="141">
        <f>SUM(BE26,BE28:BE29,BE30,BE34:BE35,BE37)</f>
        <v>0</v>
      </c>
      <c r="BF38" s="141">
        <f>SUM(BF26,BF28:BF29,BF30,BF34:BF35,BF37)</f>
        <v>25.495912176659171</v>
      </c>
      <c r="BG38" s="142">
        <f t="shared" si="73"/>
        <v>5.5239035726760685E-2</v>
      </c>
      <c r="BH38" s="143">
        <f t="shared" si="89"/>
        <v>24.228312773145948</v>
      </c>
      <c r="BI38" s="144">
        <f t="shared" si="74"/>
        <v>0.95028224937667938</v>
      </c>
      <c r="BJ38" s="145">
        <f t="shared" ref="BJ38" si="133">IF(BI38&gt;0.05,1,IF(BI38&lt;-0.05,-1,0))</f>
        <v>1</v>
      </c>
    </row>
    <row r="39" spans="2:62" ht="7.5" customHeight="1" x14ac:dyDescent="0.35">
      <c r="R39"/>
      <c r="AF39"/>
      <c r="AV39"/>
      <c r="BJ39"/>
    </row>
    <row r="40" spans="2:62" x14ac:dyDescent="0.35">
      <c r="C40" s="192" t="s">
        <v>100</v>
      </c>
      <c r="D40" s="193"/>
      <c r="E40" s="125">
        <f>E16+E41</f>
        <v>-23.654109967703256</v>
      </c>
      <c r="F40" s="125">
        <v>0</v>
      </c>
      <c r="G40" s="125">
        <v>0</v>
      </c>
      <c r="H40" s="169">
        <f t="shared" ref="H40:H42" si="134">SUM(E40:G40)</f>
        <v>-23.654109967703256</v>
      </c>
      <c r="I40" s="125">
        <v>0</v>
      </c>
      <c r="J40" s="125">
        <v>0</v>
      </c>
      <c r="K40" s="169">
        <f>K16+K41</f>
        <v>-24.179888539578258</v>
      </c>
      <c r="L40" s="194">
        <f t="shared" ref="L40:L42" si="135">IFERROR(K40/K$9,0)</f>
        <v>-0.21259910392050754</v>
      </c>
      <c r="M40" s="193"/>
      <c r="N40" s="169">
        <f>N16+N41</f>
        <v>-27.223850646258484</v>
      </c>
      <c r="O40" s="194">
        <f t="shared" ref="O40:O42" si="136">IFERROR(N40/N$9,0)</f>
        <v>-0.24076824311499062</v>
      </c>
      <c r="P40" s="195">
        <f t="shared" ref="P40:P42" si="137">K40-N40</f>
        <v>3.043962106680226</v>
      </c>
      <c r="Q40" s="196">
        <f t="shared" ref="Q40:Q43" si="138">IFERROR(K40/N40-1,"")</f>
        <v>-0.11181232758851378</v>
      </c>
      <c r="R40" s="197"/>
      <c r="S40" s="193"/>
      <c r="T40" s="125">
        <f>T16+T41</f>
        <v>-18.441405269080192</v>
      </c>
      <c r="U40" s="125">
        <v>0</v>
      </c>
      <c r="V40" s="125">
        <v>0</v>
      </c>
      <c r="W40" s="125">
        <v>0</v>
      </c>
      <c r="X40" s="125">
        <v>0</v>
      </c>
      <c r="Y40" s="169">
        <f t="shared" si="112"/>
        <v>-18.441405269080192</v>
      </c>
      <c r="Z40" s="125">
        <v>0</v>
      </c>
      <c r="AA40" s="125">
        <v>0</v>
      </c>
      <c r="AB40" s="169">
        <f>AB16+AB41</f>
        <v>-18.866989318026857</v>
      </c>
      <c r="AC40" s="194">
        <f t="shared" ref="AC40:AC42" si="139">IFERROR(AB40/AB$9,0)</f>
        <v>-0.19821275928452858</v>
      </c>
      <c r="AD40" s="195">
        <f t="shared" ref="AD40:AD42" si="140">$K40-AB40</f>
        <v>-5.312899221551401</v>
      </c>
      <c r="AE40" s="196">
        <f>IFERROR(K40/AB40-1,"")</f>
        <v>0.28159761645039372</v>
      </c>
      <c r="AF40" s="197"/>
      <c r="AG40" s="94"/>
      <c r="AH40" s="192" t="s">
        <v>100</v>
      </c>
      <c r="AI40" s="125">
        <f>AI16+AI41</f>
        <v>-113.81438232198164</v>
      </c>
      <c r="AJ40" s="125">
        <v>0</v>
      </c>
      <c r="AK40" s="125">
        <v>0</v>
      </c>
      <c r="AL40" s="169">
        <f t="shared" ref="AL40:AL42" si="141">SUM(AI40:AK40)</f>
        <v>-113.81438232198164</v>
      </c>
      <c r="AM40" s="125">
        <v>0</v>
      </c>
      <c r="AN40" s="125">
        <v>0</v>
      </c>
      <c r="AO40" s="169">
        <f>AO16+AO41</f>
        <v>-117.23567771806671</v>
      </c>
      <c r="AP40" s="194">
        <f t="shared" ref="AP40:AP42" si="142">IFERROR(AO40/AO$9,0)</f>
        <v>-0.21571820431792543</v>
      </c>
      <c r="AQ40" s="193"/>
      <c r="AR40" s="169">
        <f>AR41+AR16</f>
        <v>-131.47637724110226</v>
      </c>
      <c r="AS40" s="194">
        <f t="shared" ref="AS40:AS42" si="143">IFERROR(AR40/AR$9,0)</f>
        <v>-0.24271257803444393</v>
      </c>
      <c r="AT40" s="195">
        <f t="shared" ref="AT40:AT42" si="144">AO40-AR40</f>
        <v>14.240699523035545</v>
      </c>
      <c r="AU40" s="196">
        <f t="shared" ref="AU40:AU43" si="145">IFERROR(AO40/AR40-1,"")</f>
        <v>-0.10831375051444303</v>
      </c>
      <c r="AV40" s="197"/>
      <c r="AW40" s="193"/>
      <c r="AX40" s="125">
        <f>AX16+AX41</f>
        <v>-91.103218504347538</v>
      </c>
      <c r="AY40" s="125">
        <v>0</v>
      </c>
      <c r="AZ40" s="125">
        <v>0</v>
      </c>
      <c r="BA40" s="125">
        <v>0</v>
      </c>
      <c r="BB40" s="125">
        <v>0</v>
      </c>
      <c r="BC40" s="169">
        <f t="shared" ref="BC40:BC42" si="146">SUM(AX40:BB40)</f>
        <v>-91.103218504347538</v>
      </c>
      <c r="BD40" s="125">
        <v>0</v>
      </c>
      <c r="BE40" s="125">
        <v>0</v>
      </c>
      <c r="BF40" s="169">
        <f t="shared" ref="BF40:BF41" si="147">SUM(BC40:BE40)</f>
        <v>-91.103218504347538</v>
      </c>
      <c r="BG40" s="194">
        <f t="shared" ref="BG40:BG42" si="148">IFERROR(BF40/BF$9,0)</f>
        <v>-0.19738277677280425</v>
      </c>
      <c r="BH40" s="195">
        <f t="shared" si="89"/>
        <v>-26.132459213719173</v>
      </c>
      <c r="BI40" s="196">
        <f>IFERROR(AO40/BF40-1,"")</f>
        <v>0.28684452253980575</v>
      </c>
      <c r="BJ40" s="197"/>
    </row>
    <row r="41" spans="2:62" x14ac:dyDescent="0.35">
      <c r="B41" t="s">
        <v>37</v>
      </c>
      <c r="C41" s="192" t="s">
        <v>101</v>
      </c>
      <c r="D41" s="131"/>
      <c r="E41" s="125">
        <f>'Painel Resultado (MTD)'!AO11</f>
        <v>-12.111835339999997</v>
      </c>
      <c r="F41" s="125">
        <v>0</v>
      </c>
      <c r="G41" s="125">
        <v>0</v>
      </c>
      <c r="H41" s="169">
        <f t="shared" si="134"/>
        <v>-12.111835339999997</v>
      </c>
      <c r="I41" s="125">
        <v>0</v>
      </c>
      <c r="J41" s="125">
        <v>0</v>
      </c>
      <c r="K41" s="169">
        <f t="shared" ref="K41" si="149">SUM(H41:J41)</f>
        <v>-12.111835339999997</v>
      </c>
      <c r="L41" s="198">
        <f t="shared" si="135"/>
        <v>-0.10649202687191739</v>
      </c>
      <c r="M41" s="131"/>
      <c r="N41" s="169">
        <f>N46</f>
        <v>-9.6110154520120599</v>
      </c>
      <c r="O41" s="198">
        <f t="shared" si="136"/>
        <v>-8.5000000000000006E-2</v>
      </c>
      <c r="P41" s="199">
        <f t="shared" si="137"/>
        <v>-2.5008198879879373</v>
      </c>
      <c r="Q41" s="200">
        <f t="shared" si="138"/>
        <v>0.26020350299867556</v>
      </c>
      <c r="R41" s="201"/>
      <c r="S41" s="131"/>
      <c r="T41" s="125">
        <f>'Painel Resultado (MTD)'!BC11</f>
        <v>-3.8148088899999997</v>
      </c>
      <c r="U41" s="125">
        <v>0</v>
      </c>
      <c r="V41" s="125">
        <v>0</v>
      </c>
      <c r="W41" s="125">
        <v>0</v>
      </c>
      <c r="X41" s="125">
        <v>0</v>
      </c>
      <c r="Y41" s="169">
        <f t="shared" si="112"/>
        <v>-3.8148088899999997</v>
      </c>
      <c r="Z41" s="125">
        <v>0</v>
      </c>
      <c r="AA41" s="125">
        <v>0</v>
      </c>
      <c r="AB41" s="169">
        <f t="shared" ref="AB41" si="150">SUM(Y41:AA41)</f>
        <v>-3.8148088899999997</v>
      </c>
      <c r="AC41" s="198">
        <f t="shared" si="139"/>
        <v>-4.0077607692689809E-2</v>
      </c>
      <c r="AD41" s="199">
        <f t="shared" si="140"/>
        <v>-8.2970264499999971</v>
      </c>
      <c r="AE41" s="200">
        <f>IFERROR(K41/AB41-1,"")</f>
        <v>2.1749520590007849</v>
      </c>
      <c r="AF41" s="201"/>
      <c r="AG41" s="94"/>
      <c r="AH41" s="192" t="s">
        <v>101</v>
      </c>
      <c r="AI41" s="125">
        <f>'Painel Resultado (YTD)'!AO11</f>
        <v>-32.028326097980006</v>
      </c>
      <c r="AJ41" s="125">
        <v>0</v>
      </c>
      <c r="AK41" s="125">
        <v>0</v>
      </c>
      <c r="AL41" s="169">
        <f t="shared" si="141"/>
        <v>-32.028326097980006</v>
      </c>
      <c r="AM41" s="125">
        <v>0</v>
      </c>
      <c r="AN41" s="125">
        <v>0</v>
      </c>
      <c r="AO41" s="169">
        <f t="shared" ref="AO41" si="151">SUM(AL41:AN41)</f>
        <v>-32.028326097980006</v>
      </c>
      <c r="AP41" s="198">
        <f t="shared" si="142"/>
        <v>-5.8933365061278289E-2</v>
      </c>
      <c r="AQ41" s="131"/>
      <c r="AR41" s="169">
        <f>AR46</f>
        <v>-46.044140587999323</v>
      </c>
      <c r="AS41" s="198">
        <f t="shared" si="143"/>
        <v>-8.5000000000000006E-2</v>
      </c>
      <c r="AT41" s="199">
        <f t="shared" si="144"/>
        <v>14.015814490019316</v>
      </c>
      <c r="AU41" s="200">
        <f t="shared" si="145"/>
        <v>-0.30439952426155859</v>
      </c>
      <c r="AV41" s="201"/>
      <c r="AW41" s="131"/>
      <c r="AX41" s="125">
        <f>'Painel Resultado (YTD)'!BC11</f>
        <v>-16.89224578</v>
      </c>
      <c r="AY41" s="125">
        <v>0</v>
      </c>
      <c r="AZ41" s="125">
        <v>0</v>
      </c>
      <c r="BA41" s="125">
        <v>0</v>
      </c>
      <c r="BB41" s="125">
        <v>0</v>
      </c>
      <c r="BC41" s="169">
        <f t="shared" si="146"/>
        <v>-16.89224578</v>
      </c>
      <c r="BD41" s="125">
        <v>0</v>
      </c>
      <c r="BE41" s="125">
        <v>0</v>
      </c>
      <c r="BF41" s="169">
        <f t="shared" si="147"/>
        <v>-16.89224578</v>
      </c>
      <c r="BG41" s="198">
        <f t="shared" si="148"/>
        <v>-3.6598469655887859E-2</v>
      </c>
      <c r="BH41" s="199">
        <f t="shared" si="89"/>
        <v>-15.136080317980007</v>
      </c>
      <c r="BI41" s="200">
        <f>IFERROR(AO41/BF41-1,"")</f>
        <v>0.89603718268773647</v>
      </c>
      <c r="BJ41" s="201"/>
    </row>
    <row r="42" spans="2:62" x14ac:dyDescent="0.35">
      <c r="C42" s="140" t="s">
        <v>102</v>
      </c>
      <c r="E42" s="141">
        <f>SUM(E19,E41)</f>
        <v>22.35725077222942</v>
      </c>
      <c r="F42" s="141">
        <f>SUM(F19,F41)</f>
        <v>-0.48076930000000001</v>
      </c>
      <c r="G42" s="141">
        <f>SUM(G19,G41)</f>
        <v>0</v>
      </c>
      <c r="H42" s="141">
        <f t="shared" si="134"/>
        <v>21.876481472229422</v>
      </c>
      <c r="I42" s="141">
        <f>SUM(I19,I41)</f>
        <v>8.6874999999999994E-2</v>
      </c>
      <c r="J42" s="141">
        <f>SUM(J19,J41)</f>
        <v>2.3283064365386962E-16</v>
      </c>
      <c r="K42" s="141">
        <f>K19+K41</f>
        <v>21.963356472229414</v>
      </c>
      <c r="L42" s="202">
        <f t="shared" si="135"/>
        <v>0.1931104809453392</v>
      </c>
      <c r="N42" s="141">
        <f>N19+N41</f>
        <v>17.160362516459209</v>
      </c>
      <c r="O42" s="202">
        <f t="shared" si="136"/>
        <v>0.15176656630945998</v>
      </c>
      <c r="P42" s="143">
        <f t="shared" si="137"/>
        <v>4.802993955770205</v>
      </c>
      <c r="Q42" s="144">
        <f t="shared" si="138"/>
        <v>0.27988883982861412</v>
      </c>
      <c r="R42" s="145">
        <f t="shared" ref="R42" si="152">IF(Q42&gt;0.05,1,IF(Q42&lt;-0.05,-1,0))</f>
        <v>1</v>
      </c>
      <c r="T42" s="141">
        <f>SUM(T19,T41)</f>
        <v>19.007755992156692</v>
      </c>
      <c r="U42" s="141">
        <f>SUM(U19,U41)</f>
        <v>-0.12618796000000002</v>
      </c>
      <c r="V42" s="141">
        <f>SUM(V19,V41)</f>
        <v>0</v>
      </c>
      <c r="W42" s="141">
        <f>SUM(W19,W41)</f>
        <v>0</v>
      </c>
      <c r="X42" s="141">
        <f>SUM(X19,X41)</f>
        <v>0</v>
      </c>
      <c r="Y42" s="141">
        <f t="shared" si="112"/>
        <v>18.881568032156693</v>
      </c>
      <c r="Z42" s="141">
        <f>SUM(Z19,Z41)</f>
        <v>2.2572009999999997E-2</v>
      </c>
      <c r="AA42" s="141">
        <f>SUM(AA19,AA41)</f>
        <v>0</v>
      </c>
      <c r="AB42" s="141">
        <f>AB19+AB41</f>
        <v>18.904140042156701</v>
      </c>
      <c r="AC42" s="202">
        <f t="shared" si="139"/>
        <v>0.19860305724967128</v>
      </c>
      <c r="AD42" s="143">
        <f t="shared" si="140"/>
        <v>3.0592164300727127</v>
      </c>
      <c r="AE42" s="144">
        <f>IFERROR(K42/AB42-1,"")</f>
        <v>0.16182785481119932</v>
      </c>
      <c r="AF42" s="145">
        <f t="shared" ref="AF42" si="153">IF(AE42&gt;0.05,1,IF(AE42&lt;-0.05,-1,0))</f>
        <v>1</v>
      </c>
      <c r="AG42" s="94"/>
      <c r="AH42" s="140" t="s">
        <v>102</v>
      </c>
      <c r="AI42" s="141">
        <f>SUM(AI19,AI41)</f>
        <v>94.671204154661723</v>
      </c>
      <c r="AJ42" s="141">
        <f>SUM(AJ19,AJ41)</f>
        <v>0.54364769999999274</v>
      </c>
      <c r="AK42" s="141">
        <f>SUM(AK19,AK41)</f>
        <v>0</v>
      </c>
      <c r="AL42" s="141">
        <f t="shared" si="141"/>
        <v>95.214851854661717</v>
      </c>
      <c r="AM42" s="141">
        <f>SUM(AM19,AM41)</f>
        <v>0.62187499999999996</v>
      </c>
      <c r="AN42" s="141">
        <f>SUM(AN19,AN41)</f>
        <v>3.4924596548080445E-16</v>
      </c>
      <c r="AO42" s="141">
        <f>AO19+AO41</f>
        <v>95.836726854661691</v>
      </c>
      <c r="AP42" s="202">
        <f t="shared" si="142"/>
        <v>0.17634330288525452</v>
      </c>
      <c r="AR42" s="141">
        <f>AR19+AR41</f>
        <v>80.600122964437219</v>
      </c>
      <c r="AS42" s="202">
        <f t="shared" si="143"/>
        <v>0.14879223207312445</v>
      </c>
      <c r="AT42" s="143">
        <f t="shared" si="144"/>
        <v>15.236603890224472</v>
      </c>
      <c r="AU42" s="144">
        <f t="shared" si="145"/>
        <v>0.18903946209793299</v>
      </c>
      <c r="AV42" s="145">
        <f t="shared" ref="AV42" si="154">IF(AU42&gt;0.05,1,IF(AU42&lt;-0.05,-1,0))</f>
        <v>1</v>
      </c>
      <c r="AX42" s="141">
        <f>SUM(AX19,AX41)</f>
        <v>88.734669955589311</v>
      </c>
      <c r="AY42" s="141">
        <f>SUM(AY19,AY41)</f>
        <v>-5.8884284900000008</v>
      </c>
      <c r="AZ42" s="141">
        <f>SUM(AZ19,AZ41)</f>
        <v>1.4210854715202004E-14</v>
      </c>
      <c r="BA42" s="141">
        <f>SUM(BA19,BA41)</f>
        <v>0</v>
      </c>
      <c r="BB42" s="141">
        <f>SUM(BB19,BB41)</f>
        <v>0</v>
      </c>
      <c r="BC42" s="141">
        <f t="shared" si="146"/>
        <v>82.84624146558933</v>
      </c>
      <c r="BD42" s="141">
        <f>SUM(BD19,BD41)</f>
        <v>-0.55265431000000009</v>
      </c>
      <c r="BE42" s="141">
        <f>SUM(BE19,BE41)</f>
        <v>0</v>
      </c>
      <c r="BF42" s="141">
        <f>BF19+BF41</f>
        <v>82.293587155589279</v>
      </c>
      <c r="BG42" s="202">
        <f t="shared" si="148"/>
        <v>0.17829597032941094</v>
      </c>
      <c r="BH42" s="143">
        <f t="shared" si="89"/>
        <v>13.543139699072412</v>
      </c>
      <c r="BI42" s="144">
        <f>IFERROR(AO42/BF42-1,"")</f>
        <v>0.16457102147542702</v>
      </c>
      <c r="BJ42" s="145">
        <f t="shared" ref="BJ42" si="155">IF(BI42&gt;0.05,1,IF(BI42&lt;-0.05,-1,0))</f>
        <v>1</v>
      </c>
    </row>
    <row r="43" spans="2:62" x14ac:dyDescent="0.35">
      <c r="Q43" s="94" t="str">
        <f t="shared" si="138"/>
        <v/>
      </c>
      <c r="AU43" s="94" t="str">
        <f t="shared" si="145"/>
        <v/>
      </c>
    </row>
    <row r="44" spans="2:62" x14ac:dyDescent="0.35">
      <c r="K44" s="203"/>
      <c r="L44" s="95"/>
      <c r="M44" s="204"/>
      <c r="N44" s="205"/>
      <c r="O44" s="206"/>
      <c r="S44" s="204"/>
      <c r="AQ44" s="204"/>
      <c r="AR44" s="205"/>
      <c r="AT44" s="207"/>
      <c r="AW44" s="204"/>
    </row>
    <row r="45" spans="2:62" hidden="1" outlineLevel="1" x14ac:dyDescent="0.35">
      <c r="C45" s="175" t="s">
        <v>103</v>
      </c>
      <c r="AE45" s="95"/>
      <c r="AR45" s="208"/>
      <c r="AS45" s="206"/>
    </row>
    <row r="46" spans="2:62" hidden="1" outlineLevel="1" x14ac:dyDescent="0.35">
      <c r="C46" s="209" t="s">
        <v>104</v>
      </c>
      <c r="K46" s="210"/>
      <c r="N46" s="211">
        <f>O46*N9</f>
        <v>-9.6110154520120599</v>
      </c>
      <c r="O46" s="212">
        <v>-8.5000000000000006E-2</v>
      </c>
      <c r="AR46" s="211">
        <f>AS46*AR9</f>
        <v>-46.044140587999323</v>
      </c>
      <c r="AS46" s="212">
        <v>-8.5000000000000006E-2</v>
      </c>
    </row>
    <row r="47" spans="2:62" hidden="1" outlineLevel="1" x14ac:dyDescent="0.35">
      <c r="C47" t="s">
        <v>105</v>
      </c>
      <c r="N47" s="208">
        <f>N46-N48</f>
        <v>-9.1514190279688261</v>
      </c>
      <c r="O47" s="206">
        <f>N47/N9</f>
        <v>-8.0935320649651393E-2</v>
      </c>
      <c r="AO47" s="210"/>
      <c r="AR47" s="208">
        <f>AR46-AR48</f>
        <v>-43.559139055533279</v>
      </c>
      <c r="AS47" s="206">
        <f>AR47/AR9</f>
        <v>-8.0412551356976225E-2</v>
      </c>
    </row>
    <row r="48" spans="2:62" hidden="1" outlineLevel="1" x14ac:dyDescent="0.35">
      <c r="C48" t="s">
        <v>106</v>
      </c>
      <c r="N48" s="208">
        <v>-0.45959642404323336</v>
      </c>
      <c r="O48" s="206">
        <f>N48/N10</f>
        <v>1.20108041810351E-2</v>
      </c>
      <c r="AR48" s="208">
        <v>-2.485001532466045</v>
      </c>
      <c r="AS48" s="206">
        <f>AR48/AR10</f>
        <v>1.3582492849735731E-2</v>
      </c>
    </row>
    <row r="49" spans="11:44" collapsed="1" x14ac:dyDescent="0.35">
      <c r="K49" s="203"/>
      <c r="L49" s="95"/>
      <c r="N49" s="208"/>
      <c r="AR49" s="208"/>
    </row>
    <row r="50" spans="11:44" x14ac:dyDescent="0.35">
      <c r="K50" s="213"/>
      <c r="N50" s="214"/>
      <c r="AR50" s="214"/>
    </row>
    <row r="51" spans="11:44" x14ac:dyDescent="0.35">
      <c r="K51" s="207"/>
    </row>
    <row r="54" spans="11:44" x14ac:dyDescent="0.35">
      <c r="K54" s="203"/>
    </row>
    <row r="55" spans="11:44" x14ac:dyDescent="0.35">
      <c r="K55" s="203"/>
    </row>
  </sheetData>
  <conditionalFormatting sqref="R1:R3">
    <cfRule type="iconSet" priority="12">
      <iconSet>
        <cfvo type="percent" val="0"/>
        <cfvo type="num" val="0"/>
        <cfvo type="num" val="1"/>
      </iconSet>
    </cfRule>
  </conditionalFormatting>
  <conditionalFormatting sqref="R7:R10">
    <cfRule type="iconSet" priority="11">
      <iconSet showValue="0">
        <cfvo type="percent" val="0"/>
        <cfvo type="num" val="0"/>
        <cfvo type="num" val="1"/>
      </iconSet>
    </cfRule>
  </conditionalFormatting>
  <conditionalFormatting sqref="R40:R42 R13:R19 R7:R11 R24:R38">
    <cfRule type="iconSet" priority="10">
      <iconSet showValue="0">
        <cfvo type="percent" val="0"/>
        <cfvo type="num" val="0"/>
        <cfvo type="num" val="1"/>
      </iconSet>
    </cfRule>
  </conditionalFormatting>
  <conditionalFormatting sqref="AF1:AF3">
    <cfRule type="iconSet" priority="9">
      <iconSet>
        <cfvo type="percent" val="0"/>
        <cfvo type="num" val="0"/>
        <cfvo type="num" val="1"/>
      </iconSet>
    </cfRule>
  </conditionalFormatting>
  <conditionalFormatting sqref="AF7:AF10">
    <cfRule type="iconSet" priority="8">
      <iconSet showValue="0">
        <cfvo type="percent" val="0"/>
        <cfvo type="num" val="0"/>
        <cfvo type="num" val="1"/>
      </iconSet>
    </cfRule>
  </conditionalFormatting>
  <conditionalFormatting sqref="AF40:AF42 AF13:AF19 AF7:AF11 AF24:AF38">
    <cfRule type="iconSet" priority="7">
      <iconSet showValue="0">
        <cfvo type="percent" val="0"/>
        <cfvo type="num" val="0"/>
        <cfvo type="num" val="1"/>
      </iconSet>
    </cfRule>
  </conditionalFormatting>
  <conditionalFormatting sqref="AV1:AV3">
    <cfRule type="iconSet" priority="6">
      <iconSet>
        <cfvo type="percent" val="0"/>
        <cfvo type="num" val="0"/>
        <cfvo type="num" val="1"/>
      </iconSet>
    </cfRule>
  </conditionalFormatting>
  <conditionalFormatting sqref="AV7:AV10">
    <cfRule type="iconSet" priority="5">
      <iconSet showValue="0">
        <cfvo type="percent" val="0"/>
        <cfvo type="num" val="0"/>
        <cfvo type="num" val="1"/>
      </iconSet>
    </cfRule>
  </conditionalFormatting>
  <conditionalFormatting sqref="AV40:AV42 AV13:AV19 AV7:AV11 AV24:AV38">
    <cfRule type="iconSet" priority="4">
      <iconSet showValue="0">
        <cfvo type="percent" val="0"/>
        <cfvo type="num" val="0"/>
        <cfvo type="num" val="1"/>
      </iconSet>
    </cfRule>
  </conditionalFormatting>
  <conditionalFormatting sqref="BJ1:BJ3">
    <cfRule type="iconSet" priority="3">
      <iconSet>
        <cfvo type="percent" val="0"/>
        <cfvo type="num" val="0"/>
        <cfvo type="num" val="1"/>
      </iconSet>
    </cfRule>
  </conditionalFormatting>
  <conditionalFormatting sqref="BJ7:BJ10">
    <cfRule type="iconSet" priority="2">
      <iconSet showValue="0">
        <cfvo type="percent" val="0"/>
        <cfvo type="num" val="0"/>
        <cfvo type="num" val="1"/>
      </iconSet>
    </cfRule>
  </conditionalFormatting>
  <conditionalFormatting sqref="BJ40:BJ42 BJ13:BJ19 BJ7:BJ11 BJ24:BJ38">
    <cfRule type="iconSet" priority="1">
      <iconSet showValue="0">
        <cfvo type="percent" val="0"/>
        <cfvo type="num" val="0"/>
        <cfvo type="num" val="1"/>
      </iconSet>
    </cfRule>
  </conditionalFormatting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5A5E2-AA3D-47E3-899A-75DE00BC54EA}">
  <sheetPr>
    <tabColor theme="3"/>
  </sheetPr>
  <dimension ref="B1:CE105"/>
  <sheetViews>
    <sheetView showGridLines="0" zoomScale="115" zoomScaleNormal="115" workbookViewId="0">
      <pane xSplit="4" ySplit="11" topLeftCell="E12" activePane="bottomRight" state="frozen"/>
      <selection activeCell="K14" sqref="K14"/>
      <selection pane="topRight" activeCell="K14" sqref="K14"/>
      <selection pane="bottomLeft" activeCell="K14" sqref="K14"/>
      <selection pane="bottomRight" activeCell="C18" sqref="C18"/>
    </sheetView>
  </sheetViews>
  <sheetFormatPr defaultRowHeight="14.5" outlineLevelRow="2" outlineLevelCol="1" x14ac:dyDescent="0.35"/>
  <cols>
    <col min="1" max="1" width="1.54296875" customWidth="1"/>
    <col min="2" max="2" width="10.7265625" style="96" bestFit="1" customWidth="1"/>
    <col min="3" max="3" width="24.54296875" style="96" bestFit="1" customWidth="1"/>
    <col min="4" max="4" width="0.7265625" style="96" customWidth="1"/>
    <col min="5" max="6" width="8.81640625" style="96" customWidth="1"/>
    <col min="7" max="7" width="7.54296875" style="96" customWidth="1"/>
    <col min="8" max="8" width="9" style="96" customWidth="1"/>
    <col min="9" max="9" width="3.1796875" style="96" customWidth="1"/>
    <col min="10" max="10" width="0.7265625" style="96" customWidth="1"/>
    <col min="11" max="11" width="8.81640625" style="96" customWidth="1"/>
    <col min="12" max="12" width="7.54296875" style="96" customWidth="1"/>
    <col min="13" max="13" width="9" style="96" customWidth="1"/>
    <col min="14" max="14" width="3.1796875" style="96" customWidth="1"/>
    <col min="15" max="15" width="0.7265625" style="96" customWidth="1"/>
    <col min="16" max="16" width="8.81640625" style="96" customWidth="1"/>
    <col min="17" max="17" width="7.54296875" style="96" customWidth="1"/>
    <col min="18" max="18" width="9" style="96" customWidth="1"/>
    <col min="19" max="19" width="3.1796875" style="96" customWidth="1"/>
    <col min="20" max="20" width="0.7265625" style="96" hidden="1" customWidth="1" outlineLevel="1"/>
    <col min="21" max="21" width="8.81640625" style="96" hidden="1" customWidth="1" outlineLevel="1"/>
    <col min="22" max="22" width="9" style="96" hidden="1" customWidth="1" outlineLevel="1"/>
    <col min="23" max="23" width="8.81640625" style="96" hidden="1" customWidth="1" outlineLevel="1"/>
    <col min="24" max="24" width="9" style="96" hidden="1" customWidth="1" outlineLevel="1"/>
    <col min="25" max="25" width="7.54296875" style="96" hidden="1" customWidth="1" outlineLevel="1"/>
    <col min="26" max="26" width="9" style="96" hidden="1" customWidth="1" outlineLevel="1"/>
    <col min="27" max="27" width="3.1796875" style="96" hidden="1" customWidth="1" outlineLevel="1"/>
    <col min="28" max="28" width="0.7265625" style="96" hidden="1" customWidth="1" outlineLevel="1"/>
    <col min="29" max="29" width="8.81640625" style="96" hidden="1" customWidth="1" outlineLevel="1"/>
    <col min="30" max="30" width="9" style="96" hidden="1" customWidth="1" outlineLevel="1"/>
    <col min="31" max="31" width="7.54296875" style="96" hidden="1" customWidth="1" outlineLevel="1"/>
    <col min="32" max="32" width="9" style="96" hidden="1" customWidth="1" outlineLevel="1"/>
    <col min="33" max="33" width="3.1796875" style="96" hidden="1" customWidth="1" outlineLevel="1"/>
    <col min="34" max="34" width="0.7265625" style="96" hidden="1" customWidth="1" outlineLevel="1"/>
    <col min="35" max="35" width="8.81640625" style="96" hidden="1" customWidth="1" outlineLevel="1"/>
    <col min="36" max="36" width="9" style="96" hidden="1" customWidth="1" outlineLevel="1"/>
    <col min="37" max="37" width="7.54296875" style="96" hidden="1" customWidth="1" outlineLevel="1"/>
    <col min="38" max="38" width="9" style="96" hidden="1" customWidth="1" outlineLevel="1"/>
    <col min="39" max="39" width="3.1796875" style="96" hidden="1" customWidth="1" outlineLevel="1"/>
    <col min="40" max="40" width="0.7265625" style="96" hidden="1" customWidth="1" outlineLevel="1"/>
    <col min="41" max="41" width="8.81640625" style="96" hidden="1" customWidth="1" outlineLevel="1"/>
    <col min="42" max="42" width="9" style="96" hidden="1" customWidth="1" outlineLevel="1"/>
    <col min="43" max="43" width="8.81640625" style="96" hidden="1" customWidth="1" outlineLevel="1"/>
    <col min="44" max="44" width="9" style="96" hidden="1" customWidth="1" outlineLevel="1"/>
    <col min="45" max="45" width="7.54296875" style="96" hidden="1" customWidth="1" outlineLevel="1"/>
    <col min="46" max="46" width="9" style="96" hidden="1" customWidth="1" outlineLevel="1"/>
    <col min="47" max="47" width="3.1796875" style="96" hidden="1" customWidth="1" outlineLevel="1"/>
    <col min="48" max="48" width="0.7265625" style="96" hidden="1" customWidth="1" outlineLevel="1"/>
    <col min="49" max="49" width="8.81640625" style="96" hidden="1" customWidth="1" outlineLevel="1"/>
    <col min="50" max="50" width="9" style="96" hidden="1" customWidth="1" outlineLevel="1"/>
    <col min="51" max="51" width="7.54296875" style="96" hidden="1" customWidth="1" outlineLevel="1"/>
    <col min="52" max="52" width="9" style="96" hidden="1" customWidth="1" outlineLevel="1"/>
    <col min="53" max="53" width="3.1796875" style="96" hidden="1" customWidth="1" outlineLevel="1"/>
    <col min="54" max="54" width="0.7265625" style="96" hidden="1" customWidth="1" outlineLevel="1"/>
    <col min="55" max="55" width="8.81640625" style="96" hidden="1" customWidth="1" outlineLevel="1"/>
    <col min="56" max="56" width="9" style="96" hidden="1" customWidth="1" outlineLevel="1"/>
    <col min="57" max="57" width="7.54296875" style="96" hidden="1" customWidth="1" outlineLevel="1"/>
    <col min="58" max="58" width="9" style="96" hidden="1" customWidth="1" outlineLevel="1"/>
    <col min="59" max="59" width="3.1796875" style="96" hidden="1" customWidth="1" outlineLevel="1"/>
    <col min="60" max="60" width="0.7265625" style="96" customWidth="1" collapsed="1"/>
    <col min="61" max="61" width="8.81640625" style="96" customWidth="1"/>
    <col min="62" max="62" width="9.7265625" style="96" bestFit="1" customWidth="1"/>
    <col min="63" max="63" width="10" style="96" bestFit="1" customWidth="1"/>
    <col min="64" max="64" width="9" style="96" customWidth="1"/>
    <col min="65" max="65" width="7.54296875" style="96" customWidth="1"/>
    <col min="66" max="66" width="9" style="96" customWidth="1"/>
    <col min="67" max="67" width="3.1796875" style="96" customWidth="1"/>
    <col min="68" max="68" width="0.7265625" style="96" customWidth="1"/>
    <col min="69" max="69" width="8.81640625" style="96" customWidth="1"/>
    <col min="70" max="70" width="9" style="96" customWidth="1"/>
    <col min="71" max="71" width="7.54296875" style="96" customWidth="1"/>
    <col min="72" max="72" width="9" style="96" customWidth="1"/>
    <col min="73" max="73" width="3.1796875" style="96" customWidth="1"/>
    <col min="74" max="74" width="0.7265625" style="96" hidden="1" customWidth="1" outlineLevel="1"/>
    <col min="75" max="75" width="8.81640625" style="96" hidden="1" customWidth="1" outlineLevel="1"/>
    <col min="76" max="76" width="9" style="96" hidden="1" customWidth="1" outlineLevel="1"/>
    <col min="77" max="77" width="7.54296875" style="96" hidden="1" customWidth="1" outlineLevel="1"/>
    <col min="78" max="78" width="9" style="96" hidden="1" customWidth="1" outlineLevel="1"/>
    <col min="79" max="79" width="3.1796875" style="96" hidden="1" customWidth="1" outlineLevel="1"/>
    <col min="80" max="80" width="9.1796875" collapsed="1"/>
    <col min="81" max="81" width="8.81640625" style="96" hidden="1" customWidth="1" outlineLevel="1"/>
    <col min="82" max="82" width="8.7265625" hidden="1" customWidth="1" outlineLevel="1"/>
    <col min="83" max="83" width="9.1796875" collapsed="1"/>
  </cols>
  <sheetData>
    <row r="1" spans="2:82" x14ac:dyDescent="0.35">
      <c r="W1" s="215"/>
    </row>
    <row r="2" spans="2:82" hidden="1" outlineLevel="1" x14ac:dyDescent="0.35">
      <c r="C2" s="216">
        <v>1000000</v>
      </c>
      <c r="W2" s="217"/>
    </row>
    <row r="3" spans="2:82" hidden="1" outlineLevel="1" x14ac:dyDescent="0.35">
      <c r="C3" s="218">
        <f>'P&amp;L Contábil'!$C$3</f>
        <v>46143</v>
      </c>
    </row>
    <row r="4" spans="2:82" collapsed="1" x14ac:dyDescent="0.35">
      <c r="B4" s="219"/>
      <c r="C4" s="220"/>
      <c r="D4" s="221"/>
      <c r="E4" s="222" t="s">
        <v>59</v>
      </c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1"/>
      <c r="U4" s="222" t="s">
        <v>107</v>
      </c>
      <c r="V4" s="222"/>
      <c r="W4" s="222"/>
      <c r="X4" s="222"/>
      <c r="Y4" s="222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1"/>
      <c r="AO4" s="222" t="s">
        <v>37</v>
      </c>
      <c r="AP4" s="222"/>
      <c r="AQ4" s="222"/>
      <c r="AR4" s="222"/>
      <c r="AS4" s="222"/>
      <c r="AT4" s="222"/>
      <c r="AU4" s="222"/>
      <c r="AV4" s="222"/>
      <c r="AW4" s="222"/>
      <c r="AX4" s="222"/>
      <c r="AY4" s="222"/>
      <c r="AZ4" s="222"/>
      <c r="BA4" s="222"/>
      <c r="BB4" s="222"/>
      <c r="BC4" s="222"/>
      <c r="BD4" s="222"/>
      <c r="BE4" s="222"/>
      <c r="BF4" s="222"/>
      <c r="BG4" s="222"/>
      <c r="BH4" s="221"/>
      <c r="BI4" s="222" t="s">
        <v>108</v>
      </c>
      <c r="BJ4" s="222"/>
      <c r="BK4" s="222"/>
      <c r="BL4" s="222"/>
      <c r="BM4" s="222"/>
      <c r="BN4" s="222"/>
      <c r="BO4" s="222"/>
      <c r="BP4" s="222"/>
      <c r="BQ4" s="222"/>
      <c r="BR4" s="222"/>
      <c r="BS4" s="222"/>
      <c r="BT4" s="222"/>
      <c r="BU4" s="222"/>
      <c r="BV4" s="222"/>
      <c r="BW4" s="222"/>
      <c r="BX4" s="222"/>
      <c r="BY4" s="222"/>
      <c r="BZ4" s="222"/>
      <c r="CA4" s="222"/>
      <c r="CC4" s="222" t="s">
        <v>59</v>
      </c>
      <c r="CD4" s="222"/>
    </row>
    <row r="5" spans="2:82" ht="7.5" customHeight="1" x14ac:dyDescent="0.35"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C5"/>
    </row>
    <row r="6" spans="2:82" hidden="1" outlineLevel="1" x14ac:dyDescent="0.35">
      <c r="B6"/>
      <c r="C6"/>
      <c r="D6"/>
      <c r="E6" s="99" t="s">
        <v>109</v>
      </c>
      <c r="F6" s="99" t="s">
        <v>109</v>
      </c>
      <c r="G6"/>
      <c r="H6"/>
      <c r="I6"/>
      <c r="J6"/>
      <c r="K6" s="99"/>
      <c r="L6"/>
      <c r="M6"/>
      <c r="N6"/>
      <c r="O6"/>
      <c r="P6" s="99" t="s">
        <v>109</v>
      </c>
      <c r="Q6"/>
      <c r="R6"/>
      <c r="S6"/>
      <c r="T6"/>
      <c r="U6" s="99" t="s">
        <v>28</v>
      </c>
      <c r="V6"/>
      <c r="W6" s="99" t="s">
        <v>28</v>
      </c>
      <c r="X6"/>
      <c r="Y6"/>
      <c r="Z6"/>
      <c r="AA6"/>
      <c r="AB6" s="99"/>
      <c r="AC6" s="99"/>
      <c r="AD6"/>
      <c r="AE6"/>
      <c r="AF6"/>
      <c r="AG6"/>
      <c r="AH6" s="99"/>
      <c r="AI6" s="99" t="s">
        <v>28</v>
      </c>
      <c r="AJ6"/>
      <c r="AK6"/>
      <c r="AL6"/>
      <c r="AM6"/>
      <c r="AN6"/>
      <c r="AO6" s="99" t="s">
        <v>37</v>
      </c>
      <c r="AP6"/>
      <c r="AQ6" s="99" t="s">
        <v>37</v>
      </c>
      <c r="AR6"/>
      <c r="AS6"/>
      <c r="AT6"/>
      <c r="AU6"/>
      <c r="AV6" s="99"/>
      <c r="AW6" s="99"/>
      <c r="AX6"/>
      <c r="AY6"/>
      <c r="AZ6"/>
      <c r="BA6"/>
      <c r="BB6" s="99"/>
      <c r="BC6" s="99" t="s">
        <v>37</v>
      </c>
      <c r="BD6"/>
      <c r="BE6"/>
      <c r="BF6"/>
      <c r="BG6"/>
      <c r="BH6"/>
      <c r="BI6" s="99"/>
      <c r="BJ6"/>
      <c r="BK6" s="99"/>
      <c r="BL6"/>
      <c r="BM6"/>
      <c r="BN6"/>
      <c r="BO6"/>
      <c r="BP6" s="99"/>
      <c r="BQ6" s="99"/>
      <c r="BR6"/>
      <c r="BS6"/>
      <c r="BT6"/>
      <c r="BU6"/>
      <c r="BV6" s="99"/>
      <c r="BW6" s="99"/>
      <c r="BX6"/>
      <c r="BY6"/>
      <c r="BZ6"/>
      <c r="CA6"/>
      <c r="CC6" s="99"/>
    </row>
    <row r="7" spans="2:82" hidden="1" outlineLevel="1" x14ac:dyDescent="0.35">
      <c r="B7"/>
      <c r="C7" s="203"/>
      <c r="D7"/>
      <c r="E7" s="99" t="s">
        <v>19</v>
      </c>
      <c r="F7" s="99" t="s">
        <v>20</v>
      </c>
      <c r="G7"/>
      <c r="H7"/>
      <c r="I7"/>
      <c r="J7"/>
      <c r="K7" s="99"/>
      <c r="L7"/>
      <c r="M7"/>
      <c r="N7"/>
      <c r="O7"/>
      <c r="P7" s="99" t="s">
        <v>19</v>
      </c>
      <c r="Q7"/>
      <c r="R7"/>
      <c r="S7"/>
      <c r="T7"/>
      <c r="U7" s="99" t="s">
        <v>19</v>
      </c>
      <c r="V7"/>
      <c r="W7" s="99" t="s">
        <v>20</v>
      </c>
      <c r="X7"/>
      <c r="Y7"/>
      <c r="Z7"/>
      <c r="AA7"/>
      <c r="AB7"/>
      <c r="AC7" s="99"/>
      <c r="AD7"/>
      <c r="AE7"/>
      <c r="AF7"/>
      <c r="AG7"/>
      <c r="AH7"/>
      <c r="AI7" s="99" t="s">
        <v>19</v>
      </c>
      <c r="AJ7"/>
      <c r="AK7"/>
      <c r="AL7"/>
      <c r="AM7"/>
      <c r="AN7"/>
      <c r="AO7" s="99" t="s">
        <v>19</v>
      </c>
      <c r="AP7"/>
      <c r="AQ7" s="99" t="s">
        <v>20</v>
      </c>
      <c r="AR7"/>
      <c r="AS7"/>
      <c r="AT7"/>
      <c r="AU7"/>
      <c r="AV7"/>
      <c r="AW7" s="99"/>
      <c r="AX7"/>
      <c r="AY7"/>
      <c r="AZ7"/>
      <c r="BA7"/>
      <c r="BB7"/>
      <c r="BC7" s="99" t="s">
        <v>19</v>
      </c>
      <c r="BD7"/>
      <c r="BE7"/>
      <c r="BF7"/>
      <c r="BG7"/>
      <c r="BH7"/>
      <c r="BI7" s="99"/>
      <c r="BJ7"/>
      <c r="BK7" s="99"/>
      <c r="BL7"/>
      <c r="BM7"/>
      <c r="BN7"/>
      <c r="BO7"/>
      <c r="BP7"/>
      <c r="BQ7" s="99"/>
      <c r="BR7"/>
      <c r="BS7"/>
      <c r="BT7"/>
      <c r="BU7"/>
      <c r="BV7"/>
      <c r="BW7" s="99"/>
      <c r="BX7"/>
      <c r="BY7"/>
      <c r="BZ7"/>
      <c r="CA7"/>
      <c r="CC7" s="99"/>
    </row>
    <row r="8" spans="2:82" hidden="1" outlineLevel="1" x14ac:dyDescent="0.35">
      <c r="B8"/>
      <c r="C8"/>
      <c r="D8"/>
      <c r="E8" s="99">
        <f>YEAR($C$3)</f>
        <v>2026</v>
      </c>
      <c r="F8" s="99">
        <f>E8</f>
        <v>2026</v>
      </c>
      <c r="G8"/>
      <c r="H8"/>
      <c r="I8"/>
      <c r="J8"/>
      <c r="K8" s="99"/>
      <c r="L8"/>
      <c r="M8"/>
      <c r="N8"/>
      <c r="O8"/>
      <c r="P8" s="99">
        <f>F8-1</f>
        <v>2025</v>
      </c>
      <c r="Q8"/>
      <c r="R8"/>
      <c r="S8"/>
      <c r="T8"/>
      <c r="U8" s="99">
        <f>YEAR($C$3)</f>
        <v>2026</v>
      </c>
      <c r="V8"/>
      <c r="W8" s="99">
        <f>U8</f>
        <v>2026</v>
      </c>
      <c r="X8"/>
      <c r="Y8"/>
      <c r="Z8"/>
      <c r="AA8"/>
      <c r="AB8"/>
      <c r="AC8" s="99"/>
      <c r="AD8"/>
      <c r="AE8"/>
      <c r="AF8"/>
      <c r="AG8"/>
      <c r="AH8"/>
      <c r="AI8" s="99">
        <f>W8-1</f>
        <v>2025</v>
      </c>
      <c r="AJ8"/>
      <c r="AK8"/>
      <c r="AL8"/>
      <c r="AM8"/>
      <c r="AN8"/>
      <c r="AO8" s="99">
        <f>YEAR($C$3)</f>
        <v>2026</v>
      </c>
      <c r="AP8"/>
      <c r="AQ8" s="99">
        <f>AO8</f>
        <v>2026</v>
      </c>
      <c r="AR8"/>
      <c r="AS8"/>
      <c r="AT8"/>
      <c r="AU8"/>
      <c r="AV8"/>
      <c r="AW8" s="99"/>
      <c r="AX8"/>
      <c r="AY8"/>
      <c r="AZ8"/>
      <c r="BA8"/>
      <c r="BB8"/>
      <c r="BC8" s="99">
        <f>AQ8-1</f>
        <v>2025</v>
      </c>
      <c r="BD8"/>
      <c r="BE8"/>
      <c r="BF8"/>
      <c r="BG8"/>
      <c r="BH8"/>
      <c r="BI8" s="99"/>
      <c r="BJ8"/>
      <c r="BK8" s="99"/>
      <c r="BL8"/>
      <c r="BM8"/>
      <c r="BN8"/>
      <c r="BO8"/>
      <c r="BP8"/>
      <c r="BQ8" s="99"/>
      <c r="BR8"/>
      <c r="BS8"/>
      <c r="BT8"/>
      <c r="BU8"/>
      <c r="BV8"/>
      <c r="BW8" s="99"/>
      <c r="BX8"/>
      <c r="BY8"/>
      <c r="BZ8"/>
      <c r="CA8"/>
      <c r="CC8" s="99"/>
    </row>
    <row r="9" spans="2:82" collapsed="1" x14ac:dyDescent="0.35">
      <c r="B9" s="223" t="s">
        <v>42</v>
      </c>
      <c r="C9" s="220"/>
      <c r="D9" s="224"/>
      <c r="E9" s="225" t="s">
        <v>19</v>
      </c>
      <c r="F9" s="226" t="s">
        <v>20</v>
      </c>
      <c r="G9" s="227" t="s">
        <v>50</v>
      </c>
      <c r="H9" s="227" t="s">
        <v>51</v>
      </c>
      <c r="I9" s="228"/>
      <c r="J9" s="224"/>
      <c r="K9" s="226" t="s">
        <v>110</v>
      </c>
      <c r="L9" s="227" t="s">
        <v>50</v>
      </c>
      <c r="M9" s="227" t="s">
        <v>51</v>
      </c>
      <c r="N9" s="228"/>
      <c r="O9" s="224"/>
      <c r="P9" s="226" t="s">
        <v>111</v>
      </c>
      <c r="Q9" s="227" t="s">
        <v>50</v>
      </c>
      <c r="R9" s="227" t="s">
        <v>51</v>
      </c>
      <c r="S9" s="228"/>
      <c r="T9" s="224"/>
      <c r="U9" s="225" t="s">
        <v>19</v>
      </c>
      <c r="V9" s="227" t="s">
        <v>112</v>
      </c>
      <c r="W9" s="226" t="s">
        <v>20</v>
      </c>
      <c r="X9" s="227" t="s">
        <v>112</v>
      </c>
      <c r="Y9" s="227" t="s">
        <v>50</v>
      </c>
      <c r="Z9" s="227" t="s">
        <v>51</v>
      </c>
      <c r="AA9" s="228"/>
      <c r="AB9" s="224"/>
      <c r="AC9" s="226" t="s">
        <v>110</v>
      </c>
      <c r="AD9" s="227" t="s">
        <v>112</v>
      </c>
      <c r="AE9" s="227" t="s">
        <v>50</v>
      </c>
      <c r="AF9" s="227" t="s">
        <v>51</v>
      </c>
      <c r="AG9" s="228"/>
      <c r="AH9" s="224"/>
      <c r="AI9" s="226" t="s">
        <v>111</v>
      </c>
      <c r="AJ9" s="227" t="s">
        <v>112</v>
      </c>
      <c r="AK9" s="227" t="s">
        <v>50</v>
      </c>
      <c r="AL9" s="227" t="s">
        <v>51</v>
      </c>
      <c r="AM9" s="228"/>
      <c r="AN9" s="224"/>
      <c r="AO9" s="225" t="s">
        <v>19</v>
      </c>
      <c r="AP9" s="227" t="s">
        <v>112</v>
      </c>
      <c r="AQ9" s="226" t="s">
        <v>20</v>
      </c>
      <c r="AR9" s="227" t="s">
        <v>112</v>
      </c>
      <c r="AS9" s="227" t="s">
        <v>50</v>
      </c>
      <c r="AT9" s="227" t="s">
        <v>51</v>
      </c>
      <c r="AU9" s="228"/>
      <c r="AV9" s="224"/>
      <c r="AW9" s="226" t="s">
        <v>110</v>
      </c>
      <c r="AX9" s="227" t="s">
        <v>112</v>
      </c>
      <c r="AY9" s="227" t="s">
        <v>50</v>
      </c>
      <c r="AZ9" s="227" t="s">
        <v>51</v>
      </c>
      <c r="BA9" s="228"/>
      <c r="BB9" s="224"/>
      <c r="BC9" s="226" t="s">
        <v>111</v>
      </c>
      <c r="BD9" s="227" t="s">
        <v>112</v>
      </c>
      <c r="BE9" s="227" t="s">
        <v>50</v>
      </c>
      <c r="BF9" s="227" t="s">
        <v>51</v>
      </c>
      <c r="BG9" s="228"/>
      <c r="BH9" s="224"/>
      <c r="BI9" s="225" t="s">
        <v>19</v>
      </c>
      <c r="BJ9" s="227" t="s">
        <v>112</v>
      </c>
      <c r="BK9" s="226" t="s">
        <v>20</v>
      </c>
      <c r="BL9" s="227" t="s">
        <v>112</v>
      </c>
      <c r="BM9" s="227" t="s">
        <v>50</v>
      </c>
      <c r="BN9" s="227" t="s">
        <v>51</v>
      </c>
      <c r="BO9" s="228"/>
      <c r="BP9" s="224"/>
      <c r="BQ9" s="226" t="s">
        <v>110</v>
      </c>
      <c r="BR9" s="227" t="s">
        <v>112</v>
      </c>
      <c r="BS9" s="227" t="s">
        <v>50</v>
      </c>
      <c r="BT9" s="227" t="s">
        <v>51</v>
      </c>
      <c r="BU9" s="228"/>
      <c r="BV9" s="224"/>
      <c r="BW9" s="226" t="s">
        <v>111</v>
      </c>
      <c r="BX9" s="227" t="s">
        <v>112</v>
      </c>
      <c r="BY9" s="227" t="s">
        <v>50</v>
      </c>
      <c r="BZ9" s="227" t="s">
        <v>51</v>
      </c>
      <c r="CA9" s="228"/>
      <c r="CC9" s="225" t="s">
        <v>113</v>
      </c>
      <c r="CD9" s="227" t="s">
        <v>50</v>
      </c>
    </row>
    <row r="10" spans="2:82" ht="7.5" customHeight="1" x14ac:dyDescent="0.35"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C10"/>
    </row>
    <row r="11" spans="2:82" x14ac:dyDescent="0.35">
      <c r="B11" s="229" t="s">
        <v>114</v>
      </c>
      <c r="C11" s="229" t="s">
        <v>115</v>
      </c>
      <c r="D11"/>
      <c r="E11" s="230">
        <f>SUM(E51,E13,E88)</f>
        <v>113.73466817912514</v>
      </c>
      <c r="F11" s="230">
        <f>SUM(F51,F13,F88)</f>
        <v>113.07077002367132</v>
      </c>
      <c r="G11" s="231">
        <f>$E11-F11</f>
        <v>0.66389815545382191</v>
      </c>
      <c r="H11" s="232">
        <f>IFERROR($E11/F11-1,0)</f>
        <v>5.8715276752323575E-3</v>
      </c>
      <c r="I11" s="233">
        <f>H11</f>
        <v>5.8715276752323575E-3</v>
      </c>
      <c r="J11"/>
      <c r="K11" s="230">
        <f>SUM(K51,K13,K88)</f>
        <v>111.61942728185339</v>
      </c>
      <c r="L11" s="231">
        <f>$E11-K11</f>
        <v>2.1152408972717467</v>
      </c>
      <c r="M11" s="232">
        <f>IFERROR($E11/K11-1,0)</f>
        <v>1.8950472590497203E-2</v>
      </c>
      <c r="N11" s="233">
        <f>M11</f>
        <v>1.8950472590497203E-2</v>
      </c>
      <c r="O11"/>
      <c r="P11" s="230">
        <f>SUM(P51,P13,P88)</f>
        <v>95.18554398884001</v>
      </c>
      <c r="Q11" s="231">
        <f>$E11-P11</f>
        <v>18.549124190285127</v>
      </c>
      <c r="R11" s="232">
        <f>IFERROR($E11/P11-1,0)</f>
        <v>0.19487333278738106</v>
      </c>
      <c r="S11" s="233">
        <f>R11</f>
        <v>0.19487333278738106</v>
      </c>
      <c r="T11"/>
      <c r="U11" s="230">
        <f>SUM(U51,U13,U88)</f>
        <v>34.075191812229434</v>
      </c>
      <c r="V11" s="232">
        <f>IFERROR(U11/$E11,0)</f>
        <v>0.29960250781725667</v>
      </c>
      <c r="W11" s="230">
        <f>SUM(W51,W13,W88)</f>
        <v>17.619958940502464</v>
      </c>
      <c r="X11" s="232">
        <f>IFERROR(W11/$F11,0)</f>
        <v>0.15583124565980874</v>
      </c>
      <c r="Y11" s="231">
        <f>$U11-W11</f>
        <v>16.45523287172697</v>
      </c>
      <c r="Z11" s="232">
        <f>IFERROR($U11/W11-1,0)</f>
        <v>0.93389734489686171</v>
      </c>
      <c r="AA11" s="233">
        <f>Z11</f>
        <v>0.93389734489686171</v>
      </c>
      <c r="AB11"/>
      <c r="AC11" s="230">
        <f>SUM(AC51,AC13,AC88)</f>
        <v>28.200049337450626</v>
      </c>
      <c r="AD11" s="232">
        <f>IFERROR(AC11/$P11,0)</f>
        <v>0.29626399299411399</v>
      </c>
      <c r="AE11" s="231">
        <f>$U11-AC11</f>
        <v>5.8751424747788086</v>
      </c>
      <c r="AF11" s="232">
        <f>IFERROR($U11/AC11-1,0)</f>
        <v>0.20833802113163036</v>
      </c>
      <c r="AG11" s="233">
        <f>AF11</f>
        <v>0.20833802113163036</v>
      </c>
      <c r="AH11"/>
      <c r="AI11" s="230">
        <f>SUM(AI51,AI13,AI88)</f>
        <v>22.729354845489958</v>
      </c>
      <c r="AJ11" s="232">
        <f>IFERROR(AI11/$P11,0)</f>
        <v>0.23878998735516868</v>
      </c>
      <c r="AK11" s="231">
        <f>$U11-AI11</f>
        <v>11.345836966739476</v>
      </c>
      <c r="AL11" s="232">
        <f>IFERROR($U11/AI11-1,0)</f>
        <v>0.49917109587431852</v>
      </c>
      <c r="AM11" s="233">
        <f>AL11</f>
        <v>0.49917109587431852</v>
      </c>
      <c r="AN11"/>
      <c r="AO11" s="230">
        <f>SUM(AO51,AO13,AO88)</f>
        <v>-12.111835339999997</v>
      </c>
      <c r="AP11" s="232">
        <f>IFERROR(AO11/$E11,0)</f>
        <v>-0.10649202687191735</v>
      </c>
      <c r="AQ11" s="230">
        <f>SUM(AQ51,AQ13,AQ88)</f>
        <v>-0.45959642404323342</v>
      </c>
      <c r="AR11" s="232">
        <f>IFERROR(AQ11/$F11,0)</f>
        <v>-4.0646793503486102E-3</v>
      </c>
      <c r="AS11" s="231">
        <f>$AO11-AQ11</f>
        <v>-11.652238915956763</v>
      </c>
      <c r="AT11" s="232">
        <f>IFERROR($AO11/AQ11-1,0)</f>
        <v>25.353197515002115</v>
      </c>
      <c r="AU11" s="233">
        <f>AT11</f>
        <v>25.353197515002115</v>
      </c>
      <c r="AV11"/>
      <c r="AW11" s="230">
        <f>SUM(AW51,AW13,AW88)</f>
        <v>-10.470946433776966</v>
      </c>
      <c r="AX11" s="232">
        <f>IFERROR(AW11/$P11,0)</f>
        <v>-0.11000563735817519</v>
      </c>
      <c r="AY11" s="231">
        <f>$AO11-AW11</f>
        <v>-1.6408889062230312</v>
      </c>
      <c r="AZ11" s="232">
        <f>IFERROR($AO11/AW11-1,0)</f>
        <v>0.15670874802012968</v>
      </c>
      <c r="BA11" s="233">
        <f>AZ11</f>
        <v>0.15670874802012968</v>
      </c>
      <c r="BB11"/>
      <c r="BC11" s="230">
        <f>SUM(BC51,BC13,BC88)</f>
        <v>-3.8148088899999997</v>
      </c>
      <c r="BD11" s="232">
        <f>IFERROR(BC11/$P11,0)</f>
        <v>-4.0077607692689823E-2</v>
      </c>
      <c r="BE11" s="231">
        <f>$AO11-BC11</f>
        <v>-8.2970264499999971</v>
      </c>
      <c r="BF11" s="232">
        <f>IFERROR($AO11/BC11-1,0)</f>
        <v>2.1749520590007849</v>
      </c>
      <c r="BG11" s="233">
        <f>BF11</f>
        <v>2.1749520590007849</v>
      </c>
      <c r="BH11"/>
      <c r="BI11" s="230">
        <f>SUM(BI51,BI13,BI88)</f>
        <v>21.963356472229435</v>
      </c>
      <c r="BJ11" s="232">
        <f>IFERROR(BI11/$E11,0)</f>
        <v>0.19311048094533931</v>
      </c>
      <c r="BK11" s="230">
        <f>SUM(BK51,BK13,BK88)</f>
        <v>17.160362516459227</v>
      </c>
      <c r="BL11" s="232">
        <f>IFERROR(BK11/$F11,0)</f>
        <v>0.15176656630946012</v>
      </c>
      <c r="BM11" s="231">
        <f>$BI11-BK11</f>
        <v>4.8029939557702086</v>
      </c>
      <c r="BN11" s="232">
        <f>BM11/ABS(BK11)</f>
        <v>0.27988883982861401</v>
      </c>
      <c r="BO11" s="233">
        <f>BN11</f>
        <v>0.27988883982861401</v>
      </c>
      <c r="BP11"/>
      <c r="BQ11" s="230">
        <f>SUM(BQ51,BQ13,BQ88)</f>
        <v>17.72910290367366</v>
      </c>
      <c r="BR11" s="232">
        <f>IFERROR(BQ11/$P11,0)</f>
        <v>0.18625835563593882</v>
      </c>
      <c r="BS11" s="231">
        <f>$BI11-BQ11</f>
        <v>4.2342535685557756</v>
      </c>
      <c r="BT11" s="232">
        <f>IFERROR(BS11/ABS(BQ11),"")</f>
        <v>0.23883067245767933</v>
      </c>
      <c r="BU11" s="233">
        <f>BT11</f>
        <v>0.23883067245767933</v>
      </c>
      <c r="BV11"/>
      <c r="BW11" s="230">
        <f>SUM(BW51,BW13,BW88)</f>
        <v>18.914545955489963</v>
      </c>
      <c r="BX11" s="232">
        <f>IFERROR(BW11/$P11,0)</f>
        <v>0.1987123796624789</v>
      </c>
      <c r="BY11" s="231">
        <f>$BI11-BW11</f>
        <v>3.0488105167394721</v>
      </c>
      <c r="BZ11" s="232">
        <f>IFERROR(BY11/ABS(BW11),"")</f>
        <v>0.16118867055619446</v>
      </c>
      <c r="CA11" s="233">
        <f>BZ11</f>
        <v>0.16118867055619446</v>
      </c>
      <c r="CC11" s="230">
        <f>SUM(CC51,CC13,CC88)</f>
        <v>113.17038997056527</v>
      </c>
      <c r="CD11" s="230">
        <f>$E11-CC11</f>
        <v>0.56427820855986965</v>
      </c>
    </row>
    <row r="12" spans="2:82" ht="7.5" customHeight="1" x14ac:dyDescent="0.35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C12"/>
    </row>
    <row r="13" spans="2:82" x14ac:dyDescent="0.35">
      <c r="B13" s="234">
        <v>1</v>
      </c>
      <c r="C13" s="234" t="s">
        <v>116</v>
      </c>
      <c r="D13"/>
      <c r="E13" s="235">
        <f>SUM(E47:E49,E42,E40,E14,E45,E30)</f>
        <v>51.660081355843417</v>
      </c>
      <c r="F13" s="235">
        <f>SUM(F47:F49,F42,F40,F14,F45,F30)</f>
        <v>51.246121373847025</v>
      </c>
      <c r="G13" s="236">
        <f t="shared" ref="G13:G82" si="0">$E13-F13</f>
        <v>0.41395998199639195</v>
      </c>
      <c r="H13" s="237">
        <f t="shared" ref="H13:H82" si="1">IFERROR($E13/F13-1,0)</f>
        <v>8.0778792794189425E-3</v>
      </c>
      <c r="I13" s="238">
        <f t="shared" ref="I13:I82" si="2">H13</f>
        <v>8.0778792794189425E-3</v>
      </c>
      <c r="J13"/>
      <c r="K13" s="235">
        <f>SUM(K47:K49,K42,K40,K14,K45,K30)</f>
        <v>51.247609065461077</v>
      </c>
      <c r="L13" s="236">
        <f t="shared" ref="L13:L49" si="3">$E13-K13</f>
        <v>0.41247229038233968</v>
      </c>
      <c r="M13" s="237">
        <f t="shared" ref="M13:M49" si="4">IFERROR($E13/K13-1,0)</f>
        <v>8.048615299407702E-3</v>
      </c>
      <c r="N13" s="238">
        <f t="shared" ref="N13:N49" si="5">M13</f>
        <v>8.048615299407702E-3</v>
      </c>
      <c r="O13"/>
      <c r="P13" s="235">
        <f>SUM(P47:P49,P42,P40,P14,P45,P30)</f>
        <v>42.076201234905824</v>
      </c>
      <c r="Q13" s="236">
        <f t="shared" ref="Q13:Q82" si="6">$E13-P13</f>
        <v>9.583880120937593</v>
      </c>
      <c r="R13" s="237">
        <f t="shared" ref="R13:R82" si="7">IFERROR($E13/P13-1,0)</f>
        <v>0.22777436744900204</v>
      </c>
      <c r="S13" s="238">
        <f t="shared" ref="S13:S82" si="8">R13</f>
        <v>0.22777436744900204</v>
      </c>
      <c r="T13"/>
      <c r="U13" s="235">
        <f>SUM(U47:U49,U42,U40,U14,U45,U30)</f>
        <v>28.246903416275941</v>
      </c>
      <c r="V13" s="237">
        <f t="shared" ref="V13:V82" si="9">IFERROR(U13/$E13,0)</f>
        <v>0.54678395145579561</v>
      </c>
      <c r="W13" s="235">
        <f>SUM(W47:W49,W42,W40,W14,W45,W30)</f>
        <v>19.336203103111973</v>
      </c>
      <c r="X13" s="237">
        <f t="shared" ref="X13:X82" si="10">IFERROR(W13/$F13,0)</f>
        <v>0.37732032366024137</v>
      </c>
      <c r="Y13" s="236">
        <f t="shared" ref="Y13:Y82" si="11">$U13-W13</f>
        <v>8.9107003131639679</v>
      </c>
      <c r="Z13" s="237">
        <f t="shared" ref="Z13:Z82" si="12">IFERROR($U13/W13-1,0)</f>
        <v>0.46082988814540737</v>
      </c>
      <c r="AA13" s="238">
        <f t="shared" ref="AA13:AA82" si="13">Z13</f>
        <v>0.46082988814540737</v>
      </c>
      <c r="AB13"/>
      <c r="AC13" s="235">
        <f>SUM(AC47:AC49,AC42,AC40,AC14,AC45,AC30)</f>
        <v>28.04964273461508</v>
      </c>
      <c r="AD13" s="237">
        <f t="shared" ref="AD13:AD49" si="14">IFERROR(AC13/$P13,0)</f>
        <v>0.66663914306373961</v>
      </c>
      <c r="AE13" s="236">
        <f t="shared" ref="AE13:AE49" si="15">$U13-AC13</f>
        <v>0.19726068166086108</v>
      </c>
      <c r="AF13" s="237">
        <f t="shared" ref="AF13:AF49" si="16">IFERROR($U13/AC13-1,0)</f>
        <v>7.0325559411645866E-3</v>
      </c>
      <c r="AG13" s="238">
        <f t="shared" ref="AG13:AG49" si="17">AF13</f>
        <v>7.0325559411645866E-3</v>
      </c>
      <c r="AH13"/>
      <c r="AI13" s="235">
        <f>SUM(AI47:AI49,AI42,AI40,AI14,AI45,AI30)</f>
        <v>17.431652932162724</v>
      </c>
      <c r="AJ13" s="237">
        <f t="shared" ref="AJ13:AJ82" si="18">IFERROR(AI13/$P13,0)</f>
        <v>0.41428770707802559</v>
      </c>
      <c r="AK13" s="236">
        <f t="shared" ref="AK13:AK82" si="19">$U13-AI13</f>
        <v>10.815250484113218</v>
      </c>
      <c r="AL13" s="237">
        <f t="shared" ref="AL13:AL82" si="20">IFERROR($U13/AI13-1,0)</f>
        <v>0.62043746087660212</v>
      </c>
      <c r="AM13" s="238">
        <f t="shared" ref="AM13:AM82" si="21">AL13</f>
        <v>0.62043746087660212</v>
      </c>
      <c r="AN13"/>
      <c r="AO13" s="235">
        <f>SUM(AO47:AO49,AO42,AO40,AO14,AO45,AO30)</f>
        <v>-8.9636221737199975</v>
      </c>
      <c r="AP13" s="237">
        <f t="shared" ref="AP13:AP82" si="22">IFERROR(AO13/$E13,0)</f>
        <v>-0.17351157680099349</v>
      </c>
      <c r="AQ13" s="235">
        <f>SUM(AQ47:AQ49,AQ42,AQ40,AQ14,AQ45,AQ30)</f>
        <v>-0.39462914184626374</v>
      </c>
      <c r="AR13" s="237">
        <f t="shared" ref="AR13:AR82" si="23">IFERROR(AQ13/$F13,0)</f>
        <v>-7.7006636066638797E-3</v>
      </c>
      <c r="AS13" s="236">
        <f t="shared" ref="AS13:AS82" si="24">$AO13-AQ13</f>
        <v>-8.5689930318737346</v>
      </c>
      <c r="AT13" s="237">
        <f t="shared" ref="AT13:AT82" si="25">IFERROR($AO13/AQ13-1,0)</f>
        <v>21.714040153709604</v>
      </c>
      <c r="AU13" s="238">
        <f t="shared" ref="AU13:AU82" si="26">AT13</f>
        <v>21.714040153709604</v>
      </c>
      <c r="AV13"/>
      <c r="AW13" s="235">
        <f>SUM(AW47:AW49,AW42,AW40,AW14,AW45,AW30)</f>
        <v>-8.7441717867122275</v>
      </c>
      <c r="AX13" s="237">
        <f t="shared" ref="AX13:AX49" si="27">IFERROR(AW13/$P13,0)</f>
        <v>-0.20781751988243144</v>
      </c>
      <c r="AY13" s="236">
        <f t="shared" ref="AY13:AY49" si="28">$AO13-AW13</f>
        <v>-0.21945038700776998</v>
      </c>
      <c r="AZ13" s="237">
        <f t="shared" ref="AZ13:AZ49" si="29">IFERROR($AO13/AW13-1,0)</f>
        <v>2.5096760717950417E-2</v>
      </c>
      <c r="BA13" s="238">
        <f t="shared" ref="BA13:BA49" si="30">AZ13</f>
        <v>2.5096760717950417E-2</v>
      </c>
      <c r="BB13"/>
      <c r="BC13" s="235">
        <f>SUM(BC47:BC49,BC42,BC40,BC14,BC45,BC30)</f>
        <v>-1.6989399537670722</v>
      </c>
      <c r="BD13" s="237">
        <f t="shared" ref="BD13:BD82" si="31">IFERROR(BC13/$P13,0)</f>
        <v>-4.0377693420613633E-2</v>
      </c>
      <c r="BE13" s="236">
        <f t="shared" ref="BE13:BE82" si="32">$AO13-BC13</f>
        <v>-7.2646822199529257</v>
      </c>
      <c r="BF13" s="237">
        <f t="shared" ref="BF13:BF82" si="33">IFERROR($AO13/BC13-1,0)</f>
        <v>4.2760088158765654</v>
      </c>
      <c r="BG13" s="238">
        <f t="shared" ref="BG13:BG82" si="34">BF13</f>
        <v>4.2760088158765654</v>
      </c>
      <c r="BH13"/>
      <c r="BI13" s="235">
        <f>SUM(BI47:BI49,BI42,BI40,BI14,BI45,BI30)</f>
        <v>19.283281242555947</v>
      </c>
      <c r="BJ13" s="237">
        <f t="shared" ref="BJ13:BJ82" si="35">IFERROR(BI13/$E13,0)</f>
        <v>0.37327237465480223</v>
      </c>
      <c r="BK13" s="235">
        <f>SUM(BK47:BK49,BK42,BK40,BK14,BK45,BK30)</f>
        <v>18.941573961265707</v>
      </c>
      <c r="BL13" s="237">
        <f t="shared" ref="BL13:BL82" si="36">IFERROR(BK13/$F13,0)</f>
        <v>0.36961966005357744</v>
      </c>
      <c r="BM13" s="236">
        <f t="shared" ref="BM13:BM82" si="37">$BI13-BK13</f>
        <v>0.34170728129024042</v>
      </c>
      <c r="BN13" s="237">
        <f t="shared" ref="BN13:BN46" si="38">BM13/ABS(BK13)</f>
        <v>1.8040067947310487E-2</v>
      </c>
      <c r="BO13" s="238">
        <f t="shared" ref="BO13:BO82" si="39">BN13</f>
        <v>1.8040067947310487E-2</v>
      </c>
      <c r="BP13"/>
      <c r="BQ13" s="235">
        <f>SUM(BQ47:BQ49,BQ42,BQ40,BQ14,BQ45,BQ30)</f>
        <v>19.305470947902851</v>
      </c>
      <c r="BR13" s="237">
        <f t="shared" ref="BR13:BR49" si="40">IFERROR(BQ13/$P13,0)</f>
        <v>0.45882162318130809</v>
      </c>
      <c r="BS13" s="236">
        <f t="shared" ref="BS13:BS49" si="41">$BI13-BQ13</f>
        <v>-2.2189705346903565E-2</v>
      </c>
      <c r="BT13" s="237">
        <f t="shared" ref="BT13:BT49" si="42">IFERROR(BS13/ABS(BQ13),"")</f>
        <v>-1.1493998466436805E-3</v>
      </c>
      <c r="BU13" s="238">
        <f t="shared" ref="BU13:BU49" si="43">BT13</f>
        <v>-1.1493998466436805E-3</v>
      </c>
      <c r="BV13"/>
      <c r="BW13" s="235">
        <f>SUM(BW47:BW49,BW42,BW40,BW14,BW45,BW30)</f>
        <v>15.732712978395654</v>
      </c>
      <c r="BX13" s="237">
        <f t="shared" ref="BX13:BX79" si="44">IFERROR(BW13/$P13,0)</f>
        <v>0.37391001365741205</v>
      </c>
      <c r="BY13" s="236">
        <f t="shared" ref="BY13:BY79" si="45">$BI13-BW13</f>
        <v>3.5505682641602938</v>
      </c>
      <c r="BZ13" s="237">
        <f t="shared" ref="BZ13:BZ79" si="46">IFERROR(BY13/ABS(BW13),"")</f>
        <v>0.22568061014244498</v>
      </c>
      <c r="CA13" s="238">
        <f t="shared" ref="CA13:CA79" si="47">BZ13</f>
        <v>0.22568061014244498</v>
      </c>
      <c r="CC13" s="235">
        <f>SUM(CC47:CC49,CC42,CC40,CC14,CC45,CC30)</f>
        <v>51.635762085436859</v>
      </c>
      <c r="CD13" s="235">
        <f t="shared" ref="CD13:CD82" si="48">$E13-CC13</f>
        <v>2.4319270406557791E-2</v>
      </c>
    </row>
    <row r="14" spans="2:82" x14ac:dyDescent="0.35">
      <c r="B14" s="239" t="s">
        <v>117</v>
      </c>
      <c r="C14" s="239" t="s">
        <v>118</v>
      </c>
      <c r="D14"/>
      <c r="E14" s="240">
        <f>E15+E20+E29</f>
        <v>25.65111448212884</v>
      </c>
      <c r="F14" s="240">
        <f>F15+F20+F29</f>
        <v>25.306849984736282</v>
      </c>
      <c r="G14" s="241">
        <f t="shared" si="0"/>
        <v>0.34426449739255816</v>
      </c>
      <c r="H14" s="242">
        <f t="shared" si="1"/>
        <v>1.3603609204630329E-2</v>
      </c>
      <c r="I14" s="243">
        <f t="shared" si="2"/>
        <v>1.3603609204630329E-2</v>
      </c>
      <c r="J14"/>
      <c r="K14" s="240">
        <f>K15+K20+K29</f>
        <v>25.446827894815641</v>
      </c>
      <c r="L14" s="241">
        <f t="shared" si="3"/>
        <v>0.20428658731319871</v>
      </c>
      <c r="M14" s="242">
        <f t="shared" si="4"/>
        <v>8.0279785031602824E-3</v>
      </c>
      <c r="N14" s="243">
        <f t="shared" si="5"/>
        <v>8.0279785031602824E-3</v>
      </c>
      <c r="O14"/>
      <c r="P14" s="240">
        <f>P15+P20+P29</f>
        <v>20.61838394070417</v>
      </c>
      <c r="Q14" s="241">
        <f t="shared" si="6"/>
        <v>5.0327305414246695</v>
      </c>
      <c r="R14" s="242">
        <f t="shared" si="7"/>
        <v>0.2440894764545154</v>
      </c>
      <c r="S14" s="243">
        <f t="shared" si="8"/>
        <v>0.2440894764545154</v>
      </c>
      <c r="T14"/>
      <c r="U14" s="240">
        <f>U15+U20+U29</f>
        <v>14.728183028035732</v>
      </c>
      <c r="V14" s="242">
        <f t="shared" si="9"/>
        <v>0.57417322114003555</v>
      </c>
      <c r="W14" s="240">
        <f>W15+W20+W29</f>
        <v>10.03465045048655</v>
      </c>
      <c r="X14" s="242">
        <f t="shared" si="10"/>
        <v>0.39651914230885738</v>
      </c>
      <c r="Y14" s="241">
        <f t="shared" si="11"/>
        <v>4.6935325775491812</v>
      </c>
      <c r="Z14" s="242">
        <f t="shared" si="12"/>
        <v>0.4677325434212416</v>
      </c>
      <c r="AA14" s="243">
        <f t="shared" si="13"/>
        <v>0.4677325434212416</v>
      </c>
      <c r="AB14"/>
      <c r="AC14" s="240">
        <f>AC15+AC20+AC29</f>
        <v>15.09405204449739</v>
      </c>
      <c r="AD14" s="242">
        <f t="shared" si="14"/>
        <v>0.73206765806214247</v>
      </c>
      <c r="AE14" s="241">
        <f t="shared" si="15"/>
        <v>-0.3658690164616587</v>
      </c>
      <c r="AF14" s="242">
        <f t="shared" si="16"/>
        <v>-2.4239284148688145E-2</v>
      </c>
      <c r="AG14" s="243">
        <f t="shared" si="17"/>
        <v>-2.4239284148688145E-2</v>
      </c>
      <c r="AH14"/>
      <c r="AI14" s="240">
        <f>AI15+AI20+AI29</f>
        <v>8.9857383252657179</v>
      </c>
      <c r="AJ14" s="242">
        <f t="shared" si="18"/>
        <v>0.43581196038969638</v>
      </c>
      <c r="AK14" s="241">
        <f t="shared" si="19"/>
        <v>5.7424447027700136</v>
      </c>
      <c r="AL14" s="242">
        <f t="shared" si="20"/>
        <v>0.63906208871269388</v>
      </c>
      <c r="AM14" s="243">
        <f t="shared" si="21"/>
        <v>0.63906208871269388</v>
      </c>
      <c r="AN14"/>
      <c r="AO14" s="240">
        <f>AO15+AO20+AO29</f>
        <v>-5.7033914899999978</v>
      </c>
      <c r="AP14" s="242">
        <f t="shared" si="22"/>
        <v>-0.22234478326364951</v>
      </c>
      <c r="AQ14" s="240">
        <f>AQ15+AQ20+AQ29</f>
        <v>-3.0000000000000001E-3</v>
      </c>
      <c r="AR14" s="242">
        <f t="shared" si="23"/>
        <v>-1.185449790001299E-4</v>
      </c>
      <c r="AS14" s="241">
        <f t="shared" si="24"/>
        <v>-5.7003914899999977</v>
      </c>
      <c r="AT14" s="242">
        <f t="shared" si="25"/>
        <v>1900.130496666666</v>
      </c>
      <c r="AU14" s="243">
        <f t="shared" si="26"/>
        <v>1900.130496666666</v>
      </c>
      <c r="AV14"/>
      <c r="AW14" s="240">
        <f>AW15+AW20+AW29</f>
        <v>-5.5833781076774871</v>
      </c>
      <c r="AX14" s="242">
        <f t="shared" si="27"/>
        <v>-0.27079610718932029</v>
      </c>
      <c r="AY14" s="241">
        <f t="shared" si="28"/>
        <v>-0.12001338232251069</v>
      </c>
      <c r="AZ14" s="242">
        <f t="shared" si="29"/>
        <v>2.1494761774683457E-2</v>
      </c>
      <c r="BA14" s="243">
        <f t="shared" si="30"/>
        <v>2.1494761774683457E-2</v>
      </c>
      <c r="BB14"/>
      <c r="BC14" s="240">
        <f>BC15+BC20+BC29</f>
        <v>-1.1578481899999999</v>
      </c>
      <c r="BD14" s="242">
        <f t="shared" si="31"/>
        <v>-5.6156107740054841E-2</v>
      </c>
      <c r="BE14" s="241">
        <f t="shared" si="32"/>
        <v>-4.5455432999999976</v>
      </c>
      <c r="BF14" s="242">
        <f t="shared" si="33"/>
        <v>3.9258543039221729</v>
      </c>
      <c r="BG14" s="243">
        <f t="shared" si="34"/>
        <v>3.9258543039221729</v>
      </c>
      <c r="BH14"/>
      <c r="BI14" s="240">
        <f>BI15+BI20+BI29</f>
        <v>9.0247915380357355</v>
      </c>
      <c r="BJ14" s="242">
        <f t="shared" si="35"/>
        <v>0.35182843787638612</v>
      </c>
      <c r="BK14" s="240">
        <f>BK15+BK20+BK29</f>
        <v>10.03165045048655</v>
      </c>
      <c r="BL14" s="242">
        <f t="shared" si="36"/>
        <v>0.39640059732985722</v>
      </c>
      <c r="BM14" s="241">
        <f t="shared" si="37"/>
        <v>-1.0068589124508147</v>
      </c>
      <c r="BN14" s="242">
        <f t="shared" si="38"/>
        <v>-0.10036822130320346</v>
      </c>
      <c r="BO14" s="243">
        <f t="shared" si="39"/>
        <v>-0.10036822130320346</v>
      </c>
      <c r="BP14"/>
      <c r="BQ14" s="240">
        <f>BQ15+BQ20+BQ29</f>
        <v>9.5106739368199005</v>
      </c>
      <c r="BR14" s="242">
        <f t="shared" si="40"/>
        <v>0.46127155087282201</v>
      </c>
      <c r="BS14" s="241">
        <f t="shared" si="41"/>
        <v>-0.48588239878416495</v>
      </c>
      <c r="BT14" s="242">
        <f t="shared" si="42"/>
        <v>-5.1088114471373645E-2</v>
      </c>
      <c r="BU14" s="243">
        <f t="shared" si="43"/>
        <v>-5.1088114471373645E-2</v>
      </c>
      <c r="BV14"/>
      <c r="BW14" s="240">
        <f>BW15+BW20+BW29</f>
        <v>7.8278901352657195</v>
      </c>
      <c r="BX14" s="242">
        <f t="shared" si="44"/>
        <v>0.37965585264964163</v>
      </c>
      <c r="BY14" s="241">
        <f t="shared" si="45"/>
        <v>1.196901402770016</v>
      </c>
      <c r="BZ14" s="242">
        <f t="shared" si="46"/>
        <v>0.15290217186081992</v>
      </c>
      <c r="CA14" s="243">
        <f t="shared" si="47"/>
        <v>0.15290217186081992</v>
      </c>
      <c r="CC14" s="240">
        <f>CC15+CC20+CC29</f>
        <v>25.62645047028218</v>
      </c>
      <c r="CD14" s="240">
        <f t="shared" si="48"/>
        <v>2.4664011846660117E-2</v>
      </c>
    </row>
    <row r="15" spans="2:82" x14ac:dyDescent="0.35">
      <c r="B15" s="244" t="s">
        <v>119</v>
      </c>
      <c r="C15" s="244" t="s">
        <v>120</v>
      </c>
      <c r="D15"/>
      <c r="E15" s="245">
        <f>SUM(E16:E19)</f>
        <v>12.433256580132683</v>
      </c>
      <c r="F15" s="245">
        <f>SUM(F16:F19)</f>
        <v>11.293878491043758</v>
      </c>
      <c r="G15" s="246">
        <f t="shared" si="0"/>
        <v>1.1393780890889253</v>
      </c>
      <c r="H15" s="247">
        <f t="shared" si="1"/>
        <v>0.10088457122966843</v>
      </c>
      <c r="I15" s="248">
        <f t="shared" si="2"/>
        <v>0.10088457122966843</v>
      </c>
      <c r="J15"/>
      <c r="K15" s="245">
        <f>SUM(K16:K19)</f>
        <v>12.23977661360996</v>
      </c>
      <c r="L15" s="246">
        <f t="shared" si="3"/>
        <v>0.19347996652272315</v>
      </c>
      <c r="M15" s="247">
        <f t="shared" si="4"/>
        <v>1.5807475302088703E-2</v>
      </c>
      <c r="N15" s="248">
        <f t="shared" si="5"/>
        <v>1.5807475302088703E-2</v>
      </c>
      <c r="O15"/>
      <c r="P15" s="245">
        <f>SUM(P16:P19)</f>
        <v>9.2389702400000022</v>
      </c>
      <c r="Q15" s="246">
        <f t="shared" si="6"/>
        <v>3.1942863401326811</v>
      </c>
      <c r="R15" s="247">
        <f t="shared" si="7"/>
        <v>0.34574051622150059</v>
      </c>
      <c r="S15" s="248">
        <f t="shared" si="8"/>
        <v>0.34574051622150059</v>
      </c>
      <c r="T15"/>
      <c r="U15" s="245">
        <f>SUM(U16:U19)</f>
        <v>10.026409080551435</v>
      </c>
      <c r="V15" s="247">
        <f t="shared" si="9"/>
        <v>0.80641857713873677</v>
      </c>
      <c r="W15" s="245">
        <f>SUM(W16:W19)</f>
        <v>6.506372175667452</v>
      </c>
      <c r="X15" s="247">
        <f t="shared" si="10"/>
        <v>0.57609723540297675</v>
      </c>
      <c r="Y15" s="246">
        <f t="shared" si="11"/>
        <v>3.520036904883983</v>
      </c>
      <c r="Z15" s="247">
        <f t="shared" si="12"/>
        <v>0.54101376463649387</v>
      </c>
      <c r="AA15" s="248">
        <f t="shared" si="13"/>
        <v>0.54101376463649387</v>
      </c>
      <c r="AB15"/>
      <c r="AC15" s="245">
        <f>SUM(AC16:AC19)</f>
        <v>10.015085166592996</v>
      </c>
      <c r="AD15" s="247">
        <f t="shared" si="14"/>
        <v>1.0840044838799041</v>
      </c>
      <c r="AE15" s="246">
        <f t="shared" si="15"/>
        <v>1.1323913958438681E-2</v>
      </c>
      <c r="AF15" s="247">
        <f t="shared" si="16"/>
        <v>1.1306857375723567E-3</v>
      </c>
      <c r="AG15" s="248">
        <f t="shared" si="17"/>
        <v>1.1306857375723567E-3</v>
      </c>
      <c r="AH15"/>
      <c r="AI15" s="245">
        <f>SUM(AI16:AI19)</f>
        <v>5.3732180499999993</v>
      </c>
      <c r="AJ15" s="247">
        <f t="shared" si="18"/>
        <v>0.58158191989153951</v>
      </c>
      <c r="AK15" s="246">
        <f t="shared" si="19"/>
        <v>4.6531910305514357</v>
      </c>
      <c r="AL15" s="247">
        <f t="shared" si="20"/>
        <v>0.86599705935094828</v>
      </c>
      <c r="AM15" s="248">
        <f t="shared" si="21"/>
        <v>0.86599705935094828</v>
      </c>
      <c r="AN15"/>
      <c r="AO15" s="245">
        <f>SUM(AO16:AO19)</f>
        <v>-2.8967662800000005</v>
      </c>
      <c r="AP15" s="247">
        <f t="shared" si="22"/>
        <v>-0.23298532137017053</v>
      </c>
      <c r="AQ15" s="245">
        <f>SUM(AQ16:AQ19)</f>
        <v>-3.0000000000000001E-3</v>
      </c>
      <c r="AR15" s="247">
        <f t="shared" si="23"/>
        <v>-2.656306248007761E-4</v>
      </c>
      <c r="AS15" s="246">
        <f t="shared" si="24"/>
        <v>-2.8937662800000004</v>
      </c>
      <c r="AT15" s="247">
        <f t="shared" si="25"/>
        <v>964.58876000000009</v>
      </c>
      <c r="AU15" s="248">
        <f t="shared" si="26"/>
        <v>964.58876000000009</v>
      </c>
      <c r="AV15"/>
      <c r="AW15" s="245">
        <f>SUM(AW16:AW19)</f>
        <v>-2.748547596322334</v>
      </c>
      <c r="AX15" s="247">
        <f t="shared" si="27"/>
        <v>-0.29749501566987768</v>
      </c>
      <c r="AY15" s="246">
        <f t="shared" si="28"/>
        <v>-0.14821868367766644</v>
      </c>
      <c r="AZ15" s="247">
        <f t="shared" si="29"/>
        <v>5.392618409664407E-2</v>
      </c>
      <c r="BA15" s="248">
        <f t="shared" si="30"/>
        <v>5.392618409664407E-2</v>
      </c>
      <c r="BB15"/>
      <c r="BC15" s="245">
        <f>SUM(BC16:BC19)</f>
        <v>-0.5087855</v>
      </c>
      <c r="BD15" s="247">
        <f t="shared" si="31"/>
        <v>-5.5069503070506683E-2</v>
      </c>
      <c r="BE15" s="246">
        <f t="shared" si="32"/>
        <v>-2.3879807800000004</v>
      </c>
      <c r="BF15" s="247">
        <f t="shared" si="33"/>
        <v>4.6934922084060977</v>
      </c>
      <c r="BG15" s="248">
        <f t="shared" si="34"/>
        <v>4.6934922084060977</v>
      </c>
      <c r="BH15"/>
      <c r="BI15" s="245">
        <f>SUM(BI16:BI19)</f>
        <v>7.1296428005514354</v>
      </c>
      <c r="BJ15" s="247">
        <f t="shared" si="35"/>
        <v>0.5734332557685663</v>
      </c>
      <c r="BK15" s="245">
        <f>SUM(BK16:BK19)</f>
        <v>6.5033721756674527</v>
      </c>
      <c r="BL15" s="247">
        <f t="shared" si="36"/>
        <v>0.57583160477817608</v>
      </c>
      <c r="BM15" s="246">
        <f t="shared" si="37"/>
        <v>0.62627062488398266</v>
      </c>
      <c r="BN15" s="247">
        <f t="shared" si="38"/>
        <v>9.6299367154042262E-2</v>
      </c>
      <c r="BO15" s="248">
        <f t="shared" si="39"/>
        <v>9.6299367154042262E-2</v>
      </c>
      <c r="BP15"/>
      <c r="BQ15" s="245">
        <f>SUM(BQ16:BQ19)</f>
        <v>7.2665375702706605</v>
      </c>
      <c r="BR15" s="247">
        <f t="shared" si="40"/>
        <v>0.78650946821002632</v>
      </c>
      <c r="BS15" s="246">
        <f t="shared" si="41"/>
        <v>-0.1368947697192251</v>
      </c>
      <c r="BT15" s="247">
        <f t="shared" si="42"/>
        <v>-1.8839064464387833E-2</v>
      </c>
      <c r="BU15" s="248">
        <f t="shared" si="43"/>
        <v>-1.8839064464387833E-2</v>
      </c>
      <c r="BV15"/>
      <c r="BW15" s="245">
        <f>SUM(BW16:BW19)</f>
        <v>4.8644325499999992</v>
      </c>
      <c r="BX15" s="247">
        <f t="shared" si="44"/>
        <v>0.52651241682103289</v>
      </c>
      <c r="BY15" s="246">
        <f t="shared" si="45"/>
        <v>2.2652102505514362</v>
      </c>
      <c r="BZ15" s="247">
        <f t="shared" si="46"/>
        <v>0.46566793295374947</v>
      </c>
      <c r="CA15" s="248">
        <f t="shared" si="47"/>
        <v>0.46566793295374947</v>
      </c>
      <c r="CC15" s="245">
        <f>SUM(CC16:CC19)</f>
        <v>12.433256580132676</v>
      </c>
      <c r="CD15" s="245">
        <f t="shared" si="48"/>
        <v>0</v>
      </c>
    </row>
    <row r="16" spans="2:82" outlineLevel="1" x14ac:dyDescent="0.35">
      <c r="B16" s="249" t="s">
        <v>121</v>
      </c>
      <c r="C16" s="249" t="s">
        <v>122</v>
      </c>
      <c r="D16"/>
      <c r="E16" s="250">
        <v>8.6385420943526938</v>
      </c>
      <c r="F16" s="250">
        <v>8.1078386214625855</v>
      </c>
      <c r="G16" s="251">
        <f t="shared" si="0"/>
        <v>0.53070347289010833</v>
      </c>
      <c r="H16" s="252">
        <f t="shared" si="1"/>
        <v>6.5455603850483879E-2</v>
      </c>
      <c r="I16" s="253">
        <f t="shared" si="2"/>
        <v>6.5455603850483879E-2</v>
      </c>
      <c r="J16"/>
      <c r="K16" s="250">
        <v>9.1908735195320492</v>
      </c>
      <c r="L16" s="251">
        <f t="shared" si="3"/>
        <v>-0.55233142517935541</v>
      </c>
      <c r="M16" s="252">
        <f t="shared" si="4"/>
        <v>-6.0095639876401763E-2</v>
      </c>
      <c r="N16" s="253">
        <f t="shared" si="5"/>
        <v>-6.0095639876401763E-2</v>
      </c>
      <c r="O16"/>
      <c r="P16" s="250">
        <v>6.3430565000000012</v>
      </c>
      <c r="Q16" s="251">
        <f t="shared" si="6"/>
        <v>2.2954855943526926</v>
      </c>
      <c r="R16" s="252">
        <f t="shared" si="7"/>
        <v>0.36188950774010786</v>
      </c>
      <c r="S16" s="253">
        <f t="shared" si="8"/>
        <v>0.36188950774010786</v>
      </c>
      <c r="T16"/>
      <c r="U16" s="250">
        <v>7.4176795799718471</v>
      </c>
      <c r="V16" s="252">
        <f t="shared" si="9"/>
        <v>0.85867262079107476</v>
      </c>
      <c r="W16" s="250">
        <v>5.1551640710220941</v>
      </c>
      <c r="X16" s="252">
        <f t="shared" si="10"/>
        <v>0.63582470146552394</v>
      </c>
      <c r="Y16" s="251">
        <f t="shared" si="11"/>
        <v>2.2625155089497531</v>
      </c>
      <c r="Z16" s="252">
        <f t="shared" si="12"/>
        <v>0.43888331734535324</v>
      </c>
      <c r="AA16" s="253">
        <f t="shared" si="13"/>
        <v>0.43888331734535324</v>
      </c>
      <c r="AB16"/>
      <c r="AC16" s="250">
        <v>8.1323103961084957</v>
      </c>
      <c r="AD16" s="252">
        <f t="shared" si="14"/>
        <v>1.2820807123676881</v>
      </c>
      <c r="AE16" s="251">
        <f t="shared" si="15"/>
        <v>-0.71463081613664858</v>
      </c>
      <c r="AF16" s="252">
        <f t="shared" si="16"/>
        <v>-8.7875496793459407E-2</v>
      </c>
      <c r="AG16" s="253">
        <f t="shared" si="17"/>
        <v>-8.7875496793459407E-2</v>
      </c>
      <c r="AH16"/>
      <c r="AI16" s="250">
        <v>4.02422623</v>
      </c>
      <c r="AJ16" s="252">
        <f t="shared" si="18"/>
        <v>0.63443014105266116</v>
      </c>
      <c r="AK16" s="251">
        <f t="shared" si="19"/>
        <v>3.3934533499718471</v>
      </c>
      <c r="AL16" s="252">
        <f t="shared" si="20"/>
        <v>0.84325610838530007</v>
      </c>
      <c r="AM16" s="253">
        <f t="shared" si="21"/>
        <v>0.84325610838530007</v>
      </c>
      <c r="AN16"/>
      <c r="AO16" s="250">
        <v>-2.0709911500000002</v>
      </c>
      <c r="AP16" s="252">
        <f t="shared" si="22"/>
        <v>-0.23973850302285116</v>
      </c>
      <c r="AQ16" s="250">
        <v>0</v>
      </c>
      <c r="AR16" s="252">
        <f t="shared" si="23"/>
        <v>0</v>
      </c>
      <c r="AS16" s="251">
        <f t="shared" si="24"/>
        <v>-2.0709911500000002</v>
      </c>
      <c r="AT16" s="252">
        <f t="shared" si="25"/>
        <v>0</v>
      </c>
      <c r="AU16" s="253">
        <f t="shared" si="26"/>
        <v>0</v>
      </c>
      <c r="AV16"/>
      <c r="AW16" s="250">
        <v>-2.0768441549799301</v>
      </c>
      <c r="AX16" s="252">
        <f t="shared" si="27"/>
        <v>-0.3274200939215865</v>
      </c>
      <c r="AY16" s="251">
        <f t="shared" si="28"/>
        <v>5.85300497992991E-3</v>
      </c>
      <c r="AZ16" s="252">
        <f t="shared" si="29"/>
        <v>-2.8182205996994947E-3</v>
      </c>
      <c r="BA16" s="253">
        <f t="shared" si="30"/>
        <v>-2.8182205996994947E-3</v>
      </c>
      <c r="BB16"/>
      <c r="BC16" s="250">
        <v>-0.34887360000000012</v>
      </c>
      <c r="BD16" s="252">
        <f t="shared" si="31"/>
        <v>-5.5000865907469068E-2</v>
      </c>
      <c r="BE16" s="251">
        <f t="shared" si="32"/>
        <v>-1.7221175500000001</v>
      </c>
      <c r="BF16" s="252">
        <f t="shared" si="33"/>
        <v>4.9362220299844974</v>
      </c>
      <c r="BG16" s="253">
        <f t="shared" si="34"/>
        <v>4.9362220299844974</v>
      </c>
      <c r="BH16"/>
      <c r="BI16" s="254">
        <f>SUM(U16,AO16)</f>
        <v>5.3466884299718469</v>
      </c>
      <c r="BJ16" s="252">
        <f t="shared" si="35"/>
        <v>0.6189341177682236</v>
      </c>
      <c r="BK16" s="250">
        <f>SUM(W16,AQ16)</f>
        <v>5.1551640710220941</v>
      </c>
      <c r="BL16" s="252">
        <f t="shared" si="36"/>
        <v>0.63582470146552394</v>
      </c>
      <c r="BM16" s="251">
        <f t="shared" si="37"/>
        <v>0.19152435894975284</v>
      </c>
      <c r="BN16" s="252">
        <f t="shared" si="38"/>
        <v>3.7151942462188225E-2</v>
      </c>
      <c r="BO16" s="253">
        <f t="shared" si="39"/>
        <v>3.7151942462188225E-2</v>
      </c>
      <c r="BP16"/>
      <c r="BQ16" s="250">
        <f>SUM(AC16,AW16)</f>
        <v>6.0554662411285651</v>
      </c>
      <c r="BR16" s="252">
        <f t="shared" si="40"/>
        <v>0.95466061844610151</v>
      </c>
      <c r="BS16" s="251">
        <f t="shared" si="41"/>
        <v>-0.70877781115671823</v>
      </c>
      <c r="BT16" s="252">
        <f t="shared" si="42"/>
        <v>-0.11704760342692</v>
      </c>
      <c r="BU16" s="253">
        <f t="shared" si="43"/>
        <v>-0.11704760342692</v>
      </c>
      <c r="BV16"/>
      <c r="BW16" s="250">
        <f>SUM(AI16,BC16)</f>
        <v>3.6753526299999999</v>
      </c>
      <c r="BX16" s="252">
        <f t="shared" si="44"/>
        <v>0.57942927514519205</v>
      </c>
      <c r="BY16" s="251">
        <f t="shared" si="45"/>
        <v>1.671335799971847</v>
      </c>
      <c r="BZ16" s="252">
        <f t="shared" si="46"/>
        <v>0.45474161753340309</v>
      </c>
      <c r="CA16" s="253">
        <f t="shared" si="47"/>
        <v>0.45474161753340309</v>
      </c>
      <c r="CC16" s="254">
        <v>8.6385420943526849</v>
      </c>
      <c r="CD16" s="254">
        <f t="shared" si="48"/>
        <v>0</v>
      </c>
    </row>
    <row r="17" spans="2:82" outlineLevel="1" x14ac:dyDescent="0.35">
      <c r="B17" s="249" t="s">
        <v>123</v>
      </c>
      <c r="C17" s="249" t="s">
        <v>124</v>
      </c>
      <c r="D17"/>
      <c r="E17" s="250">
        <v>1.5535897799999967</v>
      </c>
      <c r="F17" s="250">
        <v>0.99625089765686881</v>
      </c>
      <c r="G17" s="251">
        <f t="shared" si="0"/>
        <v>0.55733888234312789</v>
      </c>
      <c r="H17" s="252">
        <f t="shared" si="1"/>
        <v>0.55943626615941877</v>
      </c>
      <c r="I17" s="253">
        <f t="shared" si="2"/>
        <v>0.55943626615941877</v>
      </c>
      <c r="J17"/>
      <c r="K17" s="250">
        <v>0.99625089765686903</v>
      </c>
      <c r="L17" s="251">
        <f t="shared" si="3"/>
        <v>0.55733888234312767</v>
      </c>
      <c r="M17" s="252">
        <f t="shared" si="4"/>
        <v>0.55943626615941833</v>
      </c>
      <c r="N17" s="253">
        <f t="shared" si="5"/>
        <v>0.55943626615941833</v>
      </c>
      <c r="O17"/>
      <c r="P17" s="250">
        <v>1.2616617800000001</v>
      </c>
      <c r="Q17" s="251">
        <f t="shared" si="6"/>
        <v>0.29192799999999663</v>
      </c>
      <c r="R17" s="252">
        <f t="shared" si="7"/>
        <v>0.23138372314012456</v>
      </c>
      <c r="S17" s="253">
        <f t="shared" si="8"/>
        <v>0.23138372314012456</v>
      </c>
      <c r="T17"/>
      <c r="U17" s="250">
        <v>0.72179058971977872</v>
      </c>
      <c r="V17" s="252">
        <f t="shared" si="9"/>
        <v>0.46459535136732183</v>
      </c>
      <c r="W17" s="250">
        <v>0.19702199931817443</v>
      </c>
      <c r="X17" s="252">
        <f t="shared" si="10"/>
        <v>0.19776343467449828</v>
      </c>
      <c r="Y17" s="251">
        <f t="shared" si="11"/>
        <v>0.52476859040160428</v>
      </c>
      <c r="Z17" s="252">
        <f t="shared" si="12"/>
        <v>2.6635025135144725</v>
      </c>
      <c r="AA17" s="253">
        <f t="shared" si="13"/>
        <v>2.6635025135144725</v>
      </c>
      <c r="AB17"/>
      <c r="AC17" s="250">
        <v>0.34860847758693525</v>
      </c>
      <c r="AD17" s="252">
        <f t="shared" si="14"/>
        <v>0.27630897845453894</v>
      </c>
      <c r="AE17" s="251">
        <f t="shared" si="15"/>
        <v>0.37318211213284347</v>
      </c>
      <c r="AF17" s="252">
        <f t="shared" si="16"/>
        <v>1.0704906395736749</v>
      </c>
      <c r="AG17" s="253">
        <f t="shared" si="17"/>
        <v>1.0704906395736749</v>
      </c>
      <c r="AH17"/>
      <c r="AI17" s="250">
        <v>0.4904967799999998</v>
      </c>
      <c r="AJ17" s="252">
        <f t="shared" si="18"/>
        <v>0.38877041991396438</v>
      </c>
      <c r="AK17" s="251">
        <f t="shared" si="19"/>
        <v>0.23129380971977892</v>
      </c>
      <c r="AL17" s="252">
        <f t="shared" si="20"/>
        <v>0.47155010827956723</v>
      </c>
      <c r="AM17" s="253">
        <f t="shared" si="21"/>
        <v>0.47155010827956723</v>
      </c>
      <c r="AN17"/>
      <c r="AO17" s="250">
        <v>-0.25273943999999998</v>
      </c>
      <c r="AP17" s="252">
        <f t="shared" si="22"/>
        <v>-0.16268093627649927</v>
      </c>
      <c r="AQ17" s="250">
        <v>0</v>
      </c>
      <c r="AR17" s="252">
        <f t="shared" si="23"/>
        <v>0</v>
      </c>
      <c r="AS17" s="251">
        <f t="shared" si="24"/>
        <v>-0.25273943999999998</v>
      </c>
      <c r="AT17" s="252">
        <f t="shared" si="25"/>
        <v>0</v>
      </c>
      <c r="AU17" s="253">
        <f t="shared" si="26"/>
        <v>0</v>
      </c>
      <c r="AV17"/>
      <c r="AW17" s="250">
        <v>-0.15158647826876101</v>
      </c>
      <c r="AX17" s="252">
        <f t="shared" si="27"/>
        <v>-0.12014826847553471</v>
      </c>
      <c r="AY17" s="251">
        <f t="shared" si="28"/>
        <v>-0.10115296173123897</v>
      </c>
      <c r="AZ17" s="252">
        <f t="shared" si="29"/>
        <v>0.66729541372348522</v>
      </c>
      <c r="BA17" s="253">
        <f t="shared" si="30"/>
        <v>0.66729541372348522</v>
      </c>
      <c r="BB17"/>
      <c r="BC17" s="250">
        <v>-0.15991189999999991</v>
      </c>
      <c r="BD17" s="252">
        <f t="shared" si="31"/>
        <v>-0.1267470430942276</v>
      </c>
      <c r="BE17" s="251">
        <f t="shared" si="32"/>
        <v>-9.2827540000000069E-2</v>
      </c>
      <c r="BF17" s="252">
        <f t="shared" si="33"/>
        <v>0.58049175827440069</v>
      </c>
      <c r="BG17" s="253">
        <f t="shared" si="34"/>
        <v>0.58049175827440069</v>
      </c>
      <c r="BH17"/>
      <c r="BI17" s="250">
        <f t="shared" ref="BI17:BI19" si="49">SUM(U17,AO17)</f>
        <v>0.46905114971977874</v>
      </c>
      <c r="BJ17" s="252">
        <f t="shared" si="35"/>
        <v>0.30191441509082256</v>
      </c>
      <c r="BK17" s="250">
        <f t="shared" ref="BK17:BK19" si="50">SUM(W17,AQ17)</f>
        <v>0.19702199931817443</v>
      </c>
      <c r="BL17" s="252">
        <f t="shared" si="36"/>
        <v>0.19776343467449828</v>
      </c>
      <c r="BM17" s="251">
        <f t="shared" si="37"/>
        <v>0.2720291504016043</v>
      </c>
      <c r="BN17" s="252">
        <f t="shared" si="38"/>
        <v>1.3807044459146891</v>
      </c>
      <c r="BO17" s="253">
        <f t="shared" si="39"/>
        <v>1.3807044459146891</v>
      </c>
      <c r="BP17"/>
      <c r="BQ17" s="250">
        <f t="shared" ref="BQ17:BQ19" si="51">SUM(AC17,AW17)</f>
        <v>0.19702199931817424</v>
      </c>
      <c r="BR17" s="252">
        <f t="shared" si="40"/>
        <v>0.15616070997900422</v>
      </c>
      <c r="BS17" s="251">
        <f t="shared" si="41"/>
        <v>0.27202915040160447</v>
      </c>
      <c r="BT17" s="252">
        <f t="shared" si="42"/>
        <v>1.3807044459146913</v>
      </c>
      <c r="BU17" s="253">
        <f t="shared" si="43"/>
        <v>1.3807044459146913</v>
      </c>
      <c r="BV17"/>
      <c r="BW17" s="250">
        <f t="shared" ref="BW17:BW19" si="52">SUM(AI17,BC17)</f>
        <v>0.33058487999999986</v>
      </c>
      <c r="BX17" s="252">
        <f t="shared" si="44"/>
        <v>0.26202337681973675</v>
      </c>
      <c r="BY17" s="251">
        <f t="shared" si="45"/>
        <v>0.13846626971977888</v>
      </c>
      <c r="BZ17" s="252">
        <f t="shared" si="46"/>
        <v>0.41885239796744161</v>
      </c>
      <c r="CA17" s="253">
        <f t="shared" si="47"/>
        <v>0.41885239796744161</v>
      </c>
      <c r="CC17" s="254">
        <v>1.5535897799999974</v>
      </c>
      <c r="CD17" s="250">
        <f t="shared" si="48"/>
        <v>0</v>
      </c>
    </row>
    <row r="18" spans="2:82" outlineLevel="1" x14ac:dyDescent="0.35">
      <c r="B18" s="249" t="s">
        <v>125</v>
      </c>
      <c r="C18" s="249" t="s">
        <v>126</v>
      </c>
      <c r="D18"/>
      <c r="E18" s="250">
        <v>1.9911228857799945</v>
      </c>
      <c r="F18" s="250">
        <v>1.8918696592547828</v>
      </c>
      <c r="G18" s="251">
        <f t="shared" si="0"/>
        <v>9.9253226525211735E-2</v>
      </c>
      <c r="H18" s="252">
        <f t="shared" si="1"/>
        <v>5.2463036256053863E-2</v>
      </c>
      <c r="I18" s="253">
        <f t="shared" si="2"/>
        <v>5.2463036256053863E-2</v>
      </c>
      <c r="J18"/>
      <c r="K18" s="250">
        <v>1.8196280037159001</v>
      </c>
      <c r="L18" s="251">
        <f t="shared" si="3"/>
        <v>0.17149488206409447</v>
      </c>
      <c r="M18" s="252">
        <f t="shared" si="4"/>
        <v>9.4247220703287171E-2</v>
      </c>
      <c r="N18" s="253">
        <f t="shared" si="5"/>
        <v>9.4247220703287171E-2</v>
      </c>
      <c r="O18"/>
      <c r="P18" s="250">
        <v>1.3780193200000002</v>
      </c>
      <c r="Q18" s="251">
        <f t="shared" si="6"/>
        <v>0.61310356577999436</v>
      </c>
      <c r="R18" s="252">
        <f t="shared" si="7"/>
        <v>0.44491652394249037</v>
      </c>
      <c r="S18" s="253">
        <f t="shared" si="8"/>
        <v>0.44491652394249037</v>
      </c>
      <c r="T18"/>
      <c r="U18" s="250">
        <v>1.831018617162548</v>
      </c>
      <c r="V18" s="252">
        <f t="shared" si="9"/>
        <v>0.91959096559993181</v>
      </c>
      <c r="W18" s="250">
        <v>1.0618930104402751</v>
      </c>
      <c r="X18" s="252">
        <f t="shared" si="10"/>
        <v>0.5612929015725957</v>
      </c>
      <c r="Y18" s="251">
        <f t="shared" si="11"/>
        <v>0.76912560672227293</v>
      </c>
      <c r="Z18" s="252">
        <f t="shared" si="12"/>
        <v>0.72429670330289042</v>
      </c>
      <c r="AA18" s="253">
        <f t="shared" si="13"/>
        <v>0.72429670330289042</v>
      </c>
      <c r="AB18"/>
      <c r="AC18" s="250">
        <v>1.5067683179750357</v>
      </c>
      <c r="AD18" s="252">
        <f t="shared" si="14"/>
        <v>1.0934304738013656</v>
      </c>
      <c r="AE18" s="251">
        <f t="shared" si="15"/>
        <v>0.32425029918751225</v>
      </c>
      <c r="AF18" s="252">
        <f t="shared" si="16"/>
        <v>0.21519585680118114</v>
      </c>
      <c r="AG18" s="253">
        <f t="shared" si="17"/>
        <v>0.21519585680118114</v>
      </c>
      <c r="AH18"/>
      <c r="AI18" s="250">
        <v>0.79014489999999993</v>
      </c>
      <c r="AJ18" s="252">
        <f t="shared" si="18"/>
        <v>0.57339174315785346</v>
      </c>
      <c r="AK18" s="251">
        <f t="shared" si="19"/>
        <v>1.040873717162548</v>
      </c>
      <c r="AL18" s="252">
        <f t="shared" si="20"/>
        <v>1.3173200474527498</v>
      </c>
      <c r="AM18" s="253">
        <f t="shared" si="21"/>
        <v>1.3173200474527498</v>
      </c>
      <c r="AN18"/>
      <c r="AO18" s="250">
        <v>-0.57303569000000021</v>
      </c>
      <c r="AP18" s="252">
        <f t="shared" si="22"/>
        <v>-0.28779524061144096</v>
      </c>
      <c r="AQ18" s="250">
        <v>-3.0000000000000001E-3</v>
      </c>
      <c r="AR18" s="252">
        <f t="shared" si="23"/>
        <v>-1.585732920512989E-3</v>
      </c>
      <c r="AS18" s="251">
        <f t="shared" si="24"/>
        <v>-0.57003569000000021</v>
      </c>
      <c r="AT18" s="252">
        <f t="shared" si="25"/>
        <v>190.01189666666673</v>
      </c>
      <c r="AU18" s="253">
        <f t="shared" si="26"/>
        <v>190.01189666666673</v>
      </c>
      <c r="AV18"/>
      <c r="AW18" s="250">
        <v>-0.52011696307364297</v>
      </c>
      <c r="AX18" s="252">
        <f t="shared" si="27"/>
        <v>-0.37743807762698345</v>
      </c>
      <c r="AY18" s="251">
        <f t="shared" si="28"/>
        <v>-5.291872692635724E-2</v>
      </c>
      <c r="AZ18" s="252">
        <f t="shared" si="29"/>
        <v>0.10174389739883272</v>
      </c>
      <c r="BA18" s="253">
        <f t="shared" si="30"/>
        <v>0.10174389739883272</v>
      </c>
      <c r="BB18"/>
      <c r="BC18" s="250">
        <v>0</v>
      </c>
      <c r="BD18" s="252">
        <f t="shared" si="31"/>
        <v>0</v>
      </c>
      <c r="BE18" s="251">
        <f t="shared" si="32"/>
        <v>-0.57303569000000021</v>
      </c>
      <c r="BF18" s="252">
        <f t="shared" si="33"/>
        <v>0</v>
      </c>
      <c r="BG18" s="253">
        <f t="shared" si="34"/>
        <v>0</v>
      </c>
      <c r="BH18"/>
      <c r="BI18" s="250">
        <f t="shared" si="49"/>
        <v>1.2579829271625478</v>
      </c>
      <c r="BJ18" s="252">
        <f t="shared" si="35"/>
        <v>0.6317957249884909</v>
      </c>
      <c r="BK18" s="250">
        <f t="shared" si="50"/>
        <v>1.0588930104402752</v>
      </c>
      <c r="BL18" s="252">
        <f t="shared" si="36"/>
        <v>0.55970716865208281</v>
      </c>
      <c r="BM18" s="251">
        <f t="shared" si="37"/>
        <v>0.19908991672227261</v>
      </c>
      <c r="BN18" s="252">
        <f t="shared" si="38"/>
        <v>0.1880170279332502</v>
      </c>
      <c r="BO18" s="253">
        <f t="shared" si="39"/>
        <v>0.1880170279332502</v>
      </c>
      <c r="BP18"/>
      <c r="BQ18" s="250">
        <f t="shared" si="51"/>
        <v>0.98665135490139277</v>
      </c>
      <c r="BR18" s="252">
        <f t="shared" si="40"/>
        <v>0.71599239617438215</v>
      </c>
      <c r="BS18" s="251">
        <f t="shared" si="41"/>
        <v>0.27133157226115501</v>
      </c>
      <c r="BT18" s="252">
        <f t="shared" si="42"/>
        <v>0.2750024828053596</v>
      </c>
      <c r="BU18" s="253">
        <f t="shared" si="43"/>
        <v>0.2750024828053596</v>
      </c>
      <c r="BV18"/>
      <c r="BW18" s="250">
        <f t="shared" si="52"/>
        <v>0.79014489999999993</v>
      </c>
      <c r="BX18" s="252">
        <f t="shared" si="44"/>
        <v>0.57339174315785346</v>
      </c>
      <c r="BY18" s="251">
        <f t="shared" si="45"/>
        <v>0.46783802716254785</v>
      </c>
      <c r="BZ18" s="252">
        <f t="shared" si="46"/>
        <v>0.59209143432115796</v>
      </c>
      <c r="CA18" s="253">
        <f t="shared" si="47"/>
        <v>0.59209143432115796</v>
      </c>
      <c r="CC18" s="254">
        <v>1.991122885779995</v>
      </c>
      <c r="CD18" s="250">
        <f t="shared" si="48"/>
        <v>0</v>
      </c>
    </row>
    <row r="19" spans="2:82" outlineLevel="1" x14ac:dyDescent="0.35">
      <c r="B19" s="249" t="s">
        <v>127</v>
      </c>
      <c r="C19" s="249" t="s">
        <v>128</v>
      </c>
      <c r="D19"/>
      <c r="E19" s="250">
        <v>0.25000181999999982</v>
      </c>
      <c r="F19" s="250">
        <v>0.29791931266952149</v>
      </c>
      <c r="G19" s="251">
        <f t="shared" si="0"/>
        <v>-4.7917492669521666E-2</v>
      </c>
      <c r="H19" s="252">
        <f t="shared" si="1"/>
        <v>-0.16084050490098978</v>
      </c>
      <c r="I19" s="253">
        <f t="shared" si="2"/>
        <v>-0.16084050490098978</v>
      </c>
      <c r="J19"/>
      <c r="K19" s="250">
        <v>0.23302419270514099</v>
      </c>
      <c r="L19" s="251">
        <f t="shared" si="3"/>
        <v>1.6977627294858827E-2</v>
      </c>
      <c r="M19" s="252">
        <f t="shared" si="4"/>
        <v>7.2857788274119706E-2</v>
      </c>
      <c r="N19" s="253">
        <f t="shared" si="5"/>
        <v>7.2857788274119706E-2</v>
      </c>
      <c r="O19"/>
      <c r="P19" s="250">
        <v>0.25623264000000007</v>
      </c>
      <c r="Q19" s="251">
        <f t="shared" si="6"/>
        <v>-6.2308200000002478E-3</v>
      </c>
      <c r="R19" s="252">
        <f t="shared" si="7"/>
        <v>-2.431704251261757E-2</v>
      </c>
      <c r="S19" s="253">
        <f t="shared" si="8"/>
        <v>-2.431704251261757E-2</v>
      </c>
      <c r="T19"/>
      <c r="U19" s="250">
        <v>5.5920293697261807E-2</v>
      </c>
      <c r="V19" s="252">
        <f t="shared" si="9"/>
        <v>0.22367954640194959</v>
      </c>
      <c r="W19" s="250">
        <v>9.2293094886909052E-2</v>
      </c>
      <c r="X19" s="252">
        <f t="shared" si="10"/>
        <v>0.30979225233809776</v>
      </c>
      <c r="Y19" s="251">
        <f t="shared" si="11"/>
        <v>-3.6372801189647246E-2</v>
      </c>
      <c r="Z19" s="252">
        <f t="shared" si="12"/>
        <v>-0.39410100218457844</v>
      </c>
      <c r="AA19" s="253">
        <f t="shared" si="13"/>
        <v>-0.39410100218457844</v>
      </c>
      <c r="AB19"/>
      <c r="AC19" s="250">
        <v>2.7397974922528431E-2</v>
      </c>
      <c r="AD19" s="252">
        <f t="shared" si="14"/>
        <v>0.10692617038379039</v>
      </c>
      <c r="AE19" s="251">
        <f t="shared" si="15"/>
        <v>2.8522318774733376E-2</v>
      </c>
      <c r="AF19" s="252">
        <f t="shared" si="16"/>
        <v>1.041037480156259</v>
      </c>
      <c r="AG19" s="253">
        <f t="shared" si="17"/>
        <v>1.041037480156259</v>
      </c>
      <c r="AH19"/>
      <c r="AI19" s="250">
        <v>6.8350140000000073E-2</v>
      </c>
      <c r="AJ19" s="252">
        <f t="shared" si="18"/>
        <v>0.26675032501714091</v>
      </c>
      <c r="AK19" s="251">
        <f t="shared" si="19"/>
        <v>-1.2429846302738266E-2</v>
      </c>
      <c r="AL19" s="252">
        <f t="shared" si="20"/>
        <v>-0.18185546222346072</v>
      </c>
      <c r="AM19" s="253">
        <f t="shared" si="21"/>
        <v>-0.18185546222346072</v>
      </c>
      <c r="AN19"/>
      <c r="AO19" s="250">
        <v>0</v>
      </c>
      <c r="AP19" s="252">
        <f t="shared" si="22"/>
        <v>0</v>
      </c>
      <c r="AQ19" s="250">
        <v>0</v>
      </c>
      <c r="AR19" s="252">
        <f t="shared" si="23"/>
        <v>0</v>
      </c>
      <c r="AS19" s="251">
        <f t="shared" si="24"/>
        <v>0</v>
      </c>
      <c r="AT19" s="252">
        <f t="shared" si="25"/>
        <v>0</v>
      </c>
      <c r="AU19" s="253">
        <f t="shared" si="26"/>
        <v>0</v>
      </c>
      <c r="AV19"/>
      <c r="AW19" s="250">
        <v>0</v>
      </c>
      <c r="AX19" s="252">
        <f t="shared" si="27"/>
        <v>0</v>
      </c>
      <c r="AY19" s="251">
        <f t="shared" si="28"/>
        <v>0</v>
      </c>
      <c r="AZ19" s="252">
        <f t="shared" si="29"/>
        <v>0</v>
      </c>
      <c r="BA19" s="253">
        <f t="shared" si="30"/>
        <v>0</v>
      </c>
      <c r="BB19"/>
      <c r="BC19" s="250">
        <v>0</v>
      </c>
      <c r="BD19" s="252">
        <f t="shared" si="31"/>
        <v>0</v>
      </c>
      <c r="BE19" s="251">
        <f t="shared" si="32"/>
        <v>0</v>
      </c>
      <c r="BF19" s="252">
        <f t="shared" si="33"/>
        <v>0</v>
      </c>
      <c r="BG19" s="253">
        <f t="shared" si="34"/>
        <v>0</v>
      </c>
      <c r="BH19"/>
      <c r="BI19" s="250">
        <f t="shared" si="49"/>
        <v>5.5920293697261807E-2</v>
      </c>
      <c r="BJ19" s="252">
        <f t="shared" si="35"/>
        <v>0.22367954640194959</v>
      </c>
      <c r="BK19" s="250">
        <f t="shared" si="50"/>
        <v>9.2293094886909052E-2</v>
      </c>
      <c r="BL19" s="252">
        <f t="shared" si="36"/>
        <v>0.30979225233809776</v>
      </c>
      <c r="BM19" s="251">
        <f t="shared" si="37"/>
        <v>-3.6372801189647246E-2</v>
      </c>
      <c r="BN19" s="252">
        <f t="shared" si="38"/>
        <v>-0.39410100218457839</v>
      </c>
      <c r="BO19" s="253">
        <f t="shared" si="39"/>
        <v>-0.39410100218457839</v>
      </c>
      <c r="BP19"/>
      <c r="BQ19" s="250">
        <f t="shared" si="51"/>
        <v>2.7397974922528431E-2</v>
      </c>
      <c r="BR19" s="252">
        <f t="shared" si="40"/>
        <v>0.10692617038379039</v>
      </c>
      <c r="BS19" s="251">
        <f t="shared" si="41"/>
        <v>2.8522318774733376E-2</v>
      </c>
      <c r="BT19" s="252">
        <f t="shared" si="42"/>
        <v>1.0410374801562592</v>
      </c>
      <c r="BU19" s="253">
        <f t="shared" si="43"/>
        <v>1.0410374801562592</v>
      </c>
      <c r="BV19"/>
      <c r="BW19" s="250">
        <f t="shared" si="52"/>
        <v>6.8350140000000073E-2</v>
      </c>
      <c r="BX19" s="252">
        <f t="shared" si="44"/>
        <v>0.26675032501714091</v>
      </c>
      <c r="BY19" s="251">
        <f t="shared" si="45"/>
        <v>-1.2429846302738266E-2</v>
      </c>
      <c r="BZ19" s="252">
        <f t="shared" si="46"/>
        <v>-0.18185546222346075</v>
      </c>
      <c r="CA19" s="253">
        <f t="shared" si="47"/>
        <v>-0.18185546222346075</v>
      </c>
      <c r="CC19" s="254">
        <v>0.25000181999999976</v>
      </c>
      <c r="CD19" s="250">
        <f t="shared" si="48"/>
        <v>0</v>
      </c>
    </row>
    <row r="20" spans="2:82" x14ac:dyDescent="0.35">
      <c r="B20" s="244" t="s">
        <v>129</v>
      </c>
      <c r="C20" s="244" t="s">
        <v>130</v>
      </c>
      <c r="D20"/>
      <c r="E20" s="245">
        <f>SUM(E21,E26:E28)</f>
        <v>10.877396346352006</v>
      </c>
      <c r="F20" s="245">
        <f>SUM(F21,F26:F28)</f>
        <v>11.68860849709756</v>
      </c>
      <c r="G20" s="246">
        <f t="shared" si="0"/>
        <v>-0.81121215074555408</v>
      </c>
      <c r="H20" s="247">
        <f t="shared" si="1"/>
        <v>-6.94019438624357E-2</v>
      </c>
      <c r="I20" s="248">
        <f t="shared" si="2"/>
        <v>-6.94019438624357E-2</v>
      </c>
      <c r="J20"/>
      <c r="K20" s="245">
        <f>SUM(K21,K26:K28)</f>
        <v>10.888322735286287</v>
      </c>
      <c r="L20" s="246">
        <f t="shared" si="3"/>
        <v>-1.0926388934281661E-2</v>
      </c>
      <c r="M20" s="247">
        <f t="shared" si="4"/>
        <v>-1.0034960571908558E-3</v>
      </c>
      <c r="N20" s="248">
        <f t="shared" si="5"/>
        <v>-1.0034960571908558E-3</v>
      </c>
      <c r="O20"/>
      <c r="P20" s="245">
        <f>SUM(P21,P26:P28)</f>
        <v>9.5936247407041666</v>
      </c>
      <c r="Q20" s="246">
        <f t="shared" si="6"/>
        <v>1.2837716056478392</v>
      </c>
      <c r="R20" s="247">
        <f t="shared" si="7"/>
        <v>0.13381507410864302</v>
      </c>
      <c r="S20" s="248">
        <f t="shared" si="8"/>
        <v>0.13381507410864302</v>
      </c>
      <c r="T20"/>
      <c r="U20" s="245">
        <f>SUM(U21,U26:U28)</f>
        <v>3.966692162644025</v>
      </c>
      <c r="V20" s="247">
        <f t="shared" si="9"/>
        <v>0.36467294528385463</v>
      </c>
      <c r="W20" s="245">
        <f>SUM(W21,W26:W28)</f>
        <v>2.9552578187691045</v>
      </c>
      <c r="X20" s="247">
        <f t="shared" si="10"/>
        <v>0.25283230416203395</v>
      </c>
      <c r="Y20" s="246">
        <f t="shared" si="11"/>
        <v>1.0114343438749205</v>
      </c>
      <c r="Z20" s="247">
        <f t="shared" si="12"/>
        <v>0.3422491051207821</v>
      </c>
      <c r="AA20" s="248">
        <f t="shared" si="13"/>
        <v>0.3422491051207821</v>
      </c>
      <c r="AB20"/>
      <c r="AC20" s="245">
        <f>SUM(AC21,AC26:AC28)</f>
        <v>4.4701459792486693</v>
      </c>
      <c r="AD20" s="247">
        <f t="shared" si="14"/>
        <v>0.46594963843880383</v>
      </c>
      <c r="AE20" s="246">
        <f t="shared" si="15"/>
        <v>-0.50345381660464428</v>
      </c>
      <c r="AF20" s="247">
        <f t="shared" si="16"/>
        <v>-0.11262581109023728</v>
      </c>
      <c r="AG20" s="248">
        <f t="shared" si="17"/>
        <v>-0.11262581109023728</v>
      </c>
      <c r="AH20"/>
      <c r="AI20" s="245">
        <f>SUM(AI21,AI26:AI28)</f>
        <v>2.9455479952657195</v>
      </c>
      <c r="AJ20" s="247">
        <f t="shared" si="18"/>
        <v>0.30703181277961034</v>
      </c>
      <c r="AK20" s="246">
        <f t="shared" si="19"/>
        <v>1.0211441673783055</v>
      </c>
      <c r="AL20" s="247">
        <f t="shared" si="20"/>
        <v>0.34667374933953088</v>
      </c>
      <c r="AM20" s="248">
        <f t="shared" si="21"/>
        <v>0.34667374933953088</v>
      </c>
      <c r="AN20"/>
      <c r="AO20" s="245">
        <f>SUM(AO21,AO26:AO28)</f>
        <v>-2.8066252099999978</v>
      </c>
      <c r="AP20" s="247">
        <f t="shared" si="22"/>
        <v>-0.25802362262374179</v>
      </c>
      <c r="AQ20" s="245">
        <f>SUM(AQ21,AQ26:AQ28)</f>
        <v>0</v>
      </c>
      <c r="AR20" s="247">
        <f t="shared" si="23"/>
        <v>0</v>
      </c>
      <c r="AS20" s="246">
        <f t="shared" si="24"/>
        <v>-2.8066252099999978</v>
      </c>
      <c r="AT20" s="247">
        <f t="shared" si="25"/>
        <v>0</v>
      </c>
      <c r="AU20" s="248">
        <f t="shared" si="26"/>
        <v>0</v>
      </c>
      <c r="AV20"/>
      <c r="AW20" s="245">
        <f>SUM(AW21,AW26:AW28)</f>
        <v>-2.8348305113551531</v>
      </c>
      <c r="AX20" s="247">
        <f t="shared" si="27"/>
        <v>-0.29549107745766157</v>
      </c>
      <c r="AY20" s="246">
        <f t="shared" si="28"/>
        <v>2.820530135515531E-2</v>
      </c>
      <c r="AZ20" s="247">
        <f t="shared" si="29"/>
        <v>-9.9495547413422925E-3</v>
      </c>
      <c r="BA20" s="248">
        <f t="shared" si="30"/>
        <v>-9.9495547413422925E-3</v>
      </c>
      <c r="BB20"/>
      <c r="BC20" s="245">
        <f>SUM(BC21,BC26:BC28)</f>
        <v>-0.64985168999999998</v>
      </c>
      <c r="BD20" s="247">
        <f t="shared" si="31"/>
        <v>-6.7737868382821614E-2</v>
      </c>
      <c r="BE20" s="246">
        <f t="shared" si="32"/>
        <v>-2.156773519999998</v>
      </c>
      <c r="BF20" s="247">
        <f t="shared" si="33"/>
        <v>3.3188703717920589</v>
      </c>
      <c r="BG20" s="248">
        <f t="shared" si="34"/>
        <v>3.3188703717920589</v>
      </c>
      <c r="BH20"/>
      <c r="BI20" s="245">
        <f>SUM(BI21,BI26:BI28)</f>
        <v>1.1600669526440275</v>
      </c>
      <c r="BJ20" s="247">
        <f t="shared" si="35"/>
        <v>0.10664932266011283</v>
      </c>
      <c r="BK20" s="245">
        <f>SUM(BK21,BK26:BK28)</f>
        <v>2.9552578187691045</v>
      </c>
      <c r="BL20" s="247">
        <f t="shared" si="36"/>
        <v>0.25283230416203395</v>
      </c>
      <c r="BM20" s="246">
        <f t="shared" si="37"/>
        <v>-1.7951908661250771</v>
      </c>
      <c r="BN20" s="247">
        <f t="shared" si="38"/>
        <v>-0.60745659980109368</v>
      </c>
      <c r="BO20" s="248">
        <f t="shared" si="39"/>
        <v>-0.60745659980109368</v>
      </c>
      <c r="BP20"/>
      <c r="BQ20" s="245">
        <f>SUM(BQ21,BQ26:BQ28)</f>
        <v>1.6353154678935162</v>
      </c>
      <c r="BR20" s="247">
        <f t="shared" si="40"/>
        <v>0.17045856098114226</v>
      </c>
      <c r="BS20" s="246">
        <f t="shared" si="41"/>
        <v>-0.47524851524948875</v>
      </c>
      <c r="BT20" s="247">
        <f t="shared" si="42"/>
        <v>-0.29061580140354581</v>
      </c>
      <c r="BU20" s="248">
        <f t="shared" si="43"/>
        <v>-0.29061580140354581</v>
      </c>
      <c r="BV20"/>
      <c r="BW20" s="245">
        <f>SUM(BW21,BW26:BW28)</f>
        <v>2.2956963052657198</v>
      </c>
      <c r="BX20" s="247">
        <f t="shared" si="44"/>
        <v>0.23929394439678875</v>
      </c>
      <c r="BY20" s="246">
        <f t="shared" si="45"/>
        <v>-1.1356293526216923</v>
      </c>
      <c r="BZ20" s="247">
        <f t="shared" si="46"/>
        <v>-0.49467751898056339</v>
      </c>
      <c r="CA20" s="248">
        <f t="shared" si="47"/>
        <v>-0.49467751898056339</v>
      </c>
      <c r="CC20" s="245">
        <f>SUM(CC21,CC26:CC28)</f>
        <v>10.852732334505358</v>
      </c>
      <c r="CD20" s="245">
        <f t="shared" si="48"/>
        <v>2.4664011846647682E-2</v>
      </c>
    </row>
    <row r="21" spans="2:82" hidden="1" outlineLevel="1" x14ac:dyDescent="0.35">
      <c r="B21" s="255" t="s">
        <v>131</v>
      </c>
      <c r="C21" s="249" t="s">
        <v>132</v>
      </c>
      <c r="D21"/>
      <c r="E21" s="250">
        <f>SUM(E22:E25)</f>
        <v>5.1639921949432335</v>
      </c>
      <c r="F21" s="250">
        <f>SUM(F22:F25)</f>
        <v>5.6337033181657743</v>
      </c>
      <c r="G21" s="251">
        <f t="shared" si="0"/>
        <v>-0.46971112322254083</v>
      </c>
      <c r="H21" s="252">
        <f t="shared" si="1"/>
        <v>-8.3375196863485157E-2</v>
      </c>
      <c r="I21" s="253">
        <f t="shared" si="2"/>
        <v>-8.3375196863485157E-2</v>
      </c>
      <c r="J21"/>
      <c r="K21" s="250">
        <f>SUM(K22:K25)</f>
        <v>5.1763958242862911</v>
      </c>
      <c r="L21" s="251">
        <f t="shared" si="3"/>
        <v>-1.2403629343057609E-2</v>
      </c>
      <c r="M21" s="252">
        <f t="shared" si="4"/>
        <v>-2.3961902768067089E-3</v>
      </c>
      <c r="N21" s="253">
        <f t="shared" si="5"/>
        <v>-2.3961902768067089E-3</v>
      </c>
      <c r="O21"/>
      <c r="P21" s="250">
        <f>SUM(P22:P25)</f>
        <v>5.0638424159091668</v>
      </c>
      <c r="Q21" s="251">
        <f t="shared" si="6"/>
        <v>0.10014977903406663</v>
      </c>
      <c r="R21" s="252">
        <f t="shared" si="7"/>
        <v>1.977742804938476E-2</v>
      </c>
      <c r="S21" s="253">
        <f t="shared" si="8"/>
        <v>1.977742804938476E-2</v>
      </c>
      <c r="T21"/>
      <c r="U21" s="250">
        <f>SUM(U22:U25)</f>
        <v>0.74574553420006806</v>
      </c>
      <c r="V21" s="252">
        <f t="shared" si="9"/>
        <v>0.14441259902180503</v>
      </c>
      <c r="W21" s="250">
        <f>SUM(W22:W25)</f>
        <v>-0.57963330164562366</v>
      </c>
      <c r="X21" s="252">
        <f t="shared" si="10"/>
        <v>-0.10288672812723498</v>
      </c>
      <c r="Y21" s="251">
        <f t="shared" si="11"/>
        <v>1.3253788358456917</v>
      </c>
      <c r="Z21" s="252">
        <f t="shared" si="12"/>
        <v>-2.2865815888818655</v>
      </c>
      <c r="AA21" s="253">
        <f t="shared" si="13"/>
        <v>-2.2865815888818655</v>
      </c>
      <c r="AB21"/>
      <c r="AC21" s="250">
        <f>SUM(AC22:AC25)</f>
        <v>1.0144255902038946</v>
      </c>
      <c r="AD21" s="252">
        <f t="shared" si="14"/>
        <v>0.20032724300757365</v>
      </c>
      <c r="AE21" s="251">
        <f t="shared" si="15"/>
        <v>-0.2686800560038265</v>
      </c>
      <c r="AF21" s="252">
        <f t="shared" si="16"/>
        <v>-0.26485930421946779</v>
      </c>
      <c r="AG21" s="253">
        <f t="shared" si="17"/>
        <v>-0.26485930421946779</v>
      </c>
      <c r="AH21"/>
      <c r="AI21" s="250">
        <f>SUM(AI22:AI25)</f>
        <v>0.33389956248096914</v>
      </c>
      <c r="AJ21" s="252">
        <f t="shared" si="18"/>
        <v>6.5937984450691184E-2</v>
      </c>
      <c r="AK21" s="251">
        <f t="shared" si="19"/>
        <v>0.41184597171909892</v>
      </c>
      <c r="AL21" s="252">
        <f t="shared" si="20"/>
        <v>1.2334426815625803</v>
      </c>
      <c r="AM21" s="253">
        <f t="shared" si="21"/>
        <v>1.2334426815625803</v>
      </c>
      <c r="AN21"/>
      <c r="AO21" s="250">
        <f>SUM(AO22:AO25)</f>
        <v>-2.5025257199999977</v>
      </c>
      <c r="AP21" s="252">
        <f t="shared" si="22"/>
        <v>-0.48461067049066431</v>
      </c>
      <c r="AQ21" s="250">
        <f>SUM(AQ22:AQ25)</f>
        <v>0</v>
      </c>
      <c r="AR21" s="252">
        <f t="shared" si="23"/>
        <v>0</v>
      </c>
      <c r="AS21" s="251">
        <f t="shared" si="24"/>
        <v>-2.5025257199999977</v>
      </c>
      <c r="AT21" s="252">
        <f t="shared" si="25"/>
        <v>0</v>
      </c>
      <c r="AU21" s="253">
        <f t="shared" si="26"/>
        <v>0</v>
      </c>
      <c r="AV21"/>
      <c r="AW21" s="250">
        <f>SUM(AW22:AW25)</f>
        <v>-2.57102297479332</v>
      </c>
      <c r="AX21" s="252">
        <f t="shared" si="27"/>
        <v>-0.50772175822768295</v>
      </c>
      <c r="AY21" s="251">
        <f t="shared" si="28"/>
        <v>6.8497254793322249E-2</v>
      </c>
      <c r="AZ21" s="252">
        <f t="shared" si="29"/>
        <v>-2.6642023608843379E-2</v>
      </c>
      <c r="BA21" s="253">
        <f t="shared" si="30"/>
        <v>-2.6642023608843379E-2</v>
      </c>
      <c r="BB21"/>
      <c r="BC21" s="250">
        <f>SUM(BC22:BC25)</f>
        <v>-0.43206322000000003</v>
      </c>
      <c r="BD21" s="252">
        <f t="shared" si="31"/>
        <v>-8.5323196204245819E-2</v>
      </c>
      <c r="BE21" s="251">
        <f t="shared" si="32"/>
        <v>-2.0704624999999979</v>
      </c>
      <c r="BF21" s="252">
        <f t="shared" si="33"/>
        <v>4.7920359895480056</v>
      </c>
      <c r="BG21" s="253">
        <f t="shared" si="34"/>
        <v>4.7920359895480056</v>
      </c>
      <c r="BH21"/>
      <c r="BI21" s="250">
        <f>SUM(BI22:BI25)</f>
        <v>-1.7567801857999299</v>
      </c>
      <c r="BJ21" s="252">
        <f t="shared" si="35"/>
        <v>-0.34019807146885933</v>
      </c>
      <c r="BK21" s="250">
        <f>SUM(BK22:BK25)</f>
        <v>-0.57963330164562366</v>
      </c>
      <c r="BL21" s="252">
        <f t="shared" si="36"/>
        <v>-0.10288672812723498</v>
      </c>
      <c r="BM21" s="251">
        <f t="shared" si="37"/>
        <v>-1.1771468841543062</v>
      </c>
      <c r="BN21" s="252">
        <f t="shared" si="38"/>
        <v>-2.030847573478431</v>
      </c>
      <c r="BO21" s="253">
        <f t="shared" si="39"/>
        <v>-2.030847573478431</v>
      </c>
      <c r="BP21"/>
      <c r="BQ21" s="250">
        <f>SUM(BQ22:BQ25)</f>
        <v>-1.5565973845894259</v>
      </c>
      <c r="BR21" s="252">
        <f t="shared" si="40"/>
        <v>-0.30739451522010941</v>
      </c>
      <c r="BS21" s="251">
        <f t="shared" si="41"/>
        <v>-0.20018280121050402</v>
      </c>
      <c r="BT21" s="252">
        <f t="shared" si="42"/>
        <v>-0.12860281225726525</v>
      </c>
      <c r="BU21" s="253">
        <f t="shared" si="43"/>
        <v>-0.12860281225726525</v>
      </c>
      <c r="BV21"/>
      <c r="BW21" s="250">
        <f>SUM(BW22:BW25)</f>
        <v>-9.8163657519030834E-2</v>
      </c>
      <c r="BX21" s="252">
        <f t="shared" si="44"/>
        <v>-1.9385211753554624E-2</v>
      </c>
      <c r="BY21" s="251">
        <f t="shared" si="45"/>
        <v>-1.6586165282808991</v>
      </c>
      <c r="BZ21" s="252">
        <f t="shared" si="46"/>
        <v>-16.896441821754102</v>
      </c>
      <c r="CA21" s="253">
        <f t="shared" si="47"/>
        <v>-16.896441821754102</v>
      </c>
      <c r="CC21" s="250">
        <f>SUM(CC22:CC25)</f>
        <v>5.1639926930965911</v>
      </c>
      <c r="CD21" s="250">
        <f t="shared" si="48"/>
        <v>-4.9815335767533497E-7</v>
      </c>
    </row>
    <row r="22" spans="2:82" hidden="1" outlineLevel="2" x14ac:dyDescent="0.35">
      <c r="B22" s="249" t="s">
        <v>133</v>
      </c>
      <c r="C22" s="249" t="s">
        <v>134</v>
      </c>
      <c r="D22"/>
      <c r="E22" s="250">
        <v>3.6143312418050004</v>
      </c>
      <c r="F22" s="250">
        <v>3.868068985831445</v>
      </c>
      <c r="G22" s="251">
        <f t="shared" si="0"/>
        <v>-0.25373774402644456</v>
      </c>
      <c r="H22" s="252">
        <f t="shared" si="1"/>
        <v>-6.559803999253222E-2</v>
      </c>
      <c r="I22" s="253">
        <f t="shared" si="2"/>
        <v>-6.559803999253222E-2</v>
      </c>
      <c r="J22"/>
      <c r="K22" s="250">
        <v>3.6109241466724402</v>
      </c>
      <c r="L22" s="251">
        <f t="shared" si="3"/>
        <v>3.4070951325602117E-3</v>
      </c>
      <c r="M22" s="252">
        <f t="shared" si="4"/>
        <v>9.4355211966989927E-4</v>
      </c>
      <c r="N22" s="253">
        <f t="shared" si="5"/>
        <v>9.4355211966989927E-4</v>
      </c>
      <c r="O22"/>
      <c r="P22" s="250">
        <v>3.3344302460657418</v>
      </c>
      <c r="Q22" s="251">
        <f t="shared" si="6"/>
        <v>0.27990099573925864</v>
      </c>
      <c r="R22" s="252">
        <f t="shared" si="7"/>
        <v>8.3942675384951038E-2</v>
      </c>
      <c r="S22" s="253">
        <f t="shared" si="8"/>
        <v>8.3942675384951038E-2</v>
      </c>
      <c r="T22"/>
      <c r="U22" s="250">
        <v>0.45272733764827194</v>
      </c>
      <c r="V22" s="252">
        <f t="shared" si="9"/>
        <v>0.12525895037284393</v>
      </c>
      <c r="W22" s="250">
        <v>-1.2447401399735967</v>
      </c>
      <c r="X22" s="252">
        <f t="shared" si="10"/>
        <v>-0.32179884705599132</v>
      </c>
      <c r="Y22" s="251">
        <f t="shared" si="11"/>
        <v>1.6974674776218686</v>
      </c>
      <c r="Z22" s="252">
        <f t="shared" si="12"/>
        <v>-1.3637123308788572</v>
      </c>
      <c r="AA22" s="253">
        <f t="shared" si="13"/>
        <v>-1.3637123308788572</v>
      </c>
      <c r="AB22"/>
      <c r="AC22" s="250">
        <v>0.54948140659639988</v>
      </c>
      <c r="AD22" s="252">
        <f t="shared" si="14"/>
        <v>0.1647901938403801</v>
      </c>
      <c r="AE22" s="251">
        <f t="shared" si="15"/>
        <v>-9.6754068948127936E-2</v>
      </c>
      <c r="AF22" s="252">
        <f t="shared" si="16"/>
        <v>-0.17608251669049624</v>
      </c>
      <c r="AG22" s="253">
        <f t="shared" si="17"/>
        <v>-0.17608251669049624</v>
      </c>
      <c r="AH22"/>
      <c r="AI22" s="250">
        <v>-0.22413883913650354</v>
      </c>
      <c r="AJ22" s="252">
        <f t="shared" si="18"/>
        <v>-6.7219531552942968E-2</v>
      </c>
      <c r="AK22" s="251">
        <f t="shared" si="19"/>
        <v>0.67686617678477545</v>
      </c>
      <c r="AL22" s="252">
        <f t="shared" si="20"/>
        <v>-3.0198522460114776</v>
      </c>
      <c r="AM22" s="253">
        <f t="shared" si="21"/>
        <v>-3.0198522460114776</v>
      </c>
      <c r="AN22"/>
      <c r="AO22" s="250">
        <v>-2.5025257199999977</v>
      </c>
      <c r="AP22" s="252">
        <f t="shared" si="22"/>
        <v>-0.69238969883408752</v>
      </c>
      <c r="AQ22" s="250">
        <v>0</v>
      </c>
      <c r="AR22" s="252">
        <f t="shared" si="23"/>
        <v>0</v>
      </c>
      <c r="AS22" s="251">
        <f t="shared" si="24"/>
        <v>-2.5025257199999977</v>
      </c>
      <c r="AT22" s="252">
        <f t="shared" si="25"/>
        <v>0</v>
      </c>
      <c r="AU22" s="253">
        <f t="shared" si="26"/>
        <v>0</v>
      </c>
      <c r="AV22"/>
      <c r="AW22" s="250">
        <v>-2.57102297479332</v>
      </c>
      <c r="AX22" s="252">
        <f t="shared" si="27"/>
        <v>-0.77105315902974492</v>
      </c>
      <c r="AY22" s="251">
        <f t="shared" si="28"/>
        <v>6.8497254793322249E-2</v>
      </c>
      <c r="AZ22" s="252">
        <f t="shared" si="29"/>
        <v>-2.6642023608843379E-2</v>
      </c>
      <c r="BA22" s="253">
        <f t="shared" si="30"/>
        <v>-2.6642023608843379E-2</v>
      </c>
      <c r="BB22"/>
      <c r="BC22" s="250">
        <v>-0.43206322000000003</v>
      </c>
      <c r="BD22" s="252">
        <f t="shared" si="31"/>
        <v>-0.12957632582351566</v>
      </c>
      <c r="BE22" s="251">
        <f t="shared" si="32"/>
        <v>-2.0704624999999979</v>
      </c>
      <c r="BF22" s="252">
        <f t="shared" si="33"/>
        <v>4.7920359895480056</v>
      </c>
      <c r="BG22" s="253">
        <f t="shared" si="34"/>
        <v>4.7920359895480056</v>
      </c>
      <c r="BH22"/>
      <c r="BI22" s="250">
        <f>SUM(U22,AO22)</f>
        <v>-2.0497983823517258</v>
      </c>
      <c r="BJ22" s="252">
        <f t="shared" si="35"/>
        <v>-0.56713074846124356</v>
      </c>
      <c r="BK22" s="250">
        <f>SUM(W22,AQ22)</f>
        <v>-1.2447401399735967</v>
      </c>
      <c r="BL22" s="252">
        <f t="shared" si="36"/>
        <v>-0.32179884705599132</v>
      </c>
      <c r="BM22" s="251">
        <f t="shared" si="37"/>
        <v>-0.80505824237812917</v>
      </c>
      <c r="BN22" s="252">
        <f t="shared" si="38"/>
        <v>-0.64676812173439346</v>
      </c>
      <c r="BO22" s="253">
        <f t="shared" si="39"/>
        <v>-0.64676812173439346</v>
      </c>
      <c r="BP22"/>
      <c r="BQ22" s="250">
        <f>SUM(AC22,AW22)</f>
        <v>-2.0215415681969202</v>
      </c>
      <c r="BR22" s="252">
        <f t="shared" si="40"/>
        <v>-0.60626296518936484</v>
      </c>
      <c r="BS22" s="251">
        <f t="shared" si="41"/>
        <v>-2.8256814154805632E-2</v>
      </c>
      <c r="BT22" s="252">
        <f t="shared" si="42"/>
        <v>-1.3977854623097767E-2</v>
      </c>
      <c r="BU22" s="253">
        <f t="shared" si="43"/>
        <v>-1.3977854623097767E-2</v>
      </c>
      <c r="BV22"/>
      <c r="BW22" s="250">
        <f>SUM(AI22,BC22)</f>
        <v>-0.65620205913650353</v>
      </c>
      <c r="BX22" s="252">
        <f t="shared" si="44"/>
        <v>-0.1967958573764586</v>
      </c>
      <c r="BY22" s="251">
        <f t="shared" si="45"/>
        <v>-1.3935963232152222</v>
      </c>
      <c r="BZ22" s="252">
        <f t="shared" si="46"/>
        <v>-2.1237304940021917</v>
      </c>
      <c r="CA22" s="253">
        <f t="shared" si="47"/>
        <v>-2.1237304940021917</v>
      </c>
      <c r="CC22" s="250">
        <v>3.6143317399583599</v>
      </c>
      <c r="CD22" s="250">
        <f t="shared" si="48"/>
        <v>-4.9815335945169181E-7</v>
      </c>
    </row>
    <row r="23" spans="2:82" hidden="1" outlineLevel="2" x14ac:dyDescent="0.35">
      <c r="B23" s="249" t="s">
        <v>135</v>
      </c>
      <c r="C23" s="249" t="s">
        <v>136</v>
      </c>
      <c r="D23"/>
      <c r="E23" s="250">
        <v>0.37492861729123955</v>
      </c>
      <c r="F23" s="250">
        <v>0.29148619565982742</v>
      </c>
      <c r="G23" s="251">
        <f t="shared" si="0"/>
        <v>8.3442421631412134E-2</v>
      </c>
      <c r="H23" s="252">
        <f t="shared" si="1"/>
        <v>0.28626543168717244</v>
      </c>
      <c r="I23" s="253">
        <f t="shared" si="2"/>
        <v>0.28626543168717244</v>
      </c>
      <c r="J23"/>
      <c r="K23" s="250">
        <v>0.465065172834216</v>
      </c>
      <c r="L23" s="251">
        <f t="shared" si="3"/>
        <v>-9.0136555542976449E-2</v>
      </c>
      <c r="M23" s="252">
        <f t="shared" si="4"/>
        <v>-0.1938148904887097</v>
      </c>
      <c r="N23" s="253">
        <f t="shared" si="5"/>
        <v>-0.1938148904887097</v>
      </c>
      <c r="O23"/>
      <c r="P23" s="250">
        <v>0.31884300979500002</v>
      </c>
      <c r="Q23" s="251">
        <f t="shared" si="6"/>
        <v>5.6085607496239531E-2</v>
      </c>
      <c r="R23" s="252">
        <f t="shared" si="7"/>
        <v>0.17590351920307024</v>
      </c>
      <c r="S23" s="253">
        <f t="shared" si="8"/>
        <v>0.17590351920307024</v>
      </c>
      <c r="T23"/>
      <c r="U23" s="250">
        <v>0.19805047489594335</v>
      </c>
      <c r="V23" s="252">
        <f t="shared" si="9"/>
        <v>0.52823515133842236</v>
      </c>
      <c r="W23" s="250">
        <v>0.1371986859886154</v>
      </c>
      <c r="X23" s="252">
        <f t="shared" si="10"/>
        <v>0.47068673587798349</v>
      </c>
      <c r="Y23" s="251">
        <f t="shared" si="11"/>
        <v>6.0851788907327953E-2</v>
      </c>
      <c r="Z23" s="252">
        <f t="shared" si="12"/>
        <v>0.4435304060592633</v>
      </c>
      <c r="AA23" s="253">
        <f t="shared" si="13"/>
        <v>0.4435304060592633</v>
      </c>
      <c r="AB23"/>
      <c r="AC23" s="250">
        <v>0.31077766316300398</v>
      </c>
      <c r="AD23" s="252">
        <f t="shared" si="14"/>
        <v>0.97470433290294911</v>
      </c>
      <c r="AE23" s="251">
        <f t="shared" si="15"/>
        <v>-0.11272718826706063</v>
      </c>
      <c r="AF23" s="252">
        <f t="shared" si="16"/>
        <v>-0.36272615965946953</v>
      </c>
      <c r="AG23" s="253">
        <f t="shared" si="17"/>
        <v>-0.36272615965946953</v>
      </c>
      <c r="AH23"/>
      <c r="AI23" s="250">
        <v>0.12445425180524834</v>
      </c>
      <c r="AJ23" s="252">
        <f t="shared" si="18"/>
        <v>0.39033081479586507</v>
      </c>
      <c r="AK23" s="251">
        <f t="shared" si="19"/>
        <v>7.3596223090695009E-2</v>
      </c>
      <c r="AL23" s="252">
        <f t="shared" si="20"/>
        <v>0.59135161734660313</v>
      </c>
      <c r="AM23" s="253">
        <f t="shared" si="21"/>
        <v>0.59135161734660313</v>
      </c>
      <c r="AN23"/>
      <c r="AO23" s="250">
        <v>0</v>
      </c>
      <c r="AP23" s="252">
        <f t="shared" si="22"/>
        <v>0</v>
      </c>
      <c r="AQ23" s="250">
        <v>0</v>
      </c>
      <c r="AR23" s="252">
        <f t="shared" si="23"/>
        <v>0</v>
      </c>
      <c r="AS23" s="251">
        <f t="shared" si="24"/>
        <v>0</v>
      </c>
      <c r="AT23" s="252">
        <f t="shared" si="25"/>
        <v>0</v>
      </c>
      <c r="AU23" s="253">
        <f t="shared" si="26"/>
        <v>0</v>
      </c>
      <c r="AV23"/>
      <c r="AW23" s="250">
        <v>0</v>
      </c>
      <c r="AX23" s="252">
        <f t="shared" si="27"/>
        <v>0</v>
      </c>
      <c r="AY23" s="251">
        <f t="shared" si="28"/>
        <v>0</v>
      </c>
      <c r="AZ23" s="252">
        <f t="shared" si="29"/>
        <v>0</v>
      </c>
      <c r="BA23" s="253">
        <f t="shared" si="30"/>
        <v>0</v>
      </c>
      <c r="BB23"/>
      <c r="BC23" s="250">
        <v>0</v>
      </c>
      <c r="BD23" s="252">
        <f t="shared" si="31"/>
        <v>0</v>
      </c>
      <c r="BE23" s="251">
        <f t="shared" si="32"/>
        <v>0</v>
      </c>
      <c r="BF23" s="252">
        <f t="shared" si="33"/>
        <v>0</v>
      </c>
      <c r="BG23" s="253">
        <f t="shared" si="34"/>
        <v>0</v>
      </c>
      <c r="BH23"/>
      <c r="BI23" s="250">
        <f t="shared" ref="BI23:BI29" si="53">SUM(U23,AO23)</f>
        <v>0.19805047489594335</v>
      </c>
      <c r="BJ23" s="252">
        <f t="shared" si="35"/>
        <v>0.52823515133842236</v>
      </c>
      <c r="BK23" s="250">
        <f t="shared" ref="BK23:BK29" si="54">SUM(W23,AQ23)</f>
        <v>0.1371986859886154</v>
      </c>
      <c r="BL23" s="252">
        <f t="shared" si="36"/>
        <v>0.47068673587798349</v>
      </c>
      <c r="BM23" s="251">
        <f t="shared" si="37"/>
        <v>6.0851788907327953E-2</v>
      </c>
      <c r="BN23" s="252">
        <f t="shared" si="38"/>
        <v>0.44353040605926336</v>
      </c>
      <c r="BO23" s="253">
        <f t="shared" si="39"/>
        <v>0.44353040605926336</v>
      </c>
      <c r="BP23"/>
      <c r="BQ23" s="250">
        <f t="shared" ref="BQ23:BQ29" si="55">SUM(AC23,AW23)</f>
        <v>0.31077766316300398</v>
      </c>
      <c r="BR23" s="252">
        <f t="shared" si="40"/>
        <v>0.97470433290294911</v>
      </c>
      <c r="BS23" s="251">
        <f t="shared" si="41"/>
        <v>-0.11272718826706063</v>
      </c>
      <c r="BT23" s="252">
        <f t="shared" si="42"/>
        <v>-0.36272615965946953</v>
      </c>
      <c r="BU23" s="253">
        <f t="shared" si="43"/>
        <v>-0.36272615965946953</v>
      </c>
      <c r="BV23"/>
      <c r="BW23" s="250">
        <f t="shared" ref="BW23:BW29" si="56">SUM(AI23,BC23)</f>
        <v>0.12445425180524834</v>
      </c>
      <c r="BX23" s="252">
        <f t="shared" si="44"/>
        <v>0.39033081479586507</v>
      </c>
      <c r="BY23" s="251">
        <f t="shared" si="45"/>
        <v>7.3596223090695009E-2</v>
      </c>
      <c r="BZ23" s="252">
        <f t="shared" si="46"/>
        <v>0.59135161734660313</v>
      </c>
      <c r="CA23" s="253">
        <f t="shared" si="47"/>
        <v>0.59135161734660313</v>
      </c>
      <c r="CC23" s="250">
        <v>0.37492861729123828</v>
      </c>
      <c r="CD23" s="250">
        <f t="shared" si="48"/>
        <v>1.27675647831893E-15</v>
      </c>
    </row>
    <row r="24" spans="2:82" hidden="1" outlineLevel="2" x14ac:dyDescent="0.35">
      <c r="B24" s="249" t="s">
        <v>137</v>
      </c>
      <c r="C24" s="249" t="s">
        <v>138</v>
      </c>
      <c r="D24"/>
      <c r="E24" s="250">
        <v>0.68215781920699059</v>
      </c>
      <c r="F24" s="250">
        <v>0.88464757864433818</v>
      </c>
      <c r="G24" s="251">
        <f t="shared" si="0"/>
        <v>-0.20248975943734759</v>
      </c>
      <c r="H24" s="252">
        <f t="shared" si="1"/>
        <v>-0.22889313702485825</v>
      </c>
      <c r="I24" s="253">
        <f t="shared" si="2"/>
        <v>-0.22889313702485825</v>
      </c>
      <c r="J24"/>
      <c r="K24" s="250">
        <v>0.66550107665219704</v>
      </c>
      <c r="L24" s="251">
        <f t="shared" si="3"/>
        <v>1.6656742554793547E-2</v>
      </c>
      <c r="M24" s="252">
        <f t="shared" si="4"/>
        <v>2.502887394049802E-2</v>
      </c>
      <c r="N24" s="253">
        <f t="shared" si="5"/>
        <v>2.502887394049802E-2</v>
      </c>
      <c r="O24"/>
      <c r="P24" s="250">
        <v>0.83961216999999944</v>
      </c>
      <c r="Q24" s="251">
        <f t="shared" si="6"/>
        <v>-0.15745435079300885</v>
      </c>
      <c r="R24" s="252">
        <f t="shared" si="7"/>
        <v>-0.18753223978757827</v>
      </c>
      <c r="S24" s="253">
        <f t="shared" si="8"/>
        <v>-0.18753223978757827</v>
      </c>
      <c r="T24"/>
      <c r="U24" s="250">
        <v>-8.0853175304228544E-2</v>
      </c>
      <c r="V24" s="252">
        <f t="shared" si="9"/>
        <v>-0.11852561537478302</v>
      </c>
      <c r="W24" s="250">
        <v>0.23757642295414463</v>
      </c>
      <c r="X24" s="252">
        <f t="shared" si="10"/>
        <v>0.26855487845025727</v>
      </c>
      <c r="Y24" s="251">
        <f t="shared" si="11"/>
        <v>-0.31842959825837319</v>
      </c>
      <c r="Z24" s="252">
        <f t="shared" si="12"/>
        <v>-1.3403249122907885</v>
      </c>
      <c r="AA24" s="253">
        <f t="shared" si="13"/>
        <v>-1.3403249122907885</v>
      </c>
      <c r="AB24"/>
      <c r="AC24" s="250">
        <v>1.8429920962003875E-2</v>
      </c>
      <c r="AD24" s="252">
        <f t="shared" si="14"/>
        <v>2.1950516703448792E-2</v>
      </c>
      <c r="AE24" s="251">
        <f t="shared" si="15"/>
        <v>-9.9283096266232412E-2</v>
      </c>
      <c r="AF24" s="252">
        <f t="shared" si="16"/>
        <v>-5.3870603390497358</v>
      </c>
      <c r="AG24" s="253">
        <f t="shared" si="17"/>
        <v>-5.3870603390497358</v>
      </c>
      <c r="AH24"/>
      <c r="AI24" s="250">
        <v>0.15289326999999944</v>
      </c>
      <c r="AJ24" s="252">
        <f t="shared" si="18"/>
        <v>0.18209987356424281</v>
      </c>
      <c r="AK24" s="251">
        <f t="shared" si="19"/>
        <v>-0.233746445304228</v>
      </c>
      <c r="AL24" s="252">
        <f t="shared" si="20"/>
        <v>-1.5288210220386342</v>
      </c>
      <c r="AM24" s="253">
        <f t="shared" si="21"/>
        <v>-1.5288210220386342</v>
      </c>
      <c r="AN24"/>
      <c r="AO24" s="250">
        <v>0</v>
      </c>
      <c r="AP24" s="252">
        <f t="shared" si="22"/>
        <v>0</v>
      </c>
      <c r="AQ24" s="250">
        <v>0</v>
      </c>
      <c r="AR24" s="252">
        <f t="shared" si="23"/>
        <v>0</v>
      </c>
      <c r="AS24" s="251">
        <f t="shared" si="24"/>
        <v>0</v>
      </c>
      <c r="AT24" s="252">
        <f t="shared" si="25"/>
        <v>0</v>
      </c>
      <c r="AU24" s="253">
        <f t="shared" si="26"/>
        <v>0</v>
      </c>
      <c r="AV24"/>
      <c r="AW24" s="250">
        <v>0</v>
      </c>
      <c r="AX24" s="252">
        <f t="shared" si="27"/>
        <v>0</v>
      </c>
      <c r="AY24" s="251">
        <f t="shared" si="28"/>
        <v>0</v>
      </c>
      <c r="AZ24" s="252">
        <f t="shared" si="29"/>
        <v>0</v>
      </c>
      <c r="BA24" s="253">
        <f t="shared" si="30"/>
        <v>0</v>
      </c>
      <c r="BB24"/>
      <c r="BC24" s="250">
        <v>0</v>
      </c>
      <c r="BD24" s="252">
        <f t="shared" si="31"/>
        <v>0</v>
      </c>
      <c r="BE24" s="251">
        <f t="shared" si="32"/>
        <v>0</v>
      </c>
      <c r="BF24" s="252">
        <f t="shared" si="33"/>
        <v>0</v>
      </c>
      <c r="BG24" s="253">
        <f t="shared" si="34"/>
        <v>0</v>
      </c>
      <c r="BH24"/>
      <c r="BI24" s="250">
        <f t="shared" si="53"/>
        <v>-8.0853175304228544E-2</v>
      </c>
      <c r="BJ24" s="252">
        <f t="shared" si="35"/>
        <v>-0.11852561537478302</v>
      </c>
      <c r="BK24" s="250">
        <f t="shared" si="54"/>
        <v>0.23757642295414463</v>
      </c>
      <c r="BL24" s="252">
        <f t="shared" si="36"/>
        <v>0.26855487845025727</v>
      </c>
      <c r="BM24" s="251">
        <f t="shared" si="37"/>
        <v>-0.31842959825837319</v>
      </c>
      <c r="BN24" s="252">
        <f t="shared" si="38"/>
        <v>-1.3403249122907885</v>
      </c>
      <c r="BO24" s="253">
        <f t="shared" si="39"/>
        <v>-1.3403249122907885</v>
      </c>
      <c r="BP24"/>
      <c r="BQ24" s="250">
        <f t="shared" si="55"/>
        <v>1.8429920962003875E-2</v>
      </c>
      <c r="BR24" s="252">
        <f t="shared" si="40"/>
        <v>2.1950516703448792E-2</v>
      </c>
      <c r="BS24" s="251">
        <f t="shared" si="41"/>
        <v>-9.9283096266232412E-2</v>
      </c>
      <c r="BT24" s="252">
        <f t="shared" si="42"/>
        <v>-5.3870603390497349</v>
      </c>
      <c r="BU24" s="253">
        <f t="shared" si="43"/>
        <v>-5.3870603390497349</v>
      </c>
      <c r="BV24"/>
      <c r="BW24" s="250">
        <f t="shared" si="56"/>
        <v>0.15289326999999944</v>
      </c>
      <c r="BX24" s="252">
        <f t="shared" si="44"/>
        <v>0.18209987356424281</v>
      </c>
      <c r="BY24" s="251">
        <f t="shared" si="45"/>
        <v>-0.233746445304228</v>
      </c>
      <c r="BZ24" s="252">
        <f t="shared" si="46"/>
        <v>-1.5288210220386342</v>
      </c>
      <c r="CA24" s="253">
        <f t="shared" si="47"/>
        <v>-1.5288210220386342</v>
      </c>
      <c r="CC24" s="250">
        <v>0.68215781920699048</v>
      </c>
      <c r="CD24" s="250">
        <f t="shared" si="48"/>
        <v>0</v>
      </c>
    </row>
    <row r="25" spans="2:82" hidden="1" outlineLevel="2" x14ac:dyDescent="0.35">
      <c r="B25" s="249" t="s">
        <v>139</v>
      </c>
      <c r="C25" s="249" t="s">
        <v>140</v>
      </c>
      <c r="D25"/>
      <c r="E25" s="250">
        <v>0.49257451664000262</v>
      </c>
      <c r="F25" s="250">
        <v>0.58950055803016344</v>
      </c>
      <c r="G25" s="251">
        <f t="shared" si="0"/>
        <v>-9.6926041390160811E-2</v>
      </c>
      <c r="H25" s="252">
        <f t="shared" si="1"/>
        <v>-0.16442061007379283</v>
      </c>
      <c r="I25" s="253">
        <f t="shared" si="2"/>
        <v>-0.16442061007379283</v>
      </c>
      <c r="J25"/>
      <c r="K25" s="250">
        <v>0.43490542812743699</v>
      </c>
      <c r="L25" s="251">
        <f t="shared" si="3"/>
        <v>5.7669088512565636E-2</v>
      </c>
      <c r="M25" s="252">
        <f t="shared" si="4"/>
        <v>0.13260144570020715</v>
      </c>
      <c r="N25" s="253">
        <f t="shared" si="5"/>
        <v>0.13260144570020715</v>
      </c>
      <c r="O25"/>
      <c r="P25" s="250">
        <v>0.57095699004842526</v>
      </c>
      <c r="Q25" s="251">
        <f t="shared" si="6"/>
        <v>-7.8382473408422637E-2</v>
      </c>
      <c r="R25" s="252">
        <f t="shared" si="7"/>
        <v>-0.13728262334046337</v>
      </c>
      <c r="S25" s="253">
        <f t="shared" si="8"/>
        <v>-0.13728262334046337</v>
      </c>
      <c r="T25"/>
      <c r="U25" s="250">
        <v>0.17582089696008124</v>
      </c>
      <c r="V25" s="252">
        <f t="shared" si="9"/>
        <v>0.3569427386528396</v>
      </c>
      <c r="W25" s="250">
        <v>0.29033172938521301</v>
      </c>
      <c r="X25" s="252">
        <f t="shared" si="10"/>
        <v>0.49250458787582246</v>
      </c>
      <c r="Y25" s="251">
        <f t="shared" si="11"/>
        <v>-0.11451083242513177</v>
      </c>
      <c r="Z25" s="252">
        <f t="shared" si="12"/>
        <v>-0.39441377167976865</v>
      </c>
      <c r="AA25" s="253">
        <f t="shared" si="13"/>
        <v>-0.39441377167976865</v>
      </c>
      <c r="AB25"/>
      <c r="AC25" s="250">
        <v>0.13573659948248668</v>
      </c>
      <c r="AD25" s="252">
        <f t="shared" si="14"/>
        <v>0.23773524424488487</v>
      </c>
      <c r="AE25" s="251">
        <f t="shared" si="15"/>
        <v>4.0084297477594566E-2</v>
      </c>
      <c r="AF25" s="252">
        <f t="shared" si="16"/>
        <v>0.29530942745303124</v>
      </c>
      <c r="AG25" s="253">
        <f t="shared" si="17"/>
        <v>0.29530942745303124</v>
      </c>
      <c r="AH25"/>
      <c r="AI25" s="250">
        <v>0.2806908798122249</v>
      </c>
      <c r="AJ25" s="252">
        <f t="shared" si="18"/>
        <v>0.49161475330815779</v>
      </c>
      <c r="AK25" s="251">
        <f t="shared" si="19"/>
        <v>-0.10486998285214366</v>
      </c>
      <c r="AL25" s="252">
        <f t="shared" si="20"/>
        <v>-0.37361378795883582</v>
      </c>
      <c r="AM25" s="253">
        <f t="shared" si="21"/>
        <v>-0.37361378795883582</v>
      </c>
      <c r="AN25"/>
      <c r="AO25" s="250">
        <v>0</v>
      </c>
      <c r="AP25" s="252">
        <f t="shared" si="22"/>
        <v>0</v>
      </c>
      <c r="AQ25" s="250">
        <v>0</v>
      </c>
      <c r="AR25" s="252">
        <f t="shared" si="23"/>
        <v>0</v>
      </c>
      <c r="AS25" s="251">
        <f t="shared" si="24"/>
        <v>0</v>
      </c>
      <c r="AT25" s="252">
        <f t="shared" si="25"/>
        <v>0</v>
      </c>
      <c r="AU25" s="253">
        <f t="shared" si="26"/>
        <v>0</v>
      </c>
      <c r="AV25"/>
      <c r="AW25" s="250">
        <v>0</v>
      </c>
      <c r="AX25" s="252">
        <f t="shared" si="27"/>
        <v>0</v>
      </c>
      <c r="AY25" s="251">
        <f t="shared" si="28"/>
        <v>0</v>
      </c>
      <c r="AZ25" s="252">
        <f t="shared" si="29"/>
        <v>0</v>
      </c>
      <c r="BA25" s="253">
        <f t="shared" si="30"/>
        <v>0</v>
      </c>
      <c r="BB25"/>
      <c r="BC25" s="250">
        <v>0</v>
      </c>
      <c r="BD25" s="252">
        <f t="shared" si="31"/>
        <v>0</v>
      </c>
      <c r="BE25" s="251">
        <f t="shared" si="32"/>
        <v>0</v>
      </c>
      <c r="BF25" s="252">
        <f t="shared" si="33"/>
        <v>0</v>
      </c>
      <c r="BG25" s="253">
        <f t="shared" si="34"/>
        <v>0</v>
      </c>
      <c r="BH25"/>
      <c r="BI25" s="250">
        <f t="shared" si="53"/>
        <v>0.17582089696008124</v>
      </c>
      <c r="BJ25" s="252">
        <f t="shared" si="35"/>
        <v>0.3569427386528396</v>
      </c>
      <c r="BK25" s="250">
        <f t="shared" si="54"/>
        <v>0.29033172938521301</v>
      </c>
      <c r="BL25" s="252">
        <f t="shared" si="36"/>
        <v>0.49250458787582246</v>
      </c>
      <c r="BM25" s="251">
        <f t="shared" si="37"/>
        <v>-0.11451083242513177</v>
      </c>
      <c r="BN25" s="252">
        <f t="shared" si="38"/>
        <v>-0.3944137716797686</v>
      </c>
      <c r="BO25" s="253">
        <f t="shared" si="39"/>
        <v>-0.3944137716797686</v>
      </c>
      <c r="BP25"/>
      <c r="BQ25" s="250">
        <f t="shared" si="55"/>
        <v>0.13573659948248668</v>
      </c>
      <c r="BR25" s="252">
        <f t="shared" si="40"/>
        <v>0.23773524424488487</v>
      </c>
      <c r="BS25" s="251">
        <f t="shared" si="41"/>
        <v>4.0084297477594566E-2</v>
      </c>
      <c r="BT25" s="252">
        <f t="shared" si="42"/>
        <v>0.29530942745303129</v>
      </c>
      <c r="BU25" s="253">
        <f t="shared" si="43"/>
        <v>0.29530942745303129</v>
      </c>
      <c r="BV25"/>
      <c r="BW25" s="250">
        <f t="shared" si="56"/>
        <v>0.2806908798122249</v>
      </c>
      <c r="BX25" s="252">
        <f t="shared" si="44"/>
        <v>0.49161475330815779</v>
      </c>
      <c r="BY25" s="251">
        <f t="shared" si="45"/>
        <v>-0.10486998285214366</v>
      </c>
      <c r="BZ25" s="252">
        <f t="shared" si="46"/>
        <v>-0.37361378795883582</v>
      </c>
      <c r="CA25" s="253">
        <f t="shared" si="47"/>
        <v>-0.37361378795883582</v>
      </c>
      <c r="CC25" s="250">
        <v>0.49257451664000196</v>
      </c>
      <c r="CD25" s="250">
        <f t="shared" si="48"/>
        <v>6.6613381477509392E-16</v>
      </c>
    </row>
    <row r="26" spans="2:82" hidden="1" outlineLevel="1" x14ac:dyDescent="0.35">
      <c r="B26" s="255" t="s">
        <v>141</v>
      </c>
      <c r="C26" s="249" t="s">
        <v>142</v>
      </c>
      <c r="D26"/>
      <c r="E26" s="250">
        <v>3.8871672915000106</v>
      </c>
      <c r="F26" s="250">
        <v>4.0400672515472804</v>
      </c>
      <c r="G26" s="251">
        <f>$E26-F26</f>
        <v>-0.1528999600472698</v>
      </c>
      <c r="H26" s="252">
        <f>IFERROR($E26/F26-1,0)</f>
        <v>-3.7845894765417998E-2</v>
      </c>
      <c r="I26" s="253">
        <f>H26</f>
        <v>-3.7845894765417998E-2</v>
      </c>
      <c r="J26"/>
      <c r="K26" s="250">
        <v>3.8615994300000001</v>
      </c>
      <c r="L26" s="251">
        <f>$E26-K26</f>
        <v>2.5567861500010558E-2</v>
      </c>
      <c r="M26" s="252">
        <f>IFERROR($E26/K26-1,0)</f>
        <v>6.6210548151055537E-3</v>
      </c>
      <c r="N26" s="253">
        <f>M26</f>
        <v>6.6210548151055537E-3</v>
      </c>
      <c r="O26"/>
      <c r="P26" s="250">
        <v>3.0472195300000005</v>
      </c>
      <c r="Q26" s="251">
        <f>$E26-P26</f>
        <v>0.83994776150001016</v>
      </c>
      <c r="R26" s="252">
        <f>IFERROR($E26/P26-1,0)</f>
        <v>0.27564399388711247</v>
      </c>
      <c r="S26" s="253">
        <f>R26</f>
        <v>0.27564399388711247</v>
      </c>
      <c r="T26"/>
      <c r="U26" s="250">
        <v>2.6678459938395869</v>
      </c>
      <c r="V26" s="252">
        <f>IFERROR(U26/$E26,0)</f>
        <v>0.68632137332327092</v>
      </c>
      <c r="W26" s="250">
        <v>2.6645002441522228</v>
      </c>
      <c r="X26" s="252">
        <f>IFERROR(W26/$F26,0)</f>
        <v>0.65951878477561532</v>
      </c>
      <c r="Y26" s="251">
        <f>$U26-W26</f>
        <v>3.345749687364119E-3</v>
      </c>
      <c r="Z26" s="252">
        <f>IFERROR($U26/W26-1,0)</f>
        <v>1.2556762547524247E-3</v>
      </c>
      <c r="AA26" s="253">
        <f>Z26</f>
        <v>1.2556762547524247E-3</v>
      </c>
      <c r="AB26"/>
      <c r="AC26" s="250">
        <v>2.7498399591667764</v>
      </c>
      <c r="AD26" s="252">
        <f>IFERROR(AC26/$P26,0)</f>
        <v>0.90240953501856036</v>
      </c>
      <c r="AE26" s="251">
        <f>$U26-AC26</f>
        <v>-8.19939653271895E-2</v>
      </c>
      <c r="AF26" s="252">
        <f>IFERROR($U26/AC26-1,0)</f>
        <v>-2.9817722683771919E-2</v>
      </c>
      <c r="AG26" s="253">
        <f>AF26</f>
        <v>-2.9817722683771919E-2</v>
      </c>
      <c r="AH26"/>
      <c r="AI26" s="250">
        <v>2.2085647899999996</v>
      </c>
      <c r="AJ26" s="252">
        <f>IFERROR(AI26/$P26,0)</f>
        <v>0.72478033441850487</v>
      </c>
      <c r="AK26" s="251">
        <f>$U26-AI26</f>
        <v>0.45928120383958726</v>
      </c>
      <c r="AL26" s="252">
        <f>IFERROR($U26/AI26-1,0)</f>
        <v>0.20795459835234786</v>
      </c>
      <c r="AM26" s="253">
        <f>AL26</f>
        <v>0.20795459835234786</v>
      </c>
      <c r="AN26"/>
      <c r="AO26" s="250">
        <v>-0.30220059999999999</v>
      </c>
      <c r="AP26" s="252">
        <f>IFERROR(AO26/$E26,0)</f>
        <v>-7.7743142329072354E-2</v>
      </c>
      <c r="AQ26" s="250">
        <v>0</v>
      </c>
      <c r="AR26" s="252">
        <f>IFERROR(AQ26/$F26,0)</f>
        <v>0</v>
      </c>
      <c r="AS26" s="251">
        <f>$AO26-AQ26</f>
        <v>-0.30220059999999999</v>
      </c>
      <c r="AT26" s="252">
        <f>IFERROR($AO26/AQ26-1,0)</f>
        <v>0</v>
      </c>
      <c r="AU26" s="253">
        <f>AT26</f>
        <v>0</v>
      </c>
      <c r="AV26"/>
      <c r="AW26" s="250">
        <v>-0.26380753656183298</v>
      </c>
      <c r="AX26" s="252">
        <f>IFERROR(AW26/$P26,0)</f>
        <v>-8.6573196963539059E-2</v>
      </c>
      <c r="AY26" s="251">
        <f>$AO26-AW26</f>
        <v>-3.8393063438167008E-2</v>
      </c>
      <c r="AZ26" s="252">
        <f>IFERROR($AO26/AW26-1,0)</f>
        <v>0.14553436925471686</v>
      </c>
      <c r="BA26" s="253">
        <f>AZ26</f>
        <v>0.14553436925471686</v>
      </c>
      <c r="BB26"/>
      <c r="BC26" s="250">
        <v>-0.21778846999999998</v>
      </c>
      <c r="BD26" s="252">
        <f>IFERROR(BC26/$P26,0)</f>
        <v>-7.1471211002641463E-2</v>
      </c>
      <c r="BE26" s="251">
        <f>$AO26-BC26</f>
        <v>-8.4412130000000002E-2</v>
      </c>
      <c r="BF26" s="252">
        <f>IFERROR($AO26/BC26-1,0)</f>
        <v>0.38758769001866811</v>
      </c>
      <c r="BG26" s="253">
        <f>BF26</f>
        <v>0.38758769001866811</v>
      </c>
      <c r="BH26"/>
      <c r="BI26" s="250">
        <f>SUM(U26,AO26)</f>
        <v>2.3656453938395869</v>
      </c>
      <c r="BJ26" s="252">
        <f>IFERROR(BI26/$E26,0)</f>
        <v>0.60857823099419861</v>
      </c>
      <c r="BK26" s="250">
        <f>SUM(W26,AQ26)</f>
        <v>2.6645002441522228</v>
      </c>
      <c r="BL26" s="252">
        <f>IFERROR(BK26/$F26,0)</f>
        <v>0.65951878477561532</v>
      </c>
      <c r="BM26" s="251">
        <f>$BI26-BK26</f>
        <v>-0.29885485031263581</v>
      </c>
      <c r="BN26" s="252">
        <f>BM26/ABS(BK26)</f>
        <v>-0.11216168997114276</v>
      </c>
      <c r="BO26" s="253">
        <f>BN26</f>
        <v>-0.11216168997114276</v>
      </c>
      <c r="BP26"/>
      <c r="BQ26" s="250">
        <f>SUM(AC26,AW26)</f>
        <v>2.4860324226049433</v>
      </c>
      <c r="BR26" s="252">
        <f>IFERROR(BQ26/$P26,0)</f>
        <v>0.8158363380550212</v>
      </c>
      <c r="BS26" s="251">
        <f>$BI26-BQ26</f>
        <v>-0.12038702876535634</v>
      </c>
      <c r="BT26" s="252">
        <f>IFERROR(BS26/ABS(BQ26),"")</f>
        <v>-4.8425365522470142E-2</v>
      </c>
      <c r="BU26" s="253">
        <f>BT26</f>
        <v>-4.8425365522470142E-2</v>
      </c>
      <c r="BV26"/>
      <c r="BW26" s="250">
        <f>SUM(AI26,BC26)</f>
        <v>1.9907763199999997</v>
      </c>
      <c r="BX26" s="252">
        <f>IFERROR(BW26/$P26,0)</f>
        <v>0.65330912341586345</v>
      </c>
      <c r="BY26" s="251">
        <f>$BI26-BW26</f>
        <v>0.37486907383958723</v>
      </c>
      <c r="BZ26" s="252">
        <f>IFERROR(BY26/ABS(BW26),"")</f>
        <v>0.18830296004303854</v>
      </c>
      <c r="CA26" s="253">
        <f>BZ26</f>
        <v>0.18830296004303854</v>
      </c>
      <c r="CC26" s="250">
        <v>3.8871672915000031</v>
      </c>
      <c r="CD26" s="250">
        <f>$E26-CC26</f>
        <v>7.5495165674510645E-15</v>
      </c>
    </row>
    <row r="27" spans="2:82" hidden="1" outlineLevel="1" x14ac:dyDescent="0.35">
      <c r="B27" s="255" t="s">
        <v>143</v>
      </c>
      <c r="C27" s="249" t="s">
        <v>144</v>
      </c>
      <c r="D27"/>
      <c r="E27" s="250">
        <v>1.3923553499087615</v>
      </c>
      <c r="F27" s="250">
        <v>1.5623737884852003</v>
      </c>
      <c r="G27" s="251">
        <f>$E27-F27</f>
        <v>-0.17001843857643872</v>
      </c>
      <c r="H27" s="252">
        <f>IFERROR($E27/F27-1,0)</f>
        <v>-0.10882059071234174</v>
      </c>
      <c r="I27" s="253">
        <f>H27</f>
        <v>-0.10882059071234174</v>
      </c>
      <c r="J27"/>
      <c r="K27" s="250">
        <v>1.407666274875</v>
      </c>
      <c r="L27" s="251">
        <f>$E27-K27</f>
        <v>-1.5310924966238426E-2</v>
      </c>
      <c r="M27" s="252">
        <f>IFERROR($E27/K27-1,0)</f>
        <v>-1.0876814511733612E-2</v>
      </c>
      <c r="N27" s="253">
        <f>M27</f>
        <v>-1.0876814511733612E-2</v>
      </c>
      <c r="O27"/>
      <c r="P27" s="250">
        <v>1.1003274247949999</v>
      </c>
      <c r="Q27" s="251">
        <f>$E27-P27</f>
        <v>0.29202792511376163</v>
      </c>
      <c r="R27" s="252">
        <f>IFERROR($E27/P27-1,0)</f>
        <v>0.26540093297062817</v>
      </c>
      <c r="S27" s="253">
        <f>R27</f>
        <v>0.26540093297062817</v>
      </c>
      <c r="T27"/>
      <c r="U27" s="250">
        <v>0.40930214126058528</v>
      </c>
      <c r="V27" s="252">
        <f>IFERROR(U27/$E27,0)</f>
        <v>0.29396385146033738</v>
      </c>
      <c r="W27" s="250">
        <v>0.66685689597290043</v>
      </c>
      <c r="X27" s="252">
        <f>IFERROR(W27/$F27,0)</f>
        <v>0.42682289019931119</v>
      </c>
      <c r="Y27" s="251">
        <f>$U27-W27</f>
        <v>-0.25755475471231515</v>
      </c>
      <c r="Z27" s="252">
        <f>IFERROR($U27/W27-1,0)</f>
        <v>-0.38622192597492699</v>
      </c>
      <c r="AA27" s="253">
        <f>Z27</f>
        <v>-0.38622192597492699</v>
      </c>
      <c r="AB27"/>
      <c r="AC27" s="250">
        <v>0.51214938236270124</v>
      </c>
      <c r="AD27" s="252">
        <f>IFERROR(AC27/$P27,0)</f>
        <v>0.46545180172903433</v>
      </c>
      <c r="AE27" s="251">
        <f>$U27-AC27</f>
        <v>-0.10284724110211596</v>
      </c>
      <c r="AF27" s="252">
        <f>IFERROR($U27/AC27-1,0)</f>
        <v>-0.20081492752690688</v>
      </c>
      <c r="AG27" s="253">
        <f>AF27</f>
        <v>-0.20081492752690688</v>
      </c>
      <c r="AH27"/>
      <c r="AI27" s="250">
        <v>0.26870433278475103</v>
      </c>
      <c r="AJ27" s="252">
        <f>IFERROR(AI27/$P27,0)</f>
        <v>0.24420397667977137</v>
      </c>
      <c r="AK27" s="251">
        <f>$U27-AI27</f>
        <v>0.14059780847583425</v>
      </c>
      <c r="AL27" s="252">
        <f>IFERROR($U27/AI27-1,0)</f>
        <v>0.52324354809887597</v>
      </c>
      <c r="AM27" s="253">
        <f>AL27</f>
        <v>0.52324354809887597</v>
      </c>
      <c r="AN27"/>
      <c r="AO27" s="250">
        <v>-1.8988899999999999E-3</v>
      </c>
      <c r="AP27" s="252">
        <f>IFERROR(AO27/$E27,0)</f>
        <v>-1.3637969647076306E-3</v>
      </c>
      <c r="AQ27" s="250">
        <v>0</v>
      </c>
      <c r="AR27" s="252">
        <f>IFERROR(AQ27/$F27,0)</f>
        <v>0</v>
      </c>
      <c r="AS27" s="251">
        <f>$AO27-AQ27</f>
        <v>-1.8988899999999999E-3</v>
      </c>
      <c r="AT27" s="252">
        <f>IFERROR($AO27/AQ27-1,0)</f>
        <v>0</v>
      </c>
      <c r="AU27" s="253">
        <f>AT27</f>
        <v>0</v>
      </c>
      <c r="AV27"/>
      <c r="AW27" s="250">
        <v>0</v>
      </c>
      <c r="AX27" s="252">
        <f>IFERROR(AW27/$P27,0)</f>
        <v>0</v>
      </c>
      <c r="AY27" s="251">
        <f>$AO27-AW27</f>
        <v>-1.8988899999999999E-3</v>
      </c>
      <c r="AZ27" s="252">
        <f>IFERROR($AO27/AW27-1,0)</f>
        <v>0</v>
      </c>
      <c r="BA27" s="253">
        <f>AZ27</f>
        <v>0</v>
      </c>
      <c r="BB27"/>
      <c r="BC27" s="250">
        <v>0</v>
      </c>
      <c r="BD27" s="252">
        <f>IFERROR(BC27/$P27,0)</f>
        <v>0</v>
      </c>
      <c r="BE27" s="251">
        <f>$AO27-BC27</f>
        <v>-1.8988899999999999E-3</v>
      </c>
      <c r="BF27" s="252">
        <f>IFERROR($AO27/BC27-1,0)</f>
        <v>0</v>
      </c>
      <c r="BG27" s="253">
        <f>BF27</f>
        <v>0</v>
      </c>
      <c r="BH27"/>
      <c r="BI27" s="250">
        <f>SUM(U27,AO27)</f>
        <v>0.4074032512605853</v>
      </c>
      <c r="BJ27" s="252">
        <f>IFERROR(BI27/$E27,0)</f>
        <v>0.29260005449562976</v>
      </c>
      <c r="BK27" s="250">
        <f>SUM(W27,AQ27)</f>
        <v>0.66685689597290043</v>
      </c>
      <c r="BL27" s="252">
        <f>IFERROR(BK27/$F27,0)</f>
        <v>0.42682289019931119</v>
      </c>
      <c r="BM27" s="251">
        <f>$BI27-BK27</f>
        <v>-0.25945364471231513</v>
      </c>
      <c r="BN27" s="252">
        <f>BM27/ABS(BK27)</f>
        <v>-0.38906944845158914</v>
      </c>
      <c r="BO27" s="253">
        <f>BN27</f>
        <v>-0.38906944845158914</v>
      </c>
      <c r="BP27"/>
      <c r="BQ27" s="250">
        <f>SUM(AC27,AW27)</f>
        <v>0.51214938236270124</v>
      </c>
      <c r="BR27" s="252">
        <f>IFERROR(BQ27/$P27,0)</f>
        <v>0.46545180172903433</v>
      </c>
      <c r="BS27" s="251">
        <f>$BI27-BQ27</f>
        <v>-0.10474613110211595</v>
      </c>
      <c r="BT27" s="252">
        <f>IFERROR(BS27/ABS(BQ27),"")</f>
        <v>-0.20452261529417473</v>
      </c>
      <c r="BU27" s="253">
        <f>BT27</f>
        <v>-0.20452261529417473</v>
      </c>
      <c r="BV27"/>
      <c r="BW27" s="250">
        <f>SUM(AI27,BC27)</f>
        <v>0.26870433278475103</v>
      </c>
      <c r="BX27" s="252">
        <f>IFERROR(BW27/$P27,0)</f>
        <v>0.24420397667977137</v>
      </c>
      <c r="BY27" s="251">
        <f>$BI27-BW27</f>
        <v>0.13869891847583427</v>
      </c>
      <c r="BZ27" s="252">
        <f>IFERROR(BY27/ABS(BW27),"")</f>
        <v>0.51617671006049903</v>
      </c>
      <c r="CA27" s="253">
        <f>BZ27</f>
        <v>0.51617671006049903</v>
      </c>
      <c r="CC27" s="250">
        <v>1.3676908399087631</v>
      </c>
      <c r="CD27" s="250">
        <f>$E27-CC27</f>
        <v>2.4664509999998474E-2</v>
      </c>
    </row>
    <row r="28" spans="2:82" hidden="1" outlineLevel="1" x14ac:dyDescent="0.35">
      <c r="B28" s="255" t="s">
        <v>145</v>
      </c>
      <c r="C28" s="249" t="s">
        <v>146</v>
      </c>
      <c r="D28"/>
      <c r="E28" s="250">
        <v>0.43388151000000025</v>
      </c>
      <c r="F28" s="250">
        <v>0.4524641388993047</v>
      </c>
      <c r="G28" s="251">
        <f t="shared" si="0"/>
        <v>-1.8582628899304454E-2</v>
      </c>
      <c r="H28" s="252">
        <f t="shared" si="1"/>
        <v>-4.1069838030721839E-2</v>
      </c>
      <c r="I28" s="253">
        <f t="shared" si="2"/>
        <v>-4.1069838030721839E-2</v>
      </c>
      <c r="J28"/>
      <c r="K28" s="250">
        <v>0.44266120612499699</v>
      </c>
      <c r="L28" s="251">
        <f t="shared" si="3"/>
        <v>-8.7796961249967387E-3</v>
      </c>
      <c r="M28" s="252">
        <f t="shared" si="4"/>
        <v>-1.9833895547010205E-2</v>
      </c>
      <c r="N28" s="253">
        <f t="shared" si="5"/>
        <v>-1.9833895547010205E-2</v>
      </c>
      <c r="O28"/>
      <c r="P28" s="250">
        <v>0.38223537000000007</v>
      </c>
      <c r="Q28" s="251">
        <f t="shared" si="6"/>
        <v>5.1646140000000174E-2</v>
      </c>
      <c r="R28" s="252">
        <f t="shared" si="7"/>
        <v>0.13511606735922999</v>
      </c>
      <c r="S28" s="253">
        <f t="shared" si="8"/>
        <v>0.13511606735922999</v>
      </c>
      <c r="T28"/>
      <c r="U28" s="250">
        <v>0.143798493343785</v>
      </c>
      <c r="V28" s="252">
        <f t="shared" si="9"/>
        <v>0.33142341867434016</v>
      </c>
      <c r="W28" s="250">
        <v>0.2035339802896052</v>
      </c>
      <c r="X28" s="252">
        <f t="shared" si="10"/>
        <v>0.449834501325864</v>
      </c>
      <c r="Y28" s="251">
        <f t="shared" si="11"/>
        <v>-5.9735486945820204E-2</v>
      </c>
      <c r="Z28" s="252">
        <f t="shared" si="12"/>
        <v>-0.29349146938915827</v>
      </c>
      <c r="AA28" s="253">
        <f t="shared" si="13"/>
        <v>-0.29349146938915827</v>
      </c>
      <c r="AB28"/>
      <c r="AC28" s="250">
        <v>0.19373104751529746</v>
      </c>
      <c r="AD28" s="252">
        <f t="shared" si="14"/>
        <v>0.50683705046787642</v>
      </c>
      <c r="AE28" s="251">
        <f t="shared" si="15"/>
        <v>-4.9932554171512461E-2</v>
      </c>
      <c r="AF28" s="252">
        <f t="shared" si="16"/>
        <v>-0.25774162072586571</v>
      </c>
      <c r="AG28" s="253">
        <f t="shared" si="17"/>
        <v>-0.25774162072586571</v>
      </c>
      <c r="AH28"/>
      <c r="AI28" s="250">
        <v>0.13437931000000006</v>
      </c>
      <c r="AJ28" s="252">
        <f t="shared" si="18"/>
        <v>0.3515616830540827</v>
      </c>
      <c r="AK28" s="251">
        <f t="shared" si="19"/>
        <v>9.4191833437849426E-3</v>
      </c>
      <c r="AL28" s="252">
        <f t="shared" si="20"/>
        <v>7.0093999915499916E-2</v>
      </c>
      <c r="AM28" s="253">
        <f t="shared" si="21"/>
        <v>7.0093999915499916E-2</v>
      </c>
      <c r="AN28"/>
      <c r="AO28" s="250">
        <v>0</v>
      </c>
      <c r="AP28" s="252">
        <f t="shared" si="22"/>
        <v>0</v>
      </c>
      <c r="AQ28" s="250">
        <v>0</v>
      </c>
      <c r="AR28" s="252">
        <f t="shared" si="23"/>
        <v>0</v>
      </c>
      <c r="AS28" s="251">
        <f t="shared" si="24"/>
        <v>0</v>
      </c>
      <c r="AT28" s="252">
        <f t="shared" si="25"/>
        <v>0</v>
      </c>
      <c r="AU28" s="253">
        <f t="shared" si="26"/>
        <v>0</v>
      </c>
      <c r="AV28"/>
      <c r="AW28" s="250">
        <v>0</v>
      </c>
      <c r="AX28" s="252">
        <f t="shared" si="27"/>
        <v>0</v>
      </c>
      <c r="AY28" s="251">
        <f t="shared" si="28"/>
        <v>0</v>
      </c>
      <c r="AZ28" s="252">
        <f t="shared" si="29"/>
        <v>0</v>
      </c>
      <c r="BA28" s="253">
        <f t="shared" si="30"/>
        <v>0</v>
      </c>
      <c r="BB28"/>
      <c r="BC28" s="250">
        <v>0</v>
      </c>
      <c r="BD28" s="252">
        <f t="shared" si="31"/>
        <v>0</v>
      </c>
      <c r="BE28" s="251">
        <f t="shared" si="32"/>
        <v>0</v>
      </c>
      <c r="BF28" s="252">
        <f t="shared" si="33"/>
        <v>0</v>
      </c>
      <c r="BG28" s="253">
        <f t="shared" si="34"/>
        <v>0</v>
      </c>
      <c r="BH28"/>
      <c r="BI28" s="250">
        <f t="shared" si="53"/>
        <v>0.143798493343785</v>
      </c>
      <c r="BJ28" s="252">
        <f t="shared" si="35"/>
        <v>0.33142341867434016</v>
      </c>
      <c r="BK28" s="250">
        <f t="shared" si="54"/>
        <v>0.2035339802896052</v>
      </c>
      <c r="BL28" s="252">
        <f t="shared" si="36"/>
        <v>0.449834501325864</v>
      </c>
      <c r="BM28" s="251">
        <f t="shared" si="37"/>
        <v>-5.9735486945820204E-2</v>
      </c>
      <c r="BN28" s="252">
        <f t="shared" si="38"/>
        <v>-0.29349146938915827</v>
      </c>
      <c r="BO28" s="253">
        <f t="shared" si="39"/>
        <v>-0.29349146938915827</v>
      </c>
      <c r="BP28"/>
      <c r="BQ28" s="250">
        <f t="shared" si="55"/>
        <v>0.19373104751529746</v>
      </c>
      <c r="BR28" s="252">
        <f t="shared" si="40"/>
        <v>0.50683705046787642</v>
      </c>
      <c r="BS28" s="251">
        <f t="shared" si="41"/>
        <v>-4.9932554171512461E-2</v>
      </c>
      <c r="BT28" s="252">
        <f t="shared" si="42"/>
        <v>-0.25774162072586571</v>
      </c>
      <c r="BU28" s="253">
        <f t="shared" si="43"/>
        <v>-0.25774162072586571</v>
      </c>
      <c r="BV28"/>
      <c r="BW28" s="250">
        <f t="shared" si="56"/>
        <v>0.13437931000000006</v>
      </c>
      <c r="BX28" s="252">
        <f t="shared" si="44"/>
        <v>0.3515616830540827</v>
      </c>
      <c r="BY28" s="251">
        <f t="shared" si="45"/>
        <v>9.4191833437849426E-3</v>
      </c>
      <c r="BZ28" s="252">
        <f t="shared" si="46"/>
        <v>7.009399991549993E-2</v>
      </c>
      <c r="CA28" s="253">
        <f t="shared" si="47"/>
        <v>7.009399991549993E-2</v>
      </c>
      <c r="CC28" s="250">
        <v>0.43388151000000008</v>
      </c>
      <c r="CD28" s="250">
        <f t="shared" si="48"/>
        <v>0</v>
      </c>
    </row>
    <row r="29" spans="2:82" collapsed="1" x14ac:dyDescent="0.35">
      <c r="B29" s="244" t="s">
        <v>147</v>
      </c>
      <c r="C29" s="244" t="s">
        <v>148</v>
      </c>
      <c r="D29"/>
      <c r="E29" s="245">
        <v>2.3404615556441488</v>
      </c>
      <c r="F29" s="245">
        <v>2.3243629965949628</v>
      </c>
      <c r="G29" s="246">
        <f t="shared" si="0"/>
        <v>1.6098559049186001E-2</v>
      </c>
      <c r="H29" s="247">
        <f t="shared" si="1"/>
        <v>6.926009006669398E-3</v>
      </c>
      <c r="I29" s="248">
        <f t="shared" si="2"/>
        <v>6.926009006669398E-3</v>
      </c>
      <c r="J29"/>
      <c r="K29" s="245">
        <v>2.3187285459193898</v>
      </c>
      <c r="L29" s="246">
        <f t="shared" si="3"/>
        <v>2.1733009724759E-2</v>
      </c>
      <c r="M29" s="247">
        <f t="shared" si="4"/>
        <v>9.3728132872672454E-3</v>
      </c>
      <c r="N29" s="248">
        <f t="shared" si="5"/>
        <v>9.3728132872672454E-3</v>
      </c>
      <c r="O29"/>
      <c r="P29" s="245">
        <v>1.7857889600000001</v>
      </c>
      <c r="Q29" s="246">
        <f t="shared" si="6"/>
        <v>0.55467259564414872</v>
      </c>
      <c r="R29" s="247">
        <f t="shared" si="7"/>
        <v>0.31060366486090762</v>
      </c>
      <c r="S29" s="248">
        <f t="shared" si="8"/>
        <v>0.31060366486090762</v>
      </c>
      <c r="T29"/>
      <c r="U29" s="245">
        <v>0.73508178484027265</v>
      </c>
      <c r="V29" s="247">
        <f t="shared" si="9"/>
        <v>0.31407556473960591</v>
      </c>
      <c r="W29" s="245">
        <v>0.57302045604999319</v>
      </c>
      <c r="X29" s="247">
        <f t="shared" si="10"/>
        <v>0.2465279549233188</v>
      </c>
      <c r="Y29" s="246">
        <f t="shared" si="11"/>
        <v>0.16206132879027946</v>
      </c>
      <c r="Z29" s="247">
        <f t="shared" si="12"/>
        <v>0.28281944750701959</v>
      </c>
      <c r="AA29" s="248">
        <f t="shared" si="13"/>
        <v>0.28281944750701959</v>
      </c>
      <c r="AB29"/>
      <c r="AC29" s="245">
        <v>0.60882089865572375</v>
      </c>
      <c r="AD29" s="247">
        <f t="shared" si="14"/>
        <v>0.34092544656325108</v>
      </c>
      <c r="AE29" s="246">
        <f t="shared" si="15"/>
        <v>0.12626088618454889</v>
      </c>
      <c r="AF29" s="247">
        <f t="shared" si="16"/>
        <v>0.20738592657271271</v>
      </c>
      <c r="AG29" s="248">
        <f t="shared" si="17"/>
        <v>0.20738592657271271</v>
      </c>
      <c r="AH29"/>
      <c r="AI29" s="245">
        <v>0.66697228000000019</v>
      </c>
      <c r="AJ29" s="247">
        <f t="shared" si="18"/>
        <v>0.37348885839231538</v>
      </c>
      <c r="AK29" s="246">
        <f t="shared" si="19"/>
        <v>6.810950484027245E-2</v>
      </c>
      <c r="AL29" s="247">
        <f t="shared" si="20"/>
        <v>0.10211744458146366</v>
      </c>
      <c r="AM29" s="248">
        <f t="shared" si="21"/>
        <v>0.10211744458146366</v>
      </c>
      <c r="AN29"/>
      <c r="AO29" s="245">
        <v>0</v>
      </c>
      <c r="AP29" s="247">
        <f t="shared" si="22"/>
        <v>0</v>
      </c>
      <c r="AQ29" s="245">
        <v>0</v>
      </c>
      <c r="AR29" s="247">
        <f t="shared" si="23"/>
        <v>0</v>
      </c>
      <c r="AS29" s="246">
        <f t="shared" si="24"/>
        <v>0</v>
      </c>
      <c r="AT29" s="247">
        <f t="shared" si="25"/>
        <v>0</v>
      </c>
      <c r="AU29" s="248">
        <f t="shared" si="26"/>
        <v>0</v>
      </c>
      <c r="AV29"/>
      <c r="AW29" s="245">
        <v>0</v>
      </c>
      <c r="AX29" s="247">
        <f t="shared" si="27"/>
        <v>0</v>
      </c>
      <c r="AY29" s="246">
        <f t="shared" si="28"/>
        <v>0</v>
      </c>
      <c r="AZ29" s="247">
        <f t="shared" si="29"/>
        <v>0</v>
      </c>
      <c r="BA29" s="248">
        <f t="shared" si="30"/>
        <v>0</v>
      </c>
      <c r="BB29"/>
      <c r="BC29" s="245">
        <v>7.8899999999999999E-4</v>
      </c>
      <c r="BD29" s="247">
        <f t="shared" si="31"/>
        <v>4.4182152408423441E-4</v>
      </c>
      <c r="BE29" s="246">
        <f t="shared" si="32"/>
        <v>-7.8899999999999999E-4</v>
      </c>
      <c r="BF29" s="247">
        <f t="shared" si="33"/>
        <v>-1</v>
      </c>
      <c r="BG29" s="248">
        <f t="shared" si="34"/>
        <v>-1</v>
      </c>
      <c r="BH29"/>
      <c r="BI29" s="245">
        <f t="shared" si="53"/>
        <v>0.73508178484027265</v>
      </c>
      <c r="BJ29" s="247">
        <f t="shared" si="35"/>
        <v>0.31407556473960591</v>
      </c>
      <c r="BK29" s="245">
        <f t="shared" si="54"/>
        <v>0.57302045604999319</v>
      </c>
      <c r="BL29" s="247">
        <f t="shared" si="36"/>
        <v>0.2465279549233188</v>
      </c>
      <c r="BM29" s="246">
        <f t="shared" si="37"/>
        <v>0.16206132879027946</v>
      </c>
      <c r="BN29" s="247">
        <f t="shared" si="38"/>
        <v>0.28281944750701954</v>
      </c>
      <c r="BO29" s="248">
        <f t="shared" si="39"/>
        <v>0.28281944750701954</v>
      </c>
      <c r="BP29"/>
      <c r="BQ29" s="245">
        <f t="shared" si="55"/>
        <v>0.60882089865572375</v>
      </c>
      <c r="BR29" s="247">
        <f t="shared" si="40"/>
        <v>0.34092544656325108</v>
      </c>
      <c r="BS29" s="246">
        <f t="shared" si="41"/>
        <v>0.12626088618454889</v>
      </c>
      <c r="BT29" s="247">
        <f t="shared" si="42"/>
        <v>0.20738592657271271</v>
      </c>
      <c r="BU29" s="248">
        <f t="shared" si="43"/>
        <v>0.20738592657271271</v>
      </c>
      <c r="BV29"/>
      <c r="BW29" s="245">
        <f t="shared" si="56"/>
        <v>0.66776128000000023</v>
      </c>
      <c r="BX29" s="247">
        <f t="shared" si="44"/>
        <v>0.37393067991639967</v>
      </c>
      <c r="BY29" s="246">
        <f t="shared" si="45"/>
        <v>6.732050484027241E-2</v>
      </c>
      <c r="BZ29" s="247">
        <f t="shared" si="46"/>
        <v>0.10081522672334699</v>
      </c>
      <c r="CA29" s="248">
        <f t="shared" si="47"/>
        <v>0.10081522672334699</v>
      </c>
      <c r="CC29" s="245">
        <v>2.3404615556441475</v>
      </c>
      <c r="CD29" s="245">
        <f t="shared" si="48"/>
        <v>0</v>
      </c>
    </row>
    <row r="30" spans="2:82" x14ac:dyDescent="0.35">
      <c r="B30" s="239" t="s">
        <v>149</v>
      </c>
      <c r="C30" s="239" t="s">
        <v>150</v>
      </c>
      <c r="D30"/>
      <c r="E30" s="240">
        <f>SUM(E31,E35,E36)</f>
        <v>5.5477029081249718</v>
      </c>
      <c r="F30" s="240">
        <f>SUM(F31,F35,F36)</f>
        <v>4.2772428521846217</v>
      </c>
      <c r="G30" s="241">
        <f t="shared" si="0"/>
        <v>1.2704600559403501</v>
      </c>
      <c r="H30" s="242">
        <f t="shared" si="1"/>
        <v>0.29702780502431758</v>
      </c>
      <c r="I30" s="243">
        <f t="shared" si="2"/>
        <v>0.29702780502431758</v>
      </c>
      <c r="J30"/>
      <c r="K30" s="240">
        <f>SUM(K31,K35,K36)</f>
        <v>5.2688321990850007</v>
      </c>
      <c r="L30" s="241">
        <f t="shared" si="3"/>
        <v>0.27887070903997113</v>
      </c>
      <c r="M30" s="242">
        <f t="shared" si="4"/>
        <v>5.2928371696559395E-2</v>
      </c>
      <c r="N30" s="243">
        <f t="shared" si="5"/>
        <v>5.2928371696559395E-2</v>
      </c>
      <c r="O30"/>
      <c r="P30" s="240">
        <f>SUM(P31,P35,P36)</f>
        <v>2.4459342442500063</v>
      </c>
      <c r="Q30" s="241">
        <f t="shared" si="6"/>
        <v>3.1017686638749655</v>
      </c>
      <c r="R30" s="242">
        <f t="shared" si="7"/>
        <v>1.2681324819613282</v>
      </c>
      <c r="S30" s="243">
        <f t="shared" si="8"/>
        <v>1.2681324819613282</v>
      </c>
      <c r="T30"/>
      <c r="U30" s="240">
        <f>SUM(U31,U35,U36)</f>
        <v>3.0729319231142735</v>
      </c>
      <c r="V30" s="242">
        <f t="shared" si="9"/>
        <v>0.55391068591898907</v>
      </c>
      <c r="W30" s="240">
        <f>SUM(W31,W35,W36)</f>
        <v>1.6160156839280431</v>
      </c>
      <c r="X30" s="242">
        <f t="shared" si="10"/>
        <v>0.37781714524408067</v>
      </c>
      <c r="Y30" s="241">
        <f t="shared" si="11"/>
        <v>1.4569162391862305</v>
      </c>
      <c r="Z30" s="242">
        <f t="shared" si="12"/>
        <v>0.90154832881628333</v>
      </c>
      <c r="AA30" s="243">
        <f t="shared" si="13"/>
        <v>0.90154832881628333</v>
      </c>
      <c r="AB30"/>
      <c r="AC30" s="240">
        <f>SUM(AC31,AC35,AC36)</f>
        <v>2.5906050308284203</v>
      </c>
      <c r="AD30" s="242">
        <f t="shared" si="14"/>
        <v>1.0591474553817264</v>
      </c>
      <c r="AE30" s="241">
        <f t="shared" si="15"/>
        <v>0.48232689228585324</v>
      </c>
      <c r="AF30" s="242">
        <f t="shared" si="16"/>
        <v>0.18618310647363145</v>
      </c>
      <c r="AG30" s="243">
        <f t="shared" si="17"/>
        <v>0.18618310647363145</v>
      </c>
      <c r="AH30"/>
      <c r="AI30" s="240">
        <f>SUM(AI31,AI35,AI36)</f>
        <v>1.1495371790091653</v>
      </c>
      <c r="AJ30" s="242">
        <f t="shared" si="18"/>
        <v>0.4699787746590246</v>
      </c>
      <c r="AK30" s="241">
        <f t="shared" si="19"/>
        <v>1.9233947441051082</v>
      </c>
      <c r="AL30" s="242">
        <f t="shared" si="20"/>
        <v>1.6731905494026416</v>
      </c>
      <c r="AM30" s="243">
        <f t="shared" si="21"/>
        <v>1.6731905494026416</v>
      </c>
      <c r="AN30"/>
      <c r="AO30" s="240">
        <f>SUM(AO31,AO35,AO36)</f>
        <v>-0.135936</v>
      </c>
      <c r="AP30" s="242">
        <f t="shared" si="22"/>
        <v>-2.4503114577551166E-2</v>
      </c>
      <c r="AQ30" s="240">
        <f>SUM(AQ31,AQ35,AQ36)</f>
        <v>-8.2100000000000006E-2</v>
      </c>
      <c r="AR30" s="242">
        <f t="shared" si="23"/>
        <v>-1.9194608030747434E-2</v>
      </c>
      <c r="AS30" s="241">
        <f t="shared" si="24"/>
        <v>-5.3835999999999995E-2</v>
      </c>
      <c r="AT30" s="242">
        <f t="shared" si="25"/>
        <v>0.65573690621193648</v>
      </c>
      <c r="AU30" s="243">
        <f t="shared" si="26"/>
        <v>0.65573690621193648</v>
      </c>
      <c r="AV30"/>
      <c r="AW30" s="240">
        <f>SUM(AW31,AW35,AW36)</f>
        <v>-8.2100000000000006E-2</v>
      </c>
      <c r="AX30" s="242">
        <f t="shared" si="27"/>
        <v>-3.3565906439637028E-2</v>
      </c>
      <c r="AY30" s="241">
        <f t="shared" si="28"/>
        <v>-5.3835999999999995E-2</v>
      </c>
      <c r="AZ30" s="242">
        <f t="shared" si="29"/>
        <v>0.65573690621193648</v>
      </c>
      <c r="BA30" s="243">
        <f t="shared" si="30"/>
        <v>0.65573690621193648</v>
      </c>
      <c r="BB30"/>
      <c r="BC30" s="240">
        <f>SUM(BC31,BC35,BC36)</f>
        <v>0</v>
      </c>
      <c r="BD30" s="242">
        <f t="shared" si="31"/>
        <v>0</v>
      </c>
      <c r="BE30" s="241">
        <f t="shared" si="32"/>
        <v>-0.135936</v>
      </c>
      <c r="BF30" s="242">
        <f t="shared" si="33"/>
        <v>0</v>
      </c>
      <c r="BG30" s="243">
        <f t="shared" si="34"/>
        <v>0</v>
      </c>
      <c r="BH30"/>
      <c r="BI30" s="240">
        <f>SUM(BI31,BI35,BI36)</f>
        <v>2.9369959231142735</v>
      </c>
      <c r="BJ30" s="242">
        <f t="shared" si="35"/>
        <v>0.5294075713414379</v>
      </c>
      <c r="BK30" s="240">
        <f>SUM(BK31,BK35,BK36)</f>
        <v>1.533915683928043</v>
      </c>
      <c r="BL30" s="242">
        <f t="shared" si="36"/>
        <v>0.3586225372133332</v>
      </c>
      <c r="BM30" s="241">
        <f t="shared" si="37"/>
        <v>1.4030802391862305</v>
      </c>
      <c r="BN30" s="242">
        <f t="shared" si="38"/>
        <v>0.9147049305821231</v>
      </c>
      <c r="BO30" s="243">
        <f t="shared" si="39"/>
        <v>0.9147049305821231</v>
      </c>
      <c r="BP30"/>
      <c r="BQ30" s="240">
        <f>SUM(BQ31,BQ35,BQ36)</f>
        <v>2.5085050308284202</v>
      </c>
      <c r="BR30" s="242">
        <f t="shared" si="40"/>
        <v>1.0255815489420894</v>
      </c>
      <c r="BS30" s="241">
        <f t="shared" si="41"/>
        <v>0.42849089228585324</v>
      </c>
      <c r="BT30" s="242">
        <f t="shared" si="42"/>
        <v>0.17081524135685963</v>
      </c>
      <c r="BU30" s="243">
        <f t="shared" si="43"/>
        <v>0.17081524135685963</v>
      </c>
      <c r="BV30"/>
      <c r="BW30" s="240">
        <f>SUM(BW31,BW35,BW36)</f>
        <v>1.1495371790091653</v>
      </c>
      <c r="BX30" s="242">
        <f t="shared" si="44"/>
        <v>0.4699787746590246</v>
      </c>
      <c r="BY30" s="241">
        <f t="shared" si="45"/>
        <v>1.7874587441051082</v>
      </c>
      <c r="BZ30" s="242">
        <f t="shared" si="46"/>
        <v>1.5549377408095617</v>
      </c>
      <c r="CA30" s="243">
        <f t="shared" si="47"/>
        <v>1.5549377408095617</v>
      </c>
      <c r="CC30" s="240">
        <f>SUM(CC31,CC35,CC36)</f>
        <v>5.5480476495650057</v>
      </c>
      <c r="CD30" s="240">
        <f t="shared" si="48"/>
        <v>-3.4474144003393548E-4</v>
      </c>
    </row>
    <row r="31" spans="2:82" hidden="1" outlineLevel="1" collapsed="1" x14ac:dyDescent="0.35">
      <c r="B31" s="256" t="s">
        <v>151</v>
      </c>
      <c r="C31" s="256" t="s">
        <v>152</v>
      </c>
      <c r="D31"/>
      <c r="E31" s="257">
        <f>SUM(E32:E34)</f>
        <v>2.3072106766249658</v>
      </c>
      <c r="F31" s="257">
        <f>SUM(F32:F34)</f>
        <v>1.3345511848488585</v>
      </c>
      <c r="G31" s="258">
        <f t="shared" si="0"/>
        <v>0.97265949177610733</v>
      </c>
      <c r="H31" s="259">
        <f t="shared" si="1"/>
        <v>0.72882891478326006</v>
      </c>
      <c r="I31" s="260">
        <f t="shared" si="2"/>
        <v>0.72882891478326006</v>
      </c>
      <c r="J31"/>
      <c r="K31" s="257">
        <f>SUM(K32:K34)</f>
        <v>2.0174375000000002</v>
      </c>
      <c r="L31" s="258">
        <f t="shared" si="3"/>
        <v>0.2897731766249656</v>
      </c>
      <c r="M31" s="259">
        <f t="shared" si="4"/>
        <v>0.14363427696023567</v>
      </c>
      <c r="N31" s="260">
        <f t="shared" si="5"/>
        <v>0.14363427696023567</v>
      </c>
      <c r="O31"/>
      <c r="P31" s="257">
        <f>SUM(P32:P34)</f>
        <v>1.0490779355000011</v>
      </c>
      <c r="Q31" s="258">
        <f t="shared" si="6"/>
        <v>1.2581327411249648</v>
      </c>
      <c r="R31" s="259">
        <f t="shared" si="7"/>
        <v>1.1992748093832764</v>
      </c>
      <c r="S31" s="260">
        <f t="shared" si="8"/>
        <v>1.1992748093832764</v>
      </c>
      <c r="T31"/>
      <c r="U31" s="257">
        <f>SUM(U32:U34)</f>
        <v>1.4424687145466542</v>
      </c>
      <c r="V31" s="259">
        <f t="shared" si="9"/>
        <v>0.62520025984654615</v>
      </c>
      <c r="W31" s="257">
        <f>SUM(W32:W34)</f>
        <v>0.52575402076032218</v>
      </c>
      <c r="X31" s="259">
        <f t="shared" si="10"/>
        <v>0.39395568092794075</v>
      </c>
      <c r="Y31" s="258">
        <f t="shared" si="11"/>
        <v>0.91671469378633197</v>
      </c>
      <c r="Z31" s="259">
        <f t="shared" si="12"/>
        <v>1.7436189883257951</v>
      </c>
      <c r="AA31" s="260">
        <f t="shared" si="13"/>
        <v>1.7436189883257951</v>
      </c>
      <c r="AB31"/>
      <c r="AC31" s="257">
        <f>SUM(AC32:AC34)</f>
        <v>1.1916403359114629</v>
      </c>
      <c r="AD31" s="259">
        <f t="shared" si="14"/>
        <v>1.1358930500654512</v>
      </c>
      <c r="AE31" s="258">
        <f t="shared" si="15"/>
        <v>0.25082837863519125</v>
      </c>
      <c r="AF31" s="259">
        <f t="shared" si="16"/>
        <v>0.21049000363296488</v>
      </c>
      <c r="AG31" s="260">
        <f t="shared" si="17"/>
        <v>0.21049000363296488</v>
      </c>
      <c r="AH31"/>
      <c r="AI31" s="257">
        <f>SUM(AI32:AI34)</f>
        <v>0.14251152588599419</v>
      </c>
      <c r="AJ31" s="259">
        <f t="shared" si="18"/>
        <v>0.13584455555065295</v>
      </c>
      <c r="AK31" s="258">
        <f t="shared" si="19"/>
        <v>1.29995718866066</v>
      </c>
      <c r="AL31" s="259">
        <f t="shared" si="20"/>
        <v>9.1217687873231714</v>
      </c>
      <c r="AM31" s="260">
        <f t="shared" si="21"/>
        <v>9.1217687873231714</v>
      </c>
      <c r="AN31"/>
      <c r="AO31" s="257">
        <f>SUM(AO32:AO34)</f>
        <v>-0.13441500000000001</v>
      </c>
      <c r="AP31" s="259">
        <f t="shared" si="22"/>
        <v>-5.8258658978045719E-2</v>
      </c>
      <c r="AQ31" s="257">
        <f>SUM(AQ32:AQ34)</f>
        <v>-0.08</v>
      </c>
      <c r="AR31" s="259">
        <f t="shared" si="23"/>
        <v>-5.9945246692849938E-2</v>
      </c>
      <c r="AS31" s="258">
        <f t="shared" si="24"/>
        <v>-5.4415000000000005E-2</v>
      </c>
      <c r="AT31" s="259">
        <f t="shared" si="25"/>
        <v>0.68018749999999994</v>
      </c>
      <c r="AU31" s="260">
        <f t="shared" si="26"/>
        <v>0.68018749999999994</v>
      </c>
      <c r="AV31"/>
      <c r="AW31" s="257">
        <f>SUM(AW32:AW34)</f>
        <v>-0.08</v>
      </c>
      <c r="AX31" s="259">
        <f t="shared" si="27"/>
        <v>-7.6257442171702147E-2</v>
      </c>
      <c r="AY31" s="258">
        <f t="shared" si="28"/>
        <v>-5.4415000000000005E-2</v>
      </c>
      <c r="AZ31" s="259">
        <f t="shared" si="29"/>
        <v>0.68018749999999994</v>
      </c>
      <c r="BA31" s="260">
        <f t="shared" si="30"/>
        <v>0.68018749999999994</v>
      </c>
      <c r="BB31"/>
      <c r="BC31" s="257">
        <f>SUM(BC32:BC34)</f>
        <v>0</v>
      </c>
      <c r="BD31" s="259">
        <f t="shared" si="31"/>
        <v>0</v>
      </c>
      <c r="BE31" s="258">
        <f t="shared" si="32"/>
        <v>-0.13441500000000001</v>
      </c>
      <c r="BF31" s="259">
        <f t="shared" si="33"/>
        <v>0</v>
      </c>
      <c r="BG31" s="260">
        <f t="shared" si="34"/>
        <v>0</v>
      </c>
      <c r="BH31"/>
      <c r="BI31" s="257">
        <f>SUM(BI32:BI34)</f>
        <v>1.3080537145466542</v>
      </c>
      <c r="BJ31" s="259">
        <f t="shared" si="35"/>
        <v>0.56694160086850043</v>
      </c>
      <c r="BK31" s="257">
        <f>SUM(BK32:BK34)</f>
        <v>0.44575402076032222</v>
      </c>
      <c r="BL31" s="259">
        <f t="shared" si="36"/>
        <v>0.33401043423509086</v>
      </c>
      <c r="BM31" s="258">
        <f t="shared" si="37"/>
        <v>0.86229969378633198</v>
      </c>
      <c r="BN31" s="259">
        <f t="shared" si="38"/>
        <v>1.9344742921567106</v>
      </c>
      <c r="BO31" s="260">
        <f t="shared" si="39"/>
        <v>1.9344742921567106</v>
      </c>
      <c r="BP31"/>
      <c r="BQ31" s="257">
        <f>SUM(BQ32:BQ34)</f>
        <v>1.1116403359114628</v>
      </c>
      <c r="BR31" s="259">
        <f t="shared" si="40"/>
        <v>1.059635607893749</v>
      </c>
      <c r="BS31" s="258">
        <f t="shared" si="41"/>
        <v>0.19641337863519137</v>
      </c>
      <c r="BT31" s="259">
        <f t="shared" si="42"/>
        <v>0.17668788392258808</v>
      </c>
      <c r="BU31" s="260">
        <f t="shared" si="43"/>
        <v>0.17668788392258808</v>
      </c>
      <c r="BV31"/>
      <c r="BW31" s="257">
        <f>SUM(BW32:BW34)</f>
        <v>0.14251152588599419</v>
      </c>
      <c r="BX31" s="259">
        <f t="shared" si="44"/>
        <v>0.13584455555065295</v>
      </c>
      <c r="BY31" s="258">
        <f t="shared" si="45"/>
        <v>1.1655421886606601</v>
      </c>
      <c r="BZ31" s="259">
        <f t="shared" si="46"/>
        <v>8.1785819175991836</v>
      </c>
      <c r="CA31" s="260">
        <f t="shared" si="47"/>
        <v>8.1785819175991836</v>
      </c>
      <c r="CC31" s="257">
        <f>SUM(CC32:CC34)</f>
        <v>2.3072106790000002</v>
      </c>
      <c r="CD31" s="245">
        <f t="shared" si="48"/>
        <v>-2.3750343913775396E-9</v>
      </c>
    </row>
    <row r="32" spans="2:82" hidden="1" outlineLevel="2" x14ac:dyDescent="0.35">
      <c r="B32" s="255" t="s">
        <v>153</v>
      </c>
      <c r="C32" s="255" t="s">
        <v>154</v>
      </c>
      <c r="D32"/>
      <c r="E32" s="250">
        <v>2.3072106766249658</v>
      </c>
      <c r="F32" s="250">
        <v>1.3345511848488585</v>
      </c>
      <c r="G32" s="251">
        <f t="shared" si="0"/>
        <v>0.97265949177610733</v>
      </c>
      <c r="H32" s="252">
        <f t="shared" si="1"/>
        <v>0.72882891478326006</v>
      </c>
      <c r="I32" s="253">
        <f t="shared" si="2"/>
        <v>0.72882891478326006</v>
      </c>
      <c r="J32"/>
      <c r="K32" s="250">
        <v>2.0174375000000002</v>
      </c>
      <c r="L32" s="251">
        <f t="shared" si="3"/>
        <v>0.2897731766249656</v>
      </c>
      <c r="M32" s="252">
        <f t="shared" si="4"/>
        <v>0.14363427696023567</v>
      </c>
      <c r="N32" s="253">
        <f t="shared" si="5"/>
        <v>0.14363427696023567</v>
      </c>
      <c r="O32"/>
      <c r="P32" s="250">
        <v>1.0490779355000011</v>
      </c>
      <c r="Q32" s="251">
        <f t="shared" si="6"/>
        <v>1.2581327411249648</v>
      </c>
      <c r="R32" s="252">
        <f t="shared" si="7"/>
        <v>1.1992748093832764</v>
      </c>
      <c r="S32" s="253">
        <f t="shared" si="8"/>
        <v>1.1992748093832764</v>
      </c>
      <c r="T32"/>
      <c r="U32" s="250">
        <v>1.5065335945466543</v>
      </c>
      <c r="V32" s="252">
        <f t="shared" si="9"/>
        <v>0.65296750305890661</v>
      </c>
      <c r="W32" s="250">
        <v>0.67535822038133431</v>
      </c>
      <c r="X32" s="252">
        <f t="shared" si="10"/>
        <v>0.50605643908503994</v>
      </c>
      <c r="Y32" s="251">
        <f t="shared" si="11"/>
        <v>0.83117537416531995</v>
      </c>
      <c r="Z32" s="252">
        <f t="shared" si="12"/>
        <v>1.2307177866229346</v>
      </c>
      <c r="AA32" s="253">
        <f t="shared" si="13"/>
        <v>1.2307177866229346</v>
      </c>
      <c r="AB32"/>
      <c r="AC32" s="250">
        <v>1.3412445355324754</v>
      </c>
      <c r="AD32" s="252">
        <f t="shared" si="14"/>
        <v>1.2784984700809905</v>
      </c>
      <c r="AE32" s="251">
        <f t="shared" si="15"/>
        <v>0.1652890590141789</v>
      </c>
      <c r="AF32" s="252">
        <f t="shared" si="16"/>
        <v>0.12323558801942025</v>
      </c>
      <c r="AG32" s="253">
        <f t="shared" si="17"/>
        <v>0.12323558801942025</v>
      </c>
      <c r="AH32"/>
      <c r="AI32" s="250">
        <v>0.32660146899245907</v>
      </c>
      <c r="AJ32" s="252">
        <f t="shared" si="18"/>
        <v>0.31132240793606769</v>
      </c>
      <c r="AK32" s="251">
        <f t="shared" si="19"/>
        <v>1.1799321255541952</v>
      </c>
      <c r="AL32" s="252">
        <f t="shared" si="20"/>
        <v>3.6127581703603386</v>
      </c>
      <c r="AM32" s="253">
        <f t="shared" si="21"/>
        <v>3.6127581703603386</v>
      </c>
      <c r="AN32"/>
      <c r="AO32" s="250">
        <v>-0.13441500000000001</v>
      </c>
      <c r="AP32" s="252">
        <f t="shared" si="22"/>
        <v>-5.8258658978045719E-2</v>
      </c>
      <c r="AQ32" s="250">
        <v>-0.08</v>
      </c>
      <c r="AR32" s="252">
        <f t="shared" si="23"/>
        <v>-5.9945246692849938E-2</v>
      </c>
      <c r="AS32" s="251">
        <f t="shared" si="24"/>
        <v>-5.4415000000000005E-2</v>
      </c>
      <c r="AT32" s="252">
        <f t="shared" si="25"/>
        <v>0.68018749999999994</v>
      </c>
      <c r="AU32" s="253">
        <f t="shared" si="26"/>
        <v>0.68018749999999994</v>
      </c>
      <c r="AV32"/>
      <c r="AW32" s="250">
        <v>-0.08</v>
      </c>
      <c r="AX32" s="252">
        <f t="shared" si="27"/>
        <v>-7.6257442171702147E-2</v>
      </c>
      <c r="AY32" s="251">
        <f t="shared" si="28"/>
        <v>-5.4415000000000005E-2</v>
      </c>
      <c r="AZ32" s="252">
        <f t="shared" si="29"/>
        <v>0.68018749999999994</v>
      </c>
      <c r="BA32" s="253">
        <f t="shared" si="30"/>
        <v>0.68018749999999994</v>
      </c>
      <c r="BB32"/>
      <c r="BC32" s="250">
        <v>0</v>
      </c>
      <c r="BD32" s="252">
        <f t="shared" si="31"/>
        <v>0</v>
      </c>
      <c r="BE32" s="251">
        <f t="shared" si="32"/>
        <v>-0.13441500000000001</v>
      </c>
      <c r="BF32" s="252">
        <f t="shared" si="33"/>
        <v>0</v>
      </c>
      <c r="BG32" s="253">
        <f t="shared" si="34"/>
        <v>0</v>
      </c>
      <c r="BH32"/>
      <c r="BI32" s="250">
        <f t="shared" ref="BI32:BI35" si="57">SUM(U32,AO32)</f>
        <v>1.3721185945466543</v>
      </c>
      <c r="BJ32" s="252">
        <f t="shared" si="35"/>
        <v>0.59470884408086089</v>
      </c>
      <c r="BK32" s="250">
        <f t="shared" ref="BK32:BK35" si="58">SUM(W32,AQ32)</f>
        <v>0.59535822038133435</v>
      </c>
      <c r="BL32" s="252">
        <f t="shared" si="36"/>
        <v>0.4461111923921901</v>
      </c>
      <c r="BM32" s="251">
        <f t="shared" si="37"/>
        <v>0.77676037416531996</v>
      </c>
      <c r="BN32" s="252">
        <f t="shared" si="38"/>
        <v>1.3046941279618098</v>
      </c>
      <c r="BO32" s="253">
        <f t="shared" si="39"/>
        <v>1.3046941279618098</v>
      </c>
      <c r="BP32"/>
      <c r="BQ32" s="250">
        <f t="shared" ref="BQ32:BQ35" si="59">SUM(AC32,AW32)</f>
        <v>1.2612445355324753</v>
      </c>
      <c r="BR32" s="252">
        <f t="shared" si="40"/>
        <v>1.2022410279092883</v>
      </c>
      <c r="BS32" s="251">
        <f t="shared" si="41"/>
        <v>0.11087405901417902</v>
      </c>
      <c r="BT32" s="252">
        <f t="shared" si="42"/>
        <v>8.7908455410964328E-2</v>
      </c>
      <c r="BU32" s="253">
        <f t="shared" si="43"/>
        <v>8.7908455410964328E-2</v>
      </c>
      <c r="BV32"/>
      <c r="BW32" s="250">
        <f t="shared" ref="BW32:BW35" si="60">SUM(AI32,BC32)</f>
        <v>0.32660146899245907</v>
      </c>
      <c r="BX32" s="252">
        <f t="shared" si="44"/>
        <v>0.31132240793606769</v>
      </c>
      <c r="BY32" s="251">
        <f t="shared" si="45"/>
        <v>1.0455171255541953</v>
      </c>
      <c r="BZ32" s="252">
        <f t="shared" si="46"/>
        <v>3.201201540150866</v>
      </c>
      <c r="CA32" s="253">
        <f t="shared" si="47"/>
        <v>3.201201540150866</v>
      </c>
      <c r="CC32" s="250">
        <v>2.3072106790000002</v>
      </c>
      <c r="CD32" s="250">
        <f t="shared" si="48"/>
        <v>-2.3750343913775396E-9</v>
      </c>
    </row>
    <row r="33" spans="2:82" hidden="1" outlineLevel="2" x14ac:dyDescent="0.35">
      <c r="B33" s="255" t="s">
        <v>155</v>
      </c>
      <c r="C33" s="255" t="s">
        <v>156</v>
      </c>
      <c r="D33"/>
      <c r="E33" s="250">
        <v>0</v>
      </c>
      <c r="F33" s="250">
        <v>0</v>
      </c>
      <c r="G33" s="251">
        <f t="shared" si="0"/>
        <v>0</v>
      </c>
      <c r="H33" s="252">
        <f t="shared" si="1"/>
        <v>0</v>
      </c>
      <c r="I33" s="253">
        <f t="shared" si="2"/>
        <v>0</v>
      </c>
      <c r="J33"/>
      <c r="K33" s="250">
        <v>0</v>
      </c>
      <c r="L33" s="251">
        <f t="shared" si="3"/>
        <v>0</v>
      </c>
      <c r="M33" s="252">
        <f t="shared" si="4"/>
        <v>0</v>
      </c>
      <c r="N33" s="253">
        <f t="shared" si="5"/>
        <v>0</v>
      </c>
      <c r="O33"/>
      <c r="P33" s="250">
        <v>0</v>
      </c>
      <c r="Q33" s="251">
        <f t="shared" si="6"/>
        <v>0</v>
      </c>
      <c r="R33" s="252">
        <f t="shared" si="7"/>
        <v>0</v>
      </c>
      <c r="S33" s="253">
        <f t="shared" si="8"/>
        <v>0</v>
      </c>
      <c r="T33"/>
      <c r="U33" s="250">
        <v>-6.6675440000000002E-2</v>
      </c>
      <c r="V33" s="252">
        <f t="shared" si="9"/>
        <v>0</v>
      </c>
      <c r="W33" s="250">
        <v>-0.1496041996210121</v>
      </c>
      <c r="X33" s="252">
        <f t="shared" si="10"/>
        <v>0</v>
      </c>
      <c r="Y33" s="251">
        <f t="shared" si="11"/>
        <v>8.2928759621012094E-2</v>
      </c>
      <c r="Z33" s="252">
        <f t="shared" si="12"/>
        <v>-0.55432106739712572</v>
      </c>
      <c r="AA33" s="253">
        <f t="shared" si="13"/>
        <v>-0.55432106739712572</v>
      </c>
      <c r="AB33"/>
      <c r="AC33" s="250">
        <v>-0.14960419962101248</v>
      </c>
      <c r="AD33" s="252">
        <f t="shared" si="14"/>
        <v>0</v>
      </c>
      <c r="AE33" s="251">
        <f t="shared" si="15"/>
        <v>8.2928759621012482E-2</v>
      </c>
      <c r="AF33" s="252">
        <f t="shared" si="16"/>
        <v>-0.55432106739712683</v>
      </c>
      <c r="AG33" s="253">
        <f t="shared" si="17"/>
        <v>-0.55432106739712683</v>
      </c>
      <c r="AH33"/>
      <c r="AI33" s="250">
        <v>-0.16823149643979821</v>
      </c>
      <c r="AJ33" s="252">
        <f t="shared" si="18"/>
        <v>0</v>
      </c>
      <c r="AK33" s="251">
        <f t="shared" si="19"/>
        <v>0.1015560564397982</v>
      </c>
      <c r="AL33" s="252">
        <f t="shared" si="20"/>
        <v>-0.60366850791308346</v>
      </c>
      <c r="AM33" s="253">
        <f t="shared" si="21"/>
        <v>-0.60366850791308346</v>
      </c>
      <c r="AN33"/>
      <c r="AO33" s="250">
        <v>0</v>
      </c>
      <c r="AP33" s="252">
        <f t="shared" si="22"/>
        <v>0</v>
      </c>
      <c r="AQ33" s="250">
        <v>0</v>
      </c>
      <c r="AR33" s="252">
        <f t="shared" si="23"/>
        <v>0</v>
      </c>
      <c r="AS33" s="251">
        <f t="shared" si="24"/>
        <v>0</v>
      </c>
      <c r="AT33" s="252">
        <f t="shared" si="25"/>
        <v>0</v>
      </c>
      <c r="AU33" s="253">
        <f t="shared" si="26"/>
        <v>0</v>
      </c>
      <c r="AV33"/>
      <c r="AW33" s="250">
        <v>0</v>
      </c>
      <c r="AX33" s="252">
        <f t="shared" si="27"/>
        <v>0</v>
      </c>
      <c r="AY33" s="251">
        <f t="shared" si="28"/>
        <v>0</v>
      </c>
      <c r="AZ33" s="252">
        <f t="shared" si="29"/>
        <v>0</v>
      </c>
      <c r="BA33" s="253">
        <f t="shared" si="30"/>
        <v>0</v>
      </c>
      <c r="BB33"/>
      <c r="BC33" s="250">
        <v>0</v>
      </c>
      <c r="BD33" s="252">
        <f t="shared" si="31"/>
        <v>0</v>
      </c>
      <c r="BE33" s="251">
        <f t="shared" si="32"/>
        <v>0</v>
      </c>
      <c r="BF33" s="252">
        <f t="shared" si="33"/>
        <v>0</v>
      </c>
      <c r="BG33" s="253">
        <f t="shared" si="34"/>
        <v>0</v>
      </c>
      <c r="BH33"/>
      <c r="BI33" s="250">
        <f>SUM(U33,AO33)</f>
        <v>-6.6675440000000002E-2</v>
      </c>
      <c r="BJ33" s="252">
        <f t="shared" si="35"/>
        <v>0</v>
      </c>
      <c r="BK33" s="250">
        <f t="shared" si="58"/>
        <v>-0.1496041996210121</v>
      </c>
      <c r="BL33" s="252">
        <f t="shared" si="36"/>
        <v>0</v>
      </c>
      <c r="BM33" s="251">
        <f t="shared" si="37"/>
        <v>8.2928759621012094E-2</v>
      </c>
      <c r="BN33" s="252">
        <f t="shared" si="38"/>
        <v>0.55432106739712572</v>
      </c>
      <c r="BO33" s="253">
        <f t="shared" si="39"/>
        <v>0.55432106739712572</v>
      </c>
      <c r="BP33"/>
      <c r="BQ33" s="250">
        <f t="shared" si="59"/>
        <v>-0.14960419962101248</v>
      </c>
      <c r="BR33" s="252">
        <f t="shared" si="40"/>
        <v>0</v>
      </c>
      <c r="BS33" s="251">
        <f t="shared" si="41"/>
        <v>8.2928759621012482E-2</v>
      </c>
      <c r="BT33" s="252">
        <f t="shared" si="42"/>
        <v>0.55432106739712683</v>
      </c>
      <c r="BU33" s="253">
        <f t="shared" si="43"/>
        <v>0.55432106739712683</v>
      </c>
      <c r="BV33"/>
      <c r="BW33" s="250">
        <f t="shared" si="60"/>
        <v>-0.16823149643979821</v>
      </c>
      <c r="BX33" s="252">
        <f t="shared" si="44"/>
        <v>0</v>
      </c>
      <c r="BY33" s="251">
        <f t="shared" si="45"/>
        <v>0.1015560564397982</v>
      </c>
      <c r="BZ33" s="252">
        <f t="shared" si="46"/>
        <v>0.60366850791308346</v>
      </c>
      <c r="CA33" s="253">
        <f t="shared" si="47"/>
        <v>0.60366850791308346</v>
      </c>
      <c r="CC33" s="250">
        <v>0</v>
      </c>
      <c r="CD33" s="250">
        <f t="shared" si="48"/>
        <v>0</v>
      </c>
    </row>
    <row r="34" spans="2:82" hidden="1" outlineLevel="2" x14ac:dyDescent="0.35">
      <c r="B34" s="255" t="s">
        <v>157</v>
      </c>
      <c r="C34" s="255" t="s">
        <v>158</v>
      </c>
      <c r="D34"/>
      <c r="E34" s="250">
        <v>0</v>
      </c>
      <c r="F34" s="250">
        <v>0</v>
      </c>
      <c r="G34" s="251">
        <f>$E34-F34</f>
        <v>0</v>
      </c>
      <c r="H34" s="252">
        <f>IFERROR($E34/F34-1,0)</f>
        <v>0</v>
      </c>
      <c r="I34" s="253">
        <f>H34</f>
        <v>0</v>
      </c>
      <c r="J34"/>
      <c r="K34" s="250">
        <v>0</v>
      </c>
      <c r="L34" s="251">
        <f>$E34-K34</f>
        <v>0</v>
      </c>
      <c r="M34" s="252">
        <f>IFERROR($E34/K34-1,0)</f>
        <v>0</v>
      </c>
      <c r="N34" s="253">
        <f>M34</f>
        <v>0</v>
      </c>
      <c r="O34"/>
      <c r="P34" s="250">
        <v>0</v>
      </c>
      <c r="Q34" s="251">
        <f>$E34-P34</f>
        <v>0</v>
      </c>
      <c r="R34" s="252">
        <f>IFERROR($E34/P34-1,0)</f>
        <v>0</v>
      </c>
      <c r="S34" s="253">
        <f>R34</f>
        <v>0</v>
      </c>
      <c r="T34"/>
      <c r="U34" s="250">
        <v>2.6105599999999996E-3</v>
      </c>
      <c r="V34" s="252">
        <f>IFERROR(U34/$E34,0)</f>
        <v>0</v>
      </c>
      <c r="W34" s="250">
        <v>0</v>
      </c>
      <c r="X34" s="252">
        <f>IFERROR(W34/$F34,0)</f>
        <v>0</v>
      </c>
      <c r="Y34" s="251">
        <f>$U34-W34</f>
        <v>2.6105599999999996E-3</v>
      </c>
      <c r="Z34" s="252">
        <f>IFERROR($U34/W34-1,0)</f>
        <v>0</v>
      </c>
      <c r="AA34" s="253">
        <f>Z34</f>
        <v>0</v>
      </c>
      <c r="AB34"/>
      <c r="AC34" s="250">
        <v>0</v>
      </c>
      <c r="AD34" s="252">
        <f>IFERROR(AC34/$P34,0)</f>
        <v>0</v>
      </c>
      <c r="AE34" s="251">
        <f>$U34-AC34</f>
        <v>2.6105599999999996E-3</v>
      </c>
      <c r="AF34" s="252">
        <f>IFERROR($U34/AC34-1,0)</f>
        <v>0</v>
      </c>
      <c r="AG34" s="253">
        <f>AF34</f>
        <v>0</v>
      </c>
      <c r="AH34"/>
      <c r="AI34" s="250">
        <v>-1.5858446666666672E-2</v>
      </c>
      <c r="AJ34" s="252">
        <f>IFERROR(AI34/$P34,0)</f>
        <v>0</v>
      </c>
      <c r="AK34" s="251">
        <f>$U34-AI34</f>
        <v>1.8469006666666669E-2</v>
      </c>
      <c r="AL34" s="252">
        <f>IFERROR($U34/AI34-1,0)</f>
        <v>-1.1646163747857607</v>
      </c>
      <c r="AM34" s="253">
        <f>AL34</f>
        <v>-1.1646163747857607</v>
      </c>
      <c r="AN34"/>
      <c r="AO34" s="250">
        <v>0</v>
      </c>
      <c r="AP34" s="252">
        <f>IFERROR(AO34/$E34,0)</f>
        <v>0</v>
      </c>
      <c r="AQ34" s="250">
        <v>0</v>
      </c>
      <c r="AR34" s="252">
        <f>IFERROR(AQ34/$F34,0)</f>
        <v>0</v>
      </c>
      <c r="AS34" s="251">
        <f>$AO34-AQ34</f>
        <v>0</v>
      </c>
      <c r="AT34" s="252">
        <f>IFERROR($AO34/AQ34-1,0)</f>
        <v>0</v>
      </c>
      <c r="AU34" s="253">
        <f>AT34</f>
        <v>0</v>
      </c>
      <c r="AV34"/>
      <c r="AW34" s="250">
        <v>0</v>
      </c>
      <c r="AX34" s="252">
        <f>IFERROR(AW34/$P34,0)</f>
        <v>0</v>
      </c>
      <c r="AY34" s="251">
        <f>$AO34-AW34</f>
        <v>0</v>
      </c>
      <c r="AZ34" s="252">
        <f>IFERROR($AO34/AW34-1,0)</f>
        <v>0</v>
      </c>
      <c r="BA34" s="253">
        <f>AZ34</f>
        <v>0</v>
      </c>
      <c r="BB34"/>
      <c r="BC34" s="250">
        <v>0</v>
      </c>
      <c r="BD34" s="252">
        <f>IFERROR(BC34/$P34,0)</f>
        <v>0</v>
      </c>
      <c r="BE34" s="251">
        <f>$AO34-BC34</f>
        <v>0</v>
      </c>
      <c r="BF34" s="252">
        <f>IFERROR($AO34/BC34-1,0)</f>
        <v>0</v>
      </c>
      <c r="BG34" s="253">
        <f>BF34</f>
        <v>0</v>
      </c>
      <c r="BH34"/>
      <c r="BI34" s="250">
        <f t="shared" ref="BI34" si="61">SUM(U34,AO34)</f>
        <v>2.6105599999999996E-3</v>
      </c>
      <c r="BJ34" s="252">
        <f>IFERROR(BI34/$E34,0)</f>
        <v>0</v>
      </c>
      <c r="BK34" s="250">
        <f t="shared" si="58"/>
        <v>0</v>
      </c>
      <c r="BL34" s="252">
        <f>IFERROR(BK34/$F34,0)</f>
        <v>0</v>
      </c>
      <c r="BM34" s="251">
        <f>$BI34-BK34</f>
        <v>2.6105599999999996E-3</v>
      </c>
      <c r="BN34" s="252">
        <f>IFERROR(BM34/ABS(BK34),0)</f>
        <v>0</v>
      </c>
      <c r="BO34" s="253">
        <f>BN34</f>
        <v>0</v>
      </c>
      <c r="BP34"/>
      <c r="BQ34" s="250">
        <f>SUM(AC34,AW34)</f>
        <v>0</v>
      </c>
      <c r="BR34" s="252">
        <f>IFERROR(BQ34/$P34,0)</f>
        <v>0</v>
      </c>
      <c r="BS34" s="251">
        <f>$BI34-BQ34</f>
        <v>2.6105599999999996E-3</v>
      </c>
      <c r="BT34" s="252" t="str">
        <f>IFERROR(BS34/ABS(BQ34),"")</f>
        <v/>
      </c>
      <c r="BU34" s="253" t="str">
        <f>BT34</f>
        <v/>
      </c>
      <c r="BV34"/>
      <c r="BW34" s="250">
        <f>SUM(AI34,BC34)</f>
        <v>-1.5858446666666672E-2</v>
      </c>
      <c r="BX34" s="252">
        <f>IFERROR(BW34/$P34,0)</f>
        <v>0</v>
      </c>
      <c r="BY34" s="251">
        <f>$BI34-BW34</f>
        <v>1.8469006666666669E-2</v>
      </c>
      <c r="BZ34" s="252">
        <f>IFERROR(BY34/ABS(BW34),"")</f>
        <v>1.1646163747857607</v>
      </c>
      <c r="CA34" s="253">
        <f>BZ34</f>
        <v>1.1646163747857607</v>
      </c>
      <c r="CC34" s="250">
        <v>0</v>
      </c>
      <c r="CD34" s="250">
        <f>$E34-CC34</f>
        <v>0</v>
      </c>
    </row>
    <row r="35" spans="2:82" hidden="1" outlineLevel="1" x14ac:dyDescent="0.35">
      <c r="B35" s="255" t="s">
        <v>159</v>
      </c>
      <c r="C35" s="255" t="s">
        <v>160</v>
      </c>
      <c r="D35"/>
      <c r="E35" s="250">
        <v>1.1481825400000001</v>
      </c>
      <c r="F35" s="250">
        <v>0.93643853333799354</v>
      </c>
      <c r="G35" s="251">
        <f t="shared" si="0"/>
        <v>0.21174400666200655</v>
      </c>
      <c r="H35" s="252">
        <f t="shared" si="1"/>
        <v>0.22611628966957587</v>
      </c>
      <c r="I35" s="253">
        <f t="shared" si="2"/>
        <v>0.22611628966957587</v>
      </c>
      <c r="J35"/>
      <c r="K35" s="250">
        <v>1.160145</v>
      </c>
      <c r="L35" s="251">
        <f t="shared" si="3"/>
        <v>-1.1962459999999897E-2</v>
      </c>
      <c r="M35" s="252">
        <f t="shared" si="4"/>
        <v>-1.0311176620163787E-2</v>
      </c>
      <c r="N35" s="253">
        <f t="shared" si="5"/>
        <v>-1.0311176620163787E-2</v>
      </c>
      <c r="O35"/>
      <c r="P35" s="250">
        <v>0</v>
      </c>
      <c r="Q35" s="251">
        <f t="shared" si="6"/>
        <v>1.1481825400000001</v>
      </c>
      <c r="R35" s="252">
        <f t="shared" si="7"/>
        <v>0</v>
      </c>
      <c r="S35" s="253">
        <f t="shared" si="8"/>
        <v>0</v>
      </c>
      <c r="T35"/>
      <c r="U35" s="250">
        <v>0.54904637386616184</v>
      </c>
      <c r="V35" s="252">
        <f t="shared" si="9"/>
        <v>0.47818735674744001</v>
      </c>
      <c r="W35" s="250">
        <v>6.3200305082699469E-3</v>
      </c>
      <c r="X35" s="252">
        <f t="shared" si="10"/>
        <v>6.7490073115015932E-3</v>
      </c>
      <c r="Y35" s="251">
        <f t="shared" si="11"/>
        <v>0.54272634335789194</v>
      </c>
      <c r="Z35" s="252">
        <f t="shared" si="12"/>
        <v>85.874006881409585</v>
      </c>
      <c r="AA35" s="253">
        <f t="shared" si="13"/>
        <v>85.874006881409585</v>
      </c>
      <c r="AB35"/>
      <c r="AC35" s="250">
        <v>0.23002649717027601</v>
      </c>
      <c r="AD35" s="252">
        <f t="shared" si="14"/>
        <v>0</v>
      </c>
      <c r="AE35" s="251">
        <f t="shared" si="15"/>
        <v>0.31901987669588583</v>
      </c>
      <c r="AF35" s="252">
        <f t="shared" si="16"/>
        <v>1.3868831661586052</v>
      </c>
      <c r="AG35" s="253">
        <f t="shared" si="17"/>
        <v>1.3868831661586052</v>
      </c>
      <c r="AH35"/>
      <c r="AI35" s="250">
        <v>0</v>
      </c>
      <c r="AJ35" s="252">
        <f t="shared" si="18"/>
        <v>0</v>
      </c>
      <c r="AK35" s="251">
        <f t="shared" si="19"/>
        <v>0.54904637386616184</v>
      </c>
      <c r="AL35" s="252">
        <f t="shared" si="20"/>
        <v>0</v>
      </c>
      <c r="AM35" s="253">
        <f t="shared" si="21"/>
        <v>0</v>
      </c>
      <c r="AN35"/>
      <c r="AO35" s="250">
        <v>-1.521E-3</v>
      </c>
      <c r="AP35" s="252">
        <f t="shared" si="22"/>
        <v>-1.3247022550961277E-3</v>
      </c>
      <c r="AQ35" s="250">
        <v>0</v>
      </c>
      <c r="AR35" s="252">
        <f t="shared" si="23"/>
        <v>0</v>
      </c>
      <c r="AS35" s="251">
        <f t="shared" si="24"/>
        <v>-1.521E-3</v>
      </c>
      <c r="AT35" s="252">
        <f t="shared" si="25"/>
        <v>0</v>
      </c>
      <c r="AU35" s="253">
        <f t="shared" si="26"/>
        <v>0</v>
      </c>
      <c r="AV35"/>
      <c r="AW35" s="250">
        <v>0</v>
      </c>
      <c r="AX35" s="252">
        <f t="shared" si="27"/>
        <v>0</v>
      </c>
      <c r="AY35" s="251">
        <f t="shared" si="28"/>
        <v>-1.521E-3</v>
      </c>
      <c r="AZ35" s="252">
        <f t="shared" si="29"/>
        <v>0</v>
      </c>
      <c r="BA35" s="253">
        <f t="shared" si="30"/>
        <v>0</v>
      </c>
      <c r="BB35"/>
      <c r="BC35" s="250">
        <v>0</v>
      </c>
      <c r="BD35" s="252">
        <f t="shared" si="31"/>
        <v>0</v>
      </c>
      <c r="BE35" s="251">
        <f t="shared" si="32"/>
        <v>-1.521E-3</v>
      </c>
      <c r="BF35" s="252">
        <f t="shared" si="33"/>
        <v>0</v>
      </c>
      <c r="BG35" s="253">
        <f t="shared" si="34"/>
        <v>0</v>
      </c>
      <c r="BH35"/>
      <c r="BI35" s="250">
        <f t="shared" si="57"/>
        <v>0.54752537386616185</v>
      </c>
      <c r="BJ35" s="252">
        <f t="shared" si="35"/>
        <v>0.47686265449234388</v>
      </c>
      <c r="BK35" s="250">
        <f t="shared" si="58"/>
        <v>6.3200305082699469E-3</v>
      </c>
      <c r="BL35" s="252">
        <f t="shared" si="36"/>
        <v>6.7490073115015932E-3</v>
      </c>
      <c r="BM35" s="251">
        <f t="shared" si="37"/>
        <v>0.54120534335789194</v>
      </c>
      <c r="BN35" s="252">
        <f t="shared" si="38"/>
        <v>85.633343486191833</v>
      </c>
      <c r="BO35" s="253">
        <f t="shared" si="39"/>
        <v>85.633343486191833</v>
      </c>
      <c r="BP35"/>
      <c r="BQ35" s="250">
        <f t="shared" si="59"/>
        <v>0.23002649717027601</v>
      </c>
      <c r="BR35" s="252">
        <f t="shared" si="40"/>
        <v>0</v>
      </c>
      <c r="BS35" s="251">
        <f t="shared" si="41"/>
        <v>0.31749887669588583</v>
      </c>
      <c r="BT35" s="252">
        <f t="shared" si="42"/>
        <v>1.3802708844488416</v>
      </c>
      <c r="BU35" s="253">
        <f t="shared" si="43"/>
        <v>1.3802708844488416</v>
      </c>
      <c r="BV35"/>
      <c r="BW35" s="250">
        <f t="shared" si="60"/>
        <v>0</v>
      </c>
      <c r="BX35" s="252">
        <f t="shared" si="44"/>
        <v>0</v>
      </c>
      <c r="BY35" s="251">
        <f t="shared" si="45"/>
        <v>0.54752537386616185</v>
      </c>
      <c r="BZ35" s="252" t="str">
        <f t="shared" si="46"/>
        <v/>
      </c>
      <c r="CA35" s="253" t="str">
        <f t="shared" si="47"/>
        <v/>
      </c>
      <c r="CC35" s="250">
        <v>1.148527280565</v>
      </c>
      <c r="CD35" s="250">
        <f t="shared" si="48"/>
        <v>-3.4474056499989025E-4</v>
      </c>
    </row>
    <row r="36" spans="2:82" hidden="1" outlineLevel="1" collapsed="1" x14ac:dyDescent="0.35">
      <c r="B36" s="256" t="s">
        <v>161</v>
      </c>
      <c r="C36" s="256" t="s">
        <v>162</v>
      </c>
      <c r="D36"/>
      <c r="E36" s="257">
        <f>SUM(E37:E39)</f>
        <v>2.0923096915000059</v>
      </c>
      <c r="F36" s="257">
        <f>SUM(F37:F39)</f>
        <v>2.0062531339977698</v>
      </c>
      <c r="G36" s="258">
        <f t="shared" si="0"/>
        <v>8.6056557502236064E-2</v>
      </c>
      <c r="H36" s="259">
        <f t="shared" si="1"/>
        <v>4.2894167263307859E-2</v>
      </c>
      <c r="I36" s="260">
        <f t="shared" si="2"/>
        <v>4.2894167263307859E-2</v>
      </c>
      <c r="J36"/>
      <c r="K36" s="257">
        <f>SUM(K37:K39)</f>
        <v>2.091249699085</v>
      </c>
      <c r="L36" s="258">
        <f t="shared" si="3"/>
        <v>1.0599924150058726E-3</v>
      </c>
      <c r="M36" s="259">
        <f t="shared" si="4"/>
        <v>5.0687032517915398E-4</v>
      </c>
      <c r="N36" s="260">
        <f t="shared" si="5"/>
        <v>5.0687032517915398E-4</v>
      </c>
      <c r="O36"/>
      <c r="P36" s="257">
        <f>SUM(P37:P39)</f>
        <v>1.3968563087500052</v>
      </c>
      <c r="Q36" s="258">
        <f t="shared" si="6"/>
        <v>0.69545338275000068</v>
      </c>
      <c r="R36" s="259">
        <f t="shared" si="7"/>
        <v>0.49787038107902171</v>
      </c>
      <c r="S36" s="260">
        <f t="shared" si="8"/>
        <v>0.49787038107902171</v>
      </c>
      <c r="T36"/>
      <c r="U36" s="257">
        <f>SUM(U37:U39)</f>
        <v>1.0814168347014574</v>
      </c>
      <c r="V36" s="259">
        <f t="shared" si="9"/>
        <v>0.51685314038103736</v>
      </c>
      <c r="W36" s="257">
        <f>SUM(W37:W39)</f>
        <v>1.0839416326594509</v>
      </c>
      <c r="X36" s="259">
        <f t="shared" si="10"/>
        <v>0.54028158974113571</v>
      </c>
      <c r="Y36" s="258">
        <f t="shared" si="11"/>
        <v>-2.5247979579934299E-3</v>
      </c>
      <c r="Z36" s="259">
        <f t="shared" si="12"/>
        <v>-2.3292748261719565E-3</v>
      </c>
      <c r="AA36" s="260">
        <f t="shared" si="13"/>
        <v>-2.3292748261719565E-3</v>
      </c>
      <c r="AB36"/>
      <c r="AC36" s="257">
        <f>SUM(AC37:AC39)</f>
        <v>1.1689381977466815</v>
      </c>
      <c r="AD36" s="259">
        <f t="shared" si="14"/>
        <v>0.83683496321301709</v>
      </c>
      <c r="AE36" s="258">
        <f t="shared" si="15"/>
        <v>-8.7521363045224065E-2</v>
      </c>
      <c r="AF36" s="259">
        <f t="shared" si="16"/>
        <v>-7.4872532366497824E-2</v>
      </c>
      <c r="AG36" s="260">
        <f t="shared" si="17"/>
        <v>-7.4872532366497824E-2</v>
      </c>
      <c r="AH36"/>
      <c r="AI36" s="257">
        <f>SUM(AI37:AI39)</f>
        <v>1.0070256531231712</v>
      </c>
      <c r="AJ36" s="259">
        <f t="shared" si="18"/>
        <v>0.72092286573435815</v>
      </c>
      <c r="AK36" s="258">
        <f t="shared" si="19"/>
        <v>7.4391181578286281E-2</v>
      </c>
      <c r="AL36" s="259">
        <f t="shared" si="20"/>
        <v>7.3872181257320424E-2</v>
      </c>
      <c r="AM36" s="260">
        <f t="shared" si="21"/>
        <v>7.3872181257320424E-2</v>
      </c>
      <c r="AN36"/>
      <c r="AO36" s="257">
        <f>SUM(AO37:AO39)</f>
        <v>0</v>
      </c>
      <c r="AP36" s="259">
        <f t="shared" si="22"/>
        <v>0</v>
      </c>
      <c r="AQ36" s="257">
        <f>SUM(AQ37:AQ39)</f>
        <v>-2.0999999999999999E-3</v>
      </c>
      <c r="AR36" s="259">
        <f t="shared" si="23"/>
        <v>-1.0467273368517686E-3</v>
      </c>
      <c r="AS36" s="258">
        <f t="shared" si="24"/>
        <v>2.0999999999999999E-3</v>
      </c>
      <c r="AT36" s="259">
        <f t="shared" si="25"/>
        <v>-1</v>
      </c>
      <c r="AU36" s="260">
        <f t="shared" si="26"/>
        <v>-1</v>
      </c>
      <c r="AV36"/>
      <c r="AW36" s="257">
        <f>SUM(AW37:AW39)</f>
        <v>-2.0999999999999999E-3</v>
      </c>
      <c r="AX36" s="259">
        <f t="shared" si="27"/>
        <v>-1.5033758210099733E-3</v>
      </c>
      <c r="AY36" s="258">
        <f t="shared" si="28"/>
        <v>2.0999999999999999E-3</v>
      </c>
      <c r="AZ36" s="259">
        <f t="shared" si="29"/>
        <v>-1</v>
      </c>
      <c r="BA36" s="260">
        <f t="shared" si="30"/>
        <v>-1</v>
      </c>
      <c r="BB36"/>
      <c r="BC36" s="257">
        <f>SUM(BC37:BC39)</f>
        <v>0</v>
      </c>
      <c r="BD36" s="259">
        <f t="shared" si="31"/>
        <v>0</v>
      </c>
      <c r="BE36" s="258">
        <f t="shared" si="32"/>
        <v>0</v>
      </c>
      <c r="BF36" s="259">
        <f t="shared" si="33"/>
        <v>0</v>
      </c>
      <c r="BG36" s="260">
        <f t="shared" si="34"/>
        <v>0</v>
      </c>
      <c r="BH36"/>
      <c r="BI36" s="257">
        <f>SUM(BI37:BI39)</f>
        <v>1.0814168347014574</v>
      </c>
      <c r="BJ36" s="259">
        <f t="shared" si="35"/>
        <v>0.51685314038103736</v>
      </c>
      <c r="BK36" s="257">
        <f>SUM(BK37:BK39)</f>
        <v>1.0818416326594509</v>
      </c>
      <c r="BL36" s="259">
        <f t="shared" si="36"/>
        <v>0.53923486240428398</v>
      </c>
      <c r="BM36" s="258">
        <f t="shared" si="37"/>
        <v>-4.2479795799343911E-4</v>
      </c>
      <c r="BN36" s="259">
        <f t="shared" si="38"/>
        <v>-3.9266186950965659E-4</v>
      </c>
      <c r="BO36" s="260">
        <f t="shared" si="39"/>
        <v>-3.9266186950965659E-4</v>
      </c>
      <c r="BP36"/>
      <c r="BQ36" s="257">
        <f>SUM(BQ37:BQ39)</f>
        <v>1.1668381977466815</v>
      </c>
      <c r="BR36" s="259">
        <f t="shared" si="40"/>
        <v>0.83533158739200719</v>
      </c>
      <c r="BS36" s="258">
        <f t="shared" si="41"/>
        <v>-8.5421363045224075E-2</v>
      </c>
      <c r="BT36" s="259">
        <f t="shared" si="42"/>
        <v>-7.3207547721855518E-2</v>
      </c>
      <c r="BU36" s="260">
        <f t="shared" si="43"/>
        <v>-7.3207547721855518E-2</v>
      </c>
      <c r="BV36"/>
      <c r="BW36" s="257">
        <f>SUM(BW37:BW39)</f>
        <v>1.0070256531231712</v>
      </c>
      <c r="BX36" s="259">
        <f t="shared" si="44"/>
        <v>0.72092286573435815</v>
      </c>
      <c r="BY36" s="258">
        <f t="shared" si="45"/>
        <v>7.4391181578286281E-2</v>
      </c>
      <c r="BZ36" s="259">
        <f t="shared" si="46"/>
        <v>7.3872181257320327E-2</v>
      </c>
      <c r="CA36" s="260">
        <f t="shared" si="47"/>
        <v>7.3872181257320327E-2</v>
      </c>
      <c r="CC36" s="257">
        <f>SUM(CC37:CC39)</f>
        <v>2.0923096900000058</v>
      </c>
      <c r="CD36" s="257">
        <f t="shared" si="48"/>
        <v>1.5000001241105565E-9</v>
      </c>
    </row>
    <row r="37" spans="2:82" hidden="1" outlineLevel="2" x14ac:dyDescent="0.35">
      <c r="B37" s="255" t="s">
        <v>163</v>
      </c>
      <c r="C37" s="255" t="s">
        <v>164</v>
      </c>
      <c r="D37"/>
      <c r="E37" s="250">
        <v>0.8632994100000001</v>
      </c>
      <c r="F37" s="250">
        <v>0.93924776092055307</v>
      </c>
      <c r="G37" s="251">
        <f t="shared" si="0"/>
        <v>-7.5948350920552965E-2</v>
      </c>
      <c r="H37" s="252">
        <f t="shared" si="1"/>
        <v>-8.0860827228500742E-2</v>
      </c>
      <c r="I37" s="253">
        <f t="shared" si="2"/>
        <v>-8.0860827228500742E-2</v>
      </c>
      <c r="J37"/>
      <c r="K37" s="250">
        <v>0</v>
      </c>
      <c r="L37" s="251">
        <f t="shared" si="3"/>
        <v>0.8632994100000001</v>
      </c>
      <c r="M37" s="252">
        <f t="shared" si="4"/>
        <v>0</v>
      </c>
      <c r="N37" s="253">
        <f t="shared" si="5"/>
        <v>0</v>
      </c>
      <c r="O37"/>
      <c r="P37" s="250">
        <v>0.66177386999999999</v>
      </c>
      <c r="Q37" s="251">
        <f t="shared" si="6"/>
        <v>0.20152554000000011</v>
      </c>
      <c r="R37" s="252">
        <f t="shared" si="7"/>
        <v>0.30452326562848442</v>
      </c>
      <c r="S37" s="253">
        <f t="shared" si="8"/>
        <v>0.30452326562848442</v>
      </c>
      <c r="T37"/>
      <c r="U37" s="250">
        <v>0.60368679577109297</v>
      </c>
      <c r="V37" s="252">
        <f t="shared" si="9"/>
        <v>0.69927859185157193</v>
      </c>
      <c r="W37" s="250">
        <v>0.93924776092055307</v>
      </c>
      <c r="X37" s="252">
        <f t="shared" si="10"/>
        <v>1</v>
      </c>
      <c r="Y37" s="251">
        <f t="shared" si="11"/>
        <v>-0.3355609651494601</v>
      </c>
      <c r="Z37" s="252">
        <f t="shared" si="12"/>
        <v>-0.35726565354872719</v>
      </c>
      <c r="AA37" s="253">
        <f t="shared" si="13"/>
        <v>-0.35726565354872719</v>
      </c>
      <c r="AB37"/>
      <c r="AC37" s="250">
        <v>0</v>
      </c>
      <c r="AD37" s="252">
        <f t="shared" si="14"/>
        <v>0</v>
      </c>
      <c r="AE37" s="251">
        <f t="shared" si="15"/>
        <v>0.60368679577109297</v>
      </c>
      <c r="AF37" s="252">
        <f t="shared" si="16"/>
        <v>0</v>
      </c>
      <c r="AG37" s="253">
        <f t="shared" si="17"/>
        <v>0</v>
      </c>
      <c r="AH37"/>
      <c r="AI37" s="250">
        <v>0.23667817000000002</v>
      </c>
      <c r="AJ37" s="252">
        <f t="shared" si="18"/>
        <v>0.35764205981720015</v>
      </c>
      <c r="AK37" s="251">
        <f t="shared" si="19"/>
        <v>0.36700862577109294</v>
      </c>
      <c r="AL37" s="252">
        <f t="shared" si="20"/>
        <v>1.5506653012024425</v>
      </c>
      <c r="AM37" s="253">
        <f t="shared" si="21"/>
        <v>1.5506653012024425</v>
      </c>
      <c r="AN37"/>
      <c r="AO37" s="250">
        <v>0</v>
      </c>
      <c r="AP37" s="252">
        <f t="shared" si="22"/>
        <v>0</v>
      </c>
      <c r="AQ37" s="250">
        <v>0</v>
      </c>
      <c r="AR37" s="252">
        <f t="shared" si="23"/>
        <v>0</v>
      </c>
      <c r="AS37" s="251">
        <f t="shared" si="24"/>
        <v>0</v>
      </c>
      <c r="AT37" s="252">
        <f t="shared" si="25"/>
        <v>0</v>
      </c>
      <c r="AU37" s="253">
        <f t="shared" si="26"/>
        <v>0</v>
      </c>
      <c r="AV37"/>
      <c r="AW37" s="250">
        <v>0</v>
      </c>
      <c r="AX37" s="252">
        <f t="shared" si="27"/>
        <v>0</v>
      </c>
      <c r="AY37" s="251">
        <f t="shared" si="28"/>
        <v>0</v>
      </c>
      <c r="AZ37" s="252">
        <f t="shared" si="29"/>
        <v>0</v>
      </c>
      <c r="BA37" s="253">
        <f t="shared" si="30"/>
        <v>0</v>
      </c>
      <c r="BB37"/>
      <c r="BC37" s="250">
        <v>0</v>
      </c>
      <c r="BD37" s="252">
        <f t="shared" si="31"/>
        <v>0</v>
      </c>
      <c r="BE37" s="251">
        <f t="shared" si="32"/>
        <v>0</v>
      </c>
      <c r="BF37" s="252">
        <f t="shared" si="33"/>
        <v>0</v>
      </c>
      <c r="BG37" s="253">
        <f t="shared" si="34"/>
        <v>0</v>
      </c>
      <c r="BH37"/>
      <c r="BI37" s="250">
        <f t="shared" ref="BI37:BI39" si="62">SUM(U37,AO37)</f>
        <v>0.60368679577109297</v>
      </c>
      <c r="BJ37" s="252">
        <f t="shared" si="35"/>
        <v>0.69927859185157193</v>
      </c>
      <c r="BK37" s="250">
        <f t="shared" ref="BK37:BK39" si="63">SUM(W37,AQ37)</f>
        <v>0.93924776092055307</v>
      </c>
      <c r="BL37" s="252">
        <f t="shared" si="36"/>
        <v>1</v>
      </c>
      <c r="BM37" s="251">
        <f t="shared" si="37"/>
        <v>-0.3355609651494601</v>
      </c>
      <c r="BN37" s="252">
        <f t="shared" si="38"/>
        <v>-0.35726565354872725</v>
      </c>
      <c r="BO37" s="253">
        <f t="shared" si="39"/>
        <v>-0.35726565354872725</v>
      </c>
      <c r="BP37"/>
      <c r="BQ37" s="250">
        <f t="shared" ref="BQ37:BQ39" si="64">SUM(AC37,AW37)</f>
        <v>0</v>
      </c>
      <c r="BR37" s="252">
        <f t="shared" si="40"/>
        <v>0</v>
      </c>
      <c r="BS37" s="251">
        <f t="shared" si="41"/>
        <v>0.60368679577109297</v>
      </c>
      <c r="BT37" s="252" t="str">
        <f t="shared" si="42"/>
        <v/>
      </c>
      <c r="BU37" s="253" t="str">
        <f t="shared" si="43"/>
        <v/>
      </c>
      <c r="BV37"/>
      <c r="BW37" s="250">
        <f t="shared" ref="BW37:BW39" si="65">SUM(AI37,BC37)</f>
        <v>0.23667817000000002</v>
      </c>
      <c r="BX37" s="252">
        <f t="shared" si="44"/>
        <v>0.35764205981720015</v>
      </c>
      <c r="BY37" s="251">
        <f t="shared" si="45"/>
        <v>0.36700862577109294</v>
      </c>
      <c r="BZ37" s="252">
        <f t="shared" si="46"/>
        <v>1.5506653012024425</v>
      </c>
      <c r="CA37" s="253">
        <f t="shared" si="47"/>
        <v>1.5506653012024425</v>
      </c>
      <c r="CC37" s="250">
        <v>0.86329941000000021</v>
      </c>
      <c r="CD37" s="250">
        <f t="shared" si="48"/>
        <v>0</v>
      </c>
    </row>
    <row r="38" spans="2:82" hidden="1" outlineLevel="2" x14ac:dyDescent="0.35">
      <c r="B38" s="255" t="s">
        <v>165</v>
      </c>
      <c r="C38" s="255" t="s">
        <v>166</v>
      </c>
      <c r="D38"/>
      <c r="E38" s="250">
        <v>0.79563924150000453</v>
      </c>
      <c r="F38" s="250">
        <v>0.58853403552222838</v>
      </c>
      <c r="G38" s="251">
        <f t="shared" si="0"/>
        <v>0.20710520597777615</v>
      </c>
      <c r="H38" s="252">
        <f t="shared" si="1"/>
        <v>0.35190013402369136</v>
      </c>
      <c r="I38" s="253">
        <f t="shared" si="2"/>
        <v>0.35190013402369136</v>
      </c>
      <c r="J38"/>
      <c r="K38" s="250">
        <v>2.091249699085</v>
      </c>
      <c r="L38" s="251">
        <f t="shared" si="3"/>
        <v>-1.2956104575849956</v>
      </c>
      <c r="M38" s="252">
        <f t="shared" si="4"/>
        <v>-0.61953886145297399</v>
      </c>
      <c r="N38" s="253">
        <f t="shared" si="5"/>
        <v>-0.61953886145297399</v>
      </c>
      <c r="O38"/>
      <c r="P38" s="250">
        <v>0.42387196875000521</v>
      </c>
      <c r="Q38" s="251">
        <f t="shared" si="6"/>
        <v>0.37176727274999932</v>
      </c>
      <c r="R38" s="252">
        <f t="shared" si="7"/>
        <v>0.87707444737697049</v>
      </c>
      <c r="S38" s="253">
        <f t="shared" si="8"/>
        <v>0.87707444737697049</v>
      </c>
      <c r="T38"/>
      <c r="U38" s="250">
        <v>0.14197762790000479</v>
      </c>
      <c r="V38" s="252">
        <f t="shared" si="9"/>
        <v>0.17844472782958379</v>
      </c>
      <c r="W38" s="250">
        <v>-0.33377746581609052</v>
      </c>
      <c r="X38" s="252">
        <f t="shared" si="10"/>
        <v>-0.56713366716322056</v>
      </c>
      <c r="Y38" s="251">
        <f t="shared" si="11"/>
        <v>0.47575509371609531</v>
      </c>
      <c r="Z38" s="252">
        <f t="shared" si="12"/>
        <v>-1.4253661269578746</v>
      </c>
      <c r="AA38" s="253">
        <f t="shared" si="13"/>
        <v>-1.4253661269578746</v>
      </c>
      <c r="AB38"/>
      <c r="AC38" s="250">
        <v>1.1689381977466815</v>
      </c>
      <c r="AD38" s="252">
        <f t="shared" si="14"/>
        <v>2.7577624469810309</v>
      </c>
      <c r="AE38" s="251">
        <f t="shared" si="15"/>
        <v>-1.0269605698466768</v>
      </c>
      <c r="AF38" s="252">
        <f t="shared" si="16"/>
        <v>-0.87854137355277651</v>
      </c>
      <c r="AG38" s="253">
        <f t="shared" si="17"/>
        <v>-0.87854137355277651</v>
      </c>
      <c r="AH38"/>
      <c r="AI38" s="250">
        <v>0.51188685312317106</v>
      </c>
      <c r="AJ38" s="252">
        <f t="shared" si="18"/>
        <v>1.2076449750445186</v>
      </c>
      <c r="AK38" s="251">
        <f t="shared" si="19"/>
        <v>-0.36990922522316627</v>
      </c>
      <c r="AL38" s="252">
        <f t="shared" si="20"/>
        <v>-0.72263865142509942</v>
      </c>
      <c r="AM38" s="253">
        <f t="shared" si="21"/>
        <v>-0.72263865142509942</v>
      </c>
      <c r="AN38"/>
      <c r="AO38" s="250">
        <v>0</v>
      </c>
      <c r="AP38" s="252">
        <f t="shared" si="22"/>
        <v>0</v>
      </c>
      <c r="AQ38" s="250">
        <v>-2.0999999999999999E-3</v>
      </c>
      <c r="AR38" s="252">
        <f t="shared" si="23"/>
        <v>-3.5681878587303637E-3</v>
      </c>
      <c r="AS38" s="251">
        <f t="shared" si="24"/>
        <v>2.0999999999999999E-3</v>
      </c>
      <c r="AT38" s="252">
        <f t="shared" si="25"/>
        <v>-1</v>
      </c>
      <c r="AU38" s="253">
        <f t="shared" si="26"/>
        <v>-1</v>
      </c>
      <c r="AV38"/>
      <c r="AW38" s="250">
        <v>-2.0999999999999999E-3</v>
      </c>
      <c r="AX38" s="252">
        <f t="shared" si="27"/>
        <v>-4.9543261994721699E-3</v>
      </c>
      <c r="AY38" s="251">
        <f t="shared" si="28"/>
        <v>2.0999999999999999E-3</v>
      </c>
      <c r="AZ38" s="252">
        <f t="shared" si="29"/>
        <v>-1</v>
      </c>
      <c r="BA38" s="253">
        <f t="shared" si="30"/>
        <v>-1</v>
      </c>
      <c r="BB38"/>
      <c r="BC38" s="250">
        <v>0</v>
      </c>
      <c r="BD38" s="252">
        <f t="shared" si="31"/>
        <v>0</v>
      </c>
      <c r="BE38" s="251">
        <f t="shared" si="32"/>
        <v>0</v>
      </c>
      <c r="BF38" s="252">
        <f t="shared" si="33"/>
        <v>0</v>
      </c>
      <c r="BG38" s="253">
        <f t="shared" si="34"/>
        <v>0</v>
      </c>
      <c r="BH38"/>
      <c r="BI38" s="250">
        <f t="shared" si="62"/>
        <v>0.14197762790000479</v>
      </c>
      <c r="BJ38" s="252">
        <f t="shared" si="35"/>
        <v>0.17844472782958379</v>
      </c>
      <c r="BK38" s="250">
        <f t="shared" si="63"/>
        <v>-0.33587746581609051</v>
      </c>
      <c r="BL38" s="252">
        <f t="shared" si="36"/>
        <v>-0.57070185502195092</v>
      </c>
      <c r="BM38" s="251">
        <f t="shared" si="37"/>
        <v>0.4778550937160953</v>
      </c>
      <c r="BN38" s="252">
        <f t="shared" si="38"/>
        <v>1.4227066187814592</v>
      </c>
      <c r="BO38" s="253">
        <f t="shared" si="39"/>
        <v>1.4227066187814592</v>
      </c>
      <c r="BP38"/>
      <c r="BQ38" s="250">
        <f t="shared" si="64"/>
        <v>1.1668381977466815</v>
      </c>
      <c r="BR38" s="252">
        <f t="shared" si="40"/>
        <v>2.7528081207815589</v>
      </c>
      <c r="BS38" s="251">
        <f t="shared" si="41"/>
        <v>-1.0248605698466768</v>
      </c>
      <c r="BT38" s="252">
        <f t="shared" si="42"/>
        <v>-0.87832278016422316</v>
      </c>
      <c r="BU38" s="253">
        <f t="shared" si="43"/>
        <v>-0.87832278016422316</v>
      </c>
      <c r="BV38"/>
      <c r="BW38" s="250">
        <f t="shared" si="65"/>
        <v>0.51188685312317106</v>
      </c>
      <c r="BX38" s="252">
        <f t="shared" si="44"/>
        <v>1.2076449750445186</v>
      </c>
      <c r="BY38" s="251">
        <f t="shared" si="45"/>
        <v>-0.36990922522316627</v>
      </c>
      <c r="BZ38" s="252">
        <f t="shared" si="46"/>
        <v>-0.72263865142509942</v>
      </c>
      <c r="CA38" s="253">
        <f t="shared" si="47"/>
        <v>-0.72263865142509942</v>
      </c>
      <c r="CC38" s="250">
        <v>0.79563923999999997</v>
      </c>
      <c r="CD38" s="250">
        <f t="shared" si="48"/>
        <v>1.500004565002655E-9</v>
      </c>
    </row>
    <row r="39" spans="2:82" hidden="1" outlineLevel="2" x14ac:dyDescent="0.35">
      <c r="B39" s="255" t="s">
        <v>167</v>
      </c>
      <c r="C39" s="255" t="s">
        <v>168</v>
      </c>
      <c r="D39"/>
      <c r="E39" s="250">
        <v>0.4333710400000011</v>
      </c>
      <c r="F39" s="250">
        <v>0.47847133755498839</v>
      </c>
      <c r="G39" s="251">
        <f t="shared" si="0"/>
        <v>-4.510029755498729E-2</v>
      </c>
      <c r="H39" s="252">
        <f t="shared" si="1"/>
        <v>-9.4259141593417084E-2</v>
      </c>
      <c r="I39" s="253">
        <f t="shared" si="2"/>
        <v>-9.4259141593417084E-2</v>
      </c>
      <c r="J39"/>
      <c r="K39" s="250">
        <v>0</v>
      </c>
      <c r="L39" s="251">
        <f t="shared" si="3"/>
        <v>0.4333710400000011</v>
      </c>
      <c r="M39" s="252">
        <f t="shared" si="4"/>
        <v>0</v>
      </c>
      <c r="N39" s="253">
        <f t="shared" si="5"/>
        <v>0</v>
      </c>
      <c r="O39"/>
      <c r="P39" s="250">
        <v>0.31121047000000002</v>
      </c>
      <c r="Q39" s="251">
        <f t="shared" si="6"/>
        <v>0.12216057000000108</v>
      </c>
      <c r="R39" s="252">
        <f t="shared" si="7"/>
        <v>0.39253361238136075</v>
      </c>
      <c r="S39" s="253">
        <f t="shared" si="8"/>
        <v>0.39253361238136075</v>
      </c>
      <c r="T39"/>
      <c r="U39" s="250">
        <v>0.33575241103035974</v>
      </c>
      <c r="V39" s="252">
        <f t="shared" si="9"/>
        <v>0.77474584141653513</v>
      </c>
      <c r="W39" s="250">
        <v>0.47847133755498839</v>
      </c>
      <c r="X39" s="252">
        <f t="shared" si="10"/>
        <v>1</v>
      </c>
      <c r="Y39" s="251">
        <f t="shared" si="11"/>
        <v>-0.14271892652462864</v>
      </c>
      <c r="Z39" s="252">
        <f t="shared" si="12"/>
        <v>-0.29828103654845706</v>
      </c>
      <c r="AA39" s="253">
        <f t="shared" si="13"/>
        <v>-0.29828103654845706</v>
      </c>
      <c r="AB39"/>
      <c r="AC39" s="250">
        <v>0</v>
      </c>
      <c r="AD39" s="252">
        <f t="shared" si="14"/>
        <v>0</v>
      </c>
      <c r="AE39" s="251">
        <f t="shared" si="15"/>
        <v>0.33575241103035974</v>
      </c>
      <c r="AF39" s="252">
        <f t="shared" si="16"/>
        <v>0</v>
      </c>
      <c r="AG39" s="253">
        <f t="shared" si="17"/>
        <v>0</v>
      </c>
      <c r="AH39"/>
      <c r="AI39" s="250">
        <v>0.25846063000000002</v>
      </c>
      <c r="AJ39" s="252">
        <f t="shared" si="18"/>
        <v>0.83050107536549145</v>
      </c>
      <c r="AK39" s="251">
        <f t="shared" si="19"/>
        <v>7.7291781030359719E-2</v>
      </c>
      <c r="AL39" s="252">
        <f t="shared" si="20"/>
        <v>0.29904663248077545</v>
      </c>
      <c r="AM39" s="253">
        <f t="shared" si="21"/>
        <v>0.29904663248077545</v>
      </c>
      <c r="AN39"/>
      <c r="AO39" s="250">
        <v>0</v>
      </c>
      <c r="AP39" s="252">
        <f t="shared" si="22"/>
        <v>0</v>
      </c>
      <c r="AQ39" s="250">
        <v>0</v>
      </c>
      <c r="AR39" s="252">
        <f t="shared" si="23"/>
        <v>0</v>
      </c>
      <c r="AS39" s="251">
        <f t="shared" si="24"/>
        <v>0</v>
      </c>
      <c r="AT39" s="252">
        <f t="shared" si="25"/>
        <v>0</v>
      </c>
      <c r="AU39" s="253">
        <f t="shared" si="26"/>
        <v>0</v>
      </c>
      <c r="AV39"/>
      <c r="AW39" s="250">
        <v>0</v>
      </c>
      <c r="AX39" s="252">
        <f t="shared" si="27"/>
        <v>0</v>
      </c>
      <c r="AY39" s="251">
        <f t="shared" si="28"/>
        <v>0</v>
      </c>
      <c r="AZ39" s="252">
        <f t="shared" si="29"/>
        <v>0</v>
      </c>
      <c r="BA39" s="253">
        <f t="shared" si="30"/>
        <v>0</v>
      </c>
      <c r="BB39"/>
      <c r="BC39" s="250">
        <v>0</v>
      </c>
      <c r="BD39" s="252">
        <f t="shared" si="31"/>
        <v>0</v>
      </c>
      <c r="BE39" s="251">
        <f t="shared" si="32"/>
        <v>0</v>
      </c>
      <c r="BF39" s="252">
        <f t="shared" si="33"/>
        <v>0</v>
      </c>
      <c r="BG39" s="253">
        <f t="shared" si="34"/>
        <v>0</v>
      </c>
      <c r="BH39"/>
      <c r="BI39" s="250">
        <f t="shared" si="62"/>
        <v>0.33575241103035974</v>
      </c>
      <c r="BJ39" s="252">
        <f t="shared" si="35"/>
        <v>0.77474584141653513</v>
      </c>
      <c r="BK39" s="250">
        <f t="shared" si="63"/>
        <v>0.47847133755498839</v>
      </c>
      <c r="BL39" s="252">
        <f t="shared" si="36"/>
        <v>1</v>
      </c>
      <c r="BM39" s="251">
        <f t="shared" si="37"/>
        <v>-0.14271892652462864</v>
      </c>
      <c r="BN39" s="252">
        <f t="shared" si="38"/>
        <v>-0.29828103654845711</v>
      </c>
      <c r="BO39" s="253">
        <f t="shared" si="39"/>
        <v>-0.29828103654845711</v>
      </c>
      <c r="BP39"/>
      <c r="BQ39" s="250">
        <f t="shared" si="64"/>
        <v>0</v>
      </c>
      <c r="BR39" s="252">
        <f t="shared" si="40"/>
        <v>0</v>
      </c>
      <c r="BS39" s="251">
        <f t="shared" si="41"/>
        <v>0.33575241103035974</v>
      </c>
      <c r="BT39" s="252" t="str">
        <f t="shared" si="42"/>
        <v/>
      </c>
      <c r="BU39" s="253" t="str">
        <f t="shared" si="43"/>
        <v/>
      </c>
      <c r="BV39"/>
      <c r="BW39" s="250">
        <f t="shared" si="65"/>
        <v>0.25846063000000002</v>
      </c>
      <c r="BX39" s="252">
        <f t="shared" si="44"/>
        <v>0.83050107536549145</v>
      </c>
      <c r="BY39" s="251">
        <f t="shared" si="45"/>
        <v>7.7291781030359719E-2</v>
      </c>
      <c r="BZ39" s="252">
        <f t="shared" si="46"/>
        <v>0.29904663248077556</v>
      </c>
      <c r="CA39" s="253">
        <f t="shared" si="47"/>
        <v>0.29904663248077556</v>
      </c>
      <c r="CC39" s="250">
        <v>0.43337104000000554</v>
      </c>
      <c r="CD39" s="250">
        <f t="shared" si="48"/>
        <v>-4.4408920985006262E-15</v>
      </c>
    </row>
    <row r="40" spans="2:82" collapsed="1" x14ac:dyDescent="0.35">
      <c r="B40" s="239" t="s">
        <v>169</v>
      </c>
      <c r="C40" s="239" t="s">
        <v>170</v>
      </c>
      <c r="D40"/>
      <c r="E40" s="240">
        <f>SUM(E41)</f>
        <v>6.2427125341530125</v>
      </c>
      <c r="F40" s="240">
        <f>SUM(F41)</f>
        <v>6.2005573378078624</v>
      </c>
      <c r="G40" s="241">
        <f t="shared" si="0"/>
        <v>4.2155196345150081E-2</v>
      </c>
      <c r="H40" s="242">
        <f t="shared" si="1"/>
        <v>6.7986140678208962E-3</v>
      </c>
      <c r="I40" s="243">
        <f t="shared" si="2"/>
        <v>6.7986140678208962E-3</v>
      </c>
      <c r="J40"/>
      <c r="K40" s="240">
        <f>SUM(K41)</f>
        <v>6.3080160327599994</v>
      </c>
      <c r="L40" s="241">
        <f t="shared" si="3"/>
        <v>-6.5303498606986921E-2</v>
      </c>
      <c r="M40" s="242">
        <f t="shared" si="4"/>
        <v>-1.0352462369759396E-2</v>
      </c>
      <c r="N40" s="243">
        <f t="shared" si="5"/>
        <v>-1.0352462369759396E-2</v>
      </c>
      <c r="O40"/>
      <c r="P40" s="240">
        <f>SUM(P41)</f>
        <v>5.6793029099516001</v>
      </c>
      <c r="Q40" s="241">
        <f t="shared" si="6"/>
        <v>0.56340962420141238</v>
      </c>
      <c r="R40" s="242">
        <f t="shared" si="7"/>
        <v>9.9204010269319021E-2</v>
      </c>
      <c r="S40" s="243">
        <f t="shared" si="8"/>
        <v>9.9204010269319021E-2</v>
      </c>
      <c r="T40"/>
      <c r="U40" s="240">
        <f>SUM(U41)</f>
        <v>5.3187406359325227</v>
      </c>
      <c r="V40" s="242">
        <f t="shared" si="9"/>
        <v>0.85199191967184651</v>
      </c>
      <c r="W40" s="240">
        <f>SUM(W41)</f>
        <v>2.6429996275894907</v>
      </c>
      <c r="X40" s="242">
        <f t="shared" si="10"/>
        <v>0.42625194536526834</v>
      </c>
      <c r="Y40" s="241">
        <f t="shared" si="11"/>
        <v>2.675741008343032</v>
      </c>
      <c r="Z40" s="242">
        <f t="shared" si="12"/>
        <v>1.0123879626814034</v>
      </c>
      <c r="AA40" s="243">
        <f t="shared" si="13"/>
        <v>1.0123879626814034</v>
      </c>
      <c r="AB40"/>
      <c r="AC40" s="240">
        <f>SUM(AC41)</f>
        <v>5.4291520015763552</v>
      </c>
      <c r="AD40" s="242">
        <f t="shared" si="14"/>
        <v>0.95595394147107104</v>
      </c>
      <c r="AE40" s="241">
        <f t="shared" si="15"/>
        <v>-0.11041136564383258</v>
      </c>
      <c r="AF40" s="242">
        <f t="shared" si="16"/>
        <v>-2.0336760807539433E-2</v>
      </c>
      <c r="AG40" s="243">
        <f t="shared" si="17"/>
        <v>-2.0336760807539433E-2</v>
      </c>
      <c r="AH40"/>
      <c r="AI40" s="240">
        <f>SUM(AI41)</f>
        <v>2.4246955201877998</v>
      </c>
      <c r="AJ40" s="242">
        <f t="shared" si="18"/>
        <v>0.42693541067145924</v>
      </c>
      <c r="AK40" s="241">
        <f t="shared" si="19"/>
        <v>2.8940451157447229</v>
      </c>
      <c r="AL40" s="242">
        <f t="shared" si="20"/>
        <v>1.1935705294331433</v>
      </c>
      <c r="AM40" s="243">
        <f t="shared" si="21"/>
        <v>1.1935705294331433</v>
      </c>
      <c r="AN40"/>
      <c r="AO40" s="240">
        <f>SUM(AO41)</f>
        <v>-2.69115196</v>
      </c>
      <c r="AP40" s="242">
        <f t="shared" si="22"/>
        <v>-0.43108695863810509</v>
      </c>
      <c r="AQ40" s="240">
        <f>SUM(AQ41)</f>
        <v>0</v>
      </c>
      <c r="AR40" s="242">
        <f t="shared" si="23"/>
        <v>0</v>
      </c>
      <c r="AS40" s="241">
        <f t="shared" si="24"/>
        <v>-2.69115196</v>
      </c>
      <c r="AT40" s="242">
        <f t="shared" si="25"/>
        <v>0</v>
      </c>
      <c r="AU40" s="243">
        <f t="shared" si="26"/>
        <v>0</v>
      </c>
      <c r="AV40"/>
      <c r="AW40" s="240">
        <f>SUM(AW41)</f>
        <v>-2.67869367903474</v>
      </c>
      <c r="AX40" s="242">
        <f t="shared" si="27"/>
        <v>-0.47165888516722349</v>
      </c>
      <c r="AY40" s="241">
        <f t="shared" si="28"/>
        <v>-1.2458280965260027E-2</v>
      </c>
      <c r="AZ40" s="242">
        <f t="shared" si="29"/>
        <v>4.6508792934283338E-3</v>
      </c>
      <c r="BA40" s="243">
        <f t="shared" si="30"/>
        <v>4.6508792934283338E-3</v>
      </c>
      <c r="BB40"/>
      <c r="BC40" s="240">
        <f>SUM(BC41)</f>
        <v>-3.0554889999999772E-2</v>
      </c>
      <c r="BD40" s="242">
        <f t="shared" si="31"/>
        <v>-5.380042319359255E-3</v>
      </c>
      <c r="BE40" s="241">
        <f t="shared" si="32"/>
        <v>-2.6605970700000001</v>
      </c>
      <c r="BF40" s="242">
        <f t="shared" si="33"/>
        <v>87.075982600494385</v>
      </c>
      <c r="BG40" s="243">
        <f t="shared" si="34"/>
        <v>87.075982600494385</v>
      </c>
      <c r="BH40"/>
      <c r="BI40" s="240">
        <f>SUM(BI41)</f>
        <v>2.6275886759325227</v>
      </c>
      <c r="BJ40" s="242">
        <f t="shared" si="35"/>
        <v>0.42090496103374136</v>
      </c>
      <c r="BK40" s="240">
        <f>SUM(BK41)</f>
        <v>2.6429996275894907</v>
      </c>
      <c r="BL40" s="242">
        <f t="shared" si="36"/>
        <v>0.42625194536526834</v>
      </c>
      <c r="BM40" s="241">
        <f t="shared" si="37"/>
        <v>-1.5410951656968042E-2</v>
      </c>
      <c r="BN40" s="242">
        <f t="shared" si="38"/>
        <v>-5.8308565374348446E-3</v>
      </c>
      <c r="BO40" s="243">
        <f t="shared" si="39"/>
        <v>-5.8308565374348446E-3</v>
      </c>
      <c r="BP40"/>
      <c r="BQ40" s="240">
        <f>SUM(BQ41)</f>
        <v>2.7504583225416153</v>
      </c>
      <c r="BR40" s="242">
        <f t="shared" si="40"/>
        <v>0.4842950563038475</v>
      </c>
      <c r="BS40" s="241">
        <f t="shared" si="41"/>
        <v>-0.12286964660909261</v>
      </c>
      <c r="BT40" s="242">
        <f t="shared" si="42"/>
        <v>-4.4672426265144234E-2</v>
      </c>
      <c r="BU40" s="243">
        <f t="shared" si="43"/>
        <v>-4.4672426265144234E-2</v>
      </c>
      <c r="BV40"/>
      <c r="BW40" s="240">
        <f>SUM(BW41)</f>
        <v>2.3941406301877999</v>
      </c>
      <c r="BX40" s="242">
        <f t="shared" si="44"/>
        <v>0.42155536835209995</v>
      </c>
      <c r="BY40" s="241">
        <f t="shared" si="45"/>
        <v>0.23344804574472278</v>
      </c>
      <c r="BZ40" s="242">
        <f t="shared" si="46"/>
        <v>9.7508075674907518E-2</v>
      </c>
      <c r="CA40" s="243">
        <f t="shared" si="47"/>
        <v>9.7508075674907518E-2</v>
      </c>
      <c r="CC40" s="240">
        <f>SUM(CC41)</f>
        <v>6.2427125341530001</v>
      </c>
      <c r="CD40" s="240">
        <f t="shared" si="48"/>
        <v>1.2434497875801753E-14</v>
      </c>
    </row>
    <row r="41" spans="2:82" hidden="1" outlineLevel="1" x14ac:dyDescent="0.35">
      <c r="B41" s="255" t="s">
        <v>171</v>
      </c>
      <c r="C41" s="255" t="s">
        <v>172</v>
      </c>
      <c r="D41"/>
      <c r="E41" s="250">
        <v>6.2427125341530125</v>
      </c>
      <c r="F41" s="250">
        <v>6.2005573378078624</v>
      </c>
      <c r="G41" s="251">
        <f t="shared" si="0"/>
        <v>4.2155196345150081E-2</v>
      </c>
      <c r="H41" s="252">
        <f t="shared" si="1"/>
        <v>6.7986140678208962E-3</v>
      </c>
      <c r="I41" s="253">
        <f t="shared" si="2"/>
        <v>6.7986140678208962E-3</v>
      </c>
      <c r="J41"/>
      <c r="K41" s="250">
        <v>6.3080160327599994</v>
      </c>
      <c r="L41" s="251">
        <f t="shared" si="3"/>
        <v>-6.5303498606986921E-2</v>
      </c>
      <c r="M41" s="252">
        <f t="shared" si="4"/>
        <v>-1.0352462369759396E-2</v>
      </c>
      <c r="N41" s="253">
        <f t="shared" si="5"/>
        <v>-1.0352462369759396E-2</v>
      </c>
      <c r="O41"/>
      <c r="P41" s="250">
        <v>5.6793029099516001</v>
      </c>
      <c r="Q41" s="251">
        <f t="shared" si="6"/>
        <v>0.56340962420141238</v>
      </c>
      <c r="R41" s="252">
        <f t="shared" si="7"/>
        <v>9.9204010269319021E-2</v>
      </c>
      <c r="S41" s="253">
        <f t="shared" si="8"/>
        <v>9.9204010269319021E-2</v>
      </c>
      <c r="T41"/>
      <c r="U41" s="250">
        <v>5.3187406359325227</v>
      </c>
      <c r="V41" s="252">
        <f t="shared" si="9"/>
        <v>0.85199191967184651</v>
      </c>
      <c r="W41" s="250">
        <v>2.6429996275894907</v>
      </c>
      <c r="X41" s="252">
        <f t="shared" si="10"/>
        <v>0.42625194536526834</v>
      </c>
      <c r="Y41" s="251">
        <f t="shared" si="11"/>
        <v>2.675741008343032</v>
      </c>
      <c r="Z41" s="252">
        <f t="shared" si="12"/>
        <v>1.0123879626814034</v>
      </c>
      <c r="AA41" s="253">
        <f t="shared" si="13"/>
        <v>1.0123879626814034</v>
      </c>
      <c r="AB41"/>
      <c r="AC41" s="250">
        <v>5.4291520015763552</v>
      </c>
      <c r="AD41" s="252">
        <f t="shared" si="14"/>
        <v>0.95595394147107104</v>
      </c>
      <c r="AE41" s="251">
        <f t="shared" si="15"/>
        <v>-0.11041136564383258</v>
      </c>
      <c r="AF41" s="252">
        <f t="shared" si="16"/>
        <v>-2.0336760807539433E-2</v>
      </c>
      <c r="AG41" s="253">
        <f t="shared" si="17"/>
        <v>-2.0336760807539433E-2</v>
      </c>
      <c r="AH41"/>
      <c r="AI41" s="250">
        <v>2.4246955201877998</v>
      </c>
      <c r="AJ41" s="252">
        <f t="shared" si="18"/>
        <v>0.42693541067145924</v>
      </c>
      <c r="AK41" s="251">
        <f t="shared" si="19"/>
        <v>2.8940451157447229</v>
      </c>
      <c r="AL41" s="252">
        <f t="shared" si="20"/>
        <v>1.1935705294331433</v>
      </c>
      <c r="AM41" s="253">
        <f t="shared" si="21"/>
        <v>1.1935705294331433</v>
      </c>
      <c r="AN41"/>
      <c r="AO41" s="250">
        <v>-2.69115196</v>
      </c>
      <c r="AP41" s="252">
        <f t="shared" si="22"/>
        <v>-0.43108695863810509</v>
      </c>
      <c r="AQ41" s="250">
        <v>0</v>
      </c>
      <c r="AR41" s="252">
        <f t="shared" si="23"/>
        <v>0</v>
      </c>
      <c r="AS41" s="251">
        <f t="shared" si="24"/>
        <v>-2.69115196</v>
      </c>
      <c r="AT41" s="252">
        <f t="shared" si="25"/>
        <v>0</v>
      </c>
      <c r="AU41" s="253">
        <f t="shared" si="26"/>
        <v>0</v>
      </c>
      <c r="AV41"/>
      <c r="AW41" s="250">
        <v>-2.67869367903474</v>
      </c>
      <c r="AX41" s="252">
        <f t="shared" si="27"/>
        <v>-0.47165888516722349</v>
      </c>
      <c r="AY41" s="251">
        <f t="shared" si="28"/>
        <v>-1.2458280965260027E-2</v>
      </c>
      <c r="AZ41" s="252">
        <f t="shared" si="29"/>
        <v>4.6508792934283338E-3</v>
      </c>
      <c r="BA41" s="253">
        <f t="shared" si="30"/>
        <v>4.6508792934283338E-3</v>
      </c>
      <c r="BB41"/>
      <c r="BC41" s="250">
        <v>-3.0554889999999772E-2</v>
      </c>
      <c r="BD41" s="252">
        <f t="shared" si="31"/>
        <v>-5.380042319359255E-3</v>
      </c>
      <c r="BE41" s="251">
        <f t="shared" si="32"/>
        <v>-2.6605970700000001</v>
      </c>
      <c r="BF41" s="252">
        <f t="shared" si="33"/>
        <v>87.075982600494385</v>
      </c>
      <c r="BG41" s="253">
        <f t="shared" si="34"/>
        <v>87.075982600494385</v>
      </c>
      <c r="BH41"/>
      <c r="BI41" s="250">
        <f t="shared" ref="BI41" si="66">SUM(U41,AO41)</f>
        <v>2.6275886759325227</v>
      </c>
      <c r="BJ41" s="252">
        <f t="shared" si="35"/>
        <v>0.42090496103374136</v>
      </c>
      <c r="BK41" s="250">
        <f t="shared" ref="BK41" si="67">SUM(W41,AQ41)</f>
        <v>2.6429996275894907</v>
      </c>
      <c r="BL41" s="252">
        <f t="shared" si="36"/>
        <v>0.42625194536526834</v>
      </c>
      <c r="BM41" s="251">
        <f t="shared" si="37"/>
        <v>-1.5410951656968042E-2</v>
      </c>
      <c r="BN41" s="252">
        <f t="shared" si="38"/>
        <v>-5.8308565374348446E-3</v>
      </c>
      <c r="BO41" s="253">
        <f t="shared" si="39"/>
        <v>-5.8308565374348446E-3</v>
      </c>
      <c r="BP41"/>
      <c r="BQ41" s="250">
        <f t="shared" ref="BQ41" si="68">SUM(AC41,AW41)</f>
        <v>2.7504583225416153</v>
      </c>
      <c r="BR41" s="252">
        <f t="shared" si="40"/>
        <v>0.4842950563038475</v>
      </c>
      <c r="BS41" s="251">
        <f t="shared" si="41"/>
        <v>-0.12286964660909261</v>
      </c>
      <c r="BT41" s="252">
        <f t="shared" si="42"/>
        <v>-4.4672426265144234E-2</v>
      </c>
      <c r="BU41" s="253">
        <f t="shared" si="43"/>
        <v>-4.4672426265144234E-2</v>
      </c>
      <c r="BV41"/>
      <c r="BW41" s="250">
        <f t="shared" ref="BW41" si="69">SUM(AI41,BC41)</f>
        <v>2.3941406301877999</v>
      </c>
      <c r="BX41" s="252">
        <f t="shared" si="44"/>
        <v>0.42155536835209995</v>
      </c>
      <c r="BY41" s="251">
        <f t="shared" si="45"/>
        <v>0.23344804574472278</v>
      </c>
      <c r="BZ41" s="252">
        <f t="shared" si="46"/>
        <v>9.7508075674907518E-2</v>
      </c>
      <c r="CA41" s="253">
        <f t="shared" si="47"/>
        <v>9.7508075674907518E-2</v>
      </c>
      <c r="CC41" s="250">
        <v>6.2427125341530001</v>
      </c>
      <c r="CD41" s="250">
        <f t="shared" si="48"/>
        <v>1.2434497875801753E-14</v>
      </c>
    </row>
    <row r="42" spans="2:82" collapsed="1" x14ac:dyDescent="0.35">
      <c r="B42" s="239" t="s">
        <v>173</v>
      </c>
      <c r="C42" s="239" t="s">
        <v>174</v>
      </c>
      <c r="D42"/>
      <c r="E42" s="240">
        <f>SUM(E43:E44)</f>
        <v>14.129920721436594</v>
      </c>
      <c r="F42" s="240">
        <f>SUM(F43:F44)</f>
        <v>15.366100167432833</v>
      </c>
      <c r="G42" s="241">
        <f t="shared" si="0"/>
        <v>-1.236179445996239</v>
      </c>
      <c r="H42" s="242">
        <f t="shared" si="1"/>
        <v>-8.0448482863349935E-2</v>
      </c>
      <c r="I42" s="243">
        <f t="shared" si="2"/>
        <v>-8.0448482863349935E-2</v>
      </c>
      <c r="J42"/>
      <c r="K42" s="240">
        <f>SUM(K43:K44)</f>
        <v>14.144589375000001</v>
      </c>
      <c r="L42" s="241">
        <f>$E42-K42</f>
        <v>-1.4668653563406409E-2</v>
      </c>
      <c r="M42" s="242">
        <f t="shared" si="4"/>
        <v>-1.0370505056395141E-3</v>
      </c>
      <c r="N42" s="243">
        <f t="shared" si="5"/>
        <v>-1.0370505056395141E-3</v>
      </c>
      <c r="O42"/>
      <c r="P42" s="240">
        <f>SUM(P43:P44)</f>
        <v>13.247885320000046</v>
      </c>
      <c r="Q42" s="241">
        <f>SUM(Q43:Q44)</f>
        <v>0.88203540143654813</v>
      </c>
      <c r="R42" s="242">
        <f t="shared" si="7"/>
        <v>6.6579335503829995E-2</v>
      </c>
      <c r="S42" s="243">
        <f t="shared" si="8"/>
        <v>6.6579335503829995E-2</v>
      </c>
      <c r="T42"/>
      <c r="U42" s="240">
        <f>SUM(U43:U44)</f>
        <v>6.0380332504124139</v>
      </c>
      <c r="V42" s="242">
        <f t="shared" si="9"/>
        <v>0.4273225143614624</v>
      </c>
      <c r="W42" s="240">
        <f>SUM(W43:W44)</f>
        <v>6.126265749697799</v>
      </c>
      <c r="X42" s="242">
        <f t="shared" si="10"/>
        <v>0.39868708930336844</v>
      </c>
      <c r="Y42" s="241">
        <f t="shared" si="11"/>
        <v>-8.8232499285385124E-2</v>
      </c>
      <c r="Z42" s="242">
        <f t="shared" si="12"/>
        <v>-1.4402329720962115E-2</v>
      </c>
      <c r="AA42" s="243">
        <f t="shared" si="13"/>
        <v>-1.4402329720962115E-2</v>
      </c>
      <c r="AB42"/>
      <c r="AC42" s="240">
        <f>SUM(AC43:AC44)</f>
        <v>6.0355895341878272</v>
      </c>
      <c r="AD42" s="242">
        <f t="shared" si="14"/>
        <v>0.4555889025606244</v>
      </c>
      <c r="AE42" s="241">
        <f t="shared" si="15"/>
        <v>2.4437162245867228E-3</v>
      </c>
      <c r="AF42" s="242">
        <f t="shared" si="16"/>
        <v>4.0488442939090596E-4</v>
      </c>
      <c r="AG42" s="243">
        <f t="shared" si="17"/>
        <v>4.0488442939090596E-4</v>
      </c>
      <c r="AH42"/>
      <c r="AI42" s="240">
        <f>SUM(AI43:AI44)</f>
        <v>5.6054521477000421</v>
      </c>
      <c r="AJ42" s="242">
        <f t="shared" si="18"/>
        <v>0.42312052167583397</v>
      </c>
      <c r="AK42" s="241">
        <f t="shared" si="19"/>
        <v>0.43258110271237182</v>
      </c>
      <c r="AL42" s="242">
        <f t="shared" si="20"/>
        <v>7.7171491489738786E-2</v>
      </c>
      <c r="AM42" s="243">
        <f t="shared" si="21"/>
        <v>7.7171491489738786E-2</v>
      </c>
      <c r="AN42"/>
      <c r="AO42" s="240">
        <f>SUM(AO43:AO44)</f>
        <v>-0.43314272372000001</v>
      </c>
      <c r="AP42" s="242">
        <f t="shared" si="22"/>
        <v>-3.06542925653416E-2</v>
      </c>
      <c r="AQ42" s="240">
        <f>SUM(AQ43:AQ44)</f>
        <v>-0.30952914184626373</v>
      </c>
      <c r="AR42" s="242">
        <f t="shared" si="23"/>
        <v>-2.0143636867751578E-2</v>
      </c>
      <c r="AS42" s="241">
        <f t="shared" si="24"/>
        <v>-0.12361358187373628</v>
      </c>
      <c r="AT42" s="242">
        <f t="shared" si="25"/>
        <v>0.399360076845793</v>
      </c>
      <c r="AU42" s="243">
        <f t="shared" si="26"/>
        <v>0.399360076845793</v>
      </c>
      <c r="AV42"/>
      <c r="AW42" s="240">
        <f>SUM(AW43:AW44)</f>
        <v>-0.4</v>
      </c>
      <c r="AX42" s="242">
        <f t="shared" si="27"/>
        <v>-3.019349808200171E-2</v>
      </c>
      <c r="AY42" s="241">
        <f t="shared" si="28"/>
        <v>-3.3142723719999989E-2</v>
      </c>
      <c r="AZ42" s="242">
        <f t="shared" si="29"/>
        <v>8.2856809299999945E-2</v>
      </c>
      <c r="BA42" s="243">
        <f t="shared" si="30"/>
        <v>8.2856809299999945E-2</v>
      </c>
      <c r="BB42"/>
      <c r="BC42" s="240">
        <f>SUM(BC43:BC44)</f>
        <v>-0.51053687376707246</v>
      </c>
      <c r="BD42" s="242">
        <f t="shared" si="31"/>
        <v>-3.8537235297193127E-2</v>
      </c>
      <c r="BE42" s="241">
        <f t="shared" si="32"/>
        <v>7.7394150047072452E-2</v>
      </c>
      <c r="BF42" s="242">
        <f t="shared" si="33"/>
        <v>-0.15159365370812139</v>
      </c>
      <c r="BG42" s="243">
        <f t="shared" si="34"/>
        <v>-0.15159365370812139</v>
      </c>
      <c r="BH42"/>
      <c r="BI42" s="240">
        <f>SUM(BI43:BI44)</f>
        <v>5.6048905266924134</v>
      </c>
      <c r="BJ42" s="242">
        <f t="shared" si="35"/>
        <v>0.39666822179612077</v>
      </c>
      <c r="BK42" s="240">
        <f>SUM(BK43:BK44)</f>
        <v>5.816736607851535</v>
      </c>
      <c r="BL42" s="242">
        <f t="shared" si="36"/>
        <v>0.37854345243561688</v>
      </c>
      <c r="BM42" s="241">
        <f t="shared" si="37"/>
        <v>-0.21184608115912162</v>
      </c>
      <c r="BN42" s="242">
        <f t="shared" si="38"/>
        <v>-3.6420091787062868E-2</v>
      </c>
      <c r="BO42" s="243">
        <f t="shared" si="39"/>
        <v>-3.6420091787062868E-2</v>
      </c>
      <c r="BP42"/>
      <c r="BQ42" s="240">
        <f>SUM(BQ43:BQ44)</f>
        <v>5.6355895341878268</v>
      </c>
      <c r="BR42" s="242">
        <f t="shared" si="40"/>
        <v>0.42539540447862262</v>
      </c>
      <c r="BS42" s="241">
        <f t="shared" si="41"/>
        <v>-3.0699007495413433E-2</v>
      </c>
      <c r="BT42" s="242">
        <f t="shared" si="42"/>
        <v>-5.4473462464184989E-3</v>
      </c>
      <c r="BU42" s="243">
        <f t="shared" si="43"/>
        <v>-5.4473462464184989E-3</v>
      </c>
      <c r="BV42"/>
      <c r="BW42" s="240">
        <f>SUM(BW43:BW44)</f>
        <v>5.0949152739329691</v>
      </c>
      <c r="BX42" s="242">
        <f t="shared" si="44"/>
        <v>0.38458328637864081</v>
      </c>
      <c r="BY42" s="241">
        <f t="shared" si="45"/>
        <v>0.50997525275944433</v>
      </c>
      <c r="BZ42" s="242">
        <f t="shared" si="46"/>
        <v>0.1000949427694357</v>
      </c>
      <c r="CA42" s="243">
        <f t="shared" si="47"/>
        <v>0.1000949427694357</v>
      </c>
      <c r="CC42" s="240">
        <f>SUM(CC43:CC44)</f>
        <v>14.12992072143668</v>
      </c>
      <c r="CD42" s="240">
        <f t="shared" si="48"/>
        <v>-8.5265128291212022E-14</v>
      </c>
    </row>
    <row r="43" spans="2:82" hidden="1" outlineLevel="1" x14ac:dyDescent="0.35">
      <c r="B43" s="255" t="s">
        <v>175</v>
      </c>
      <c r="C43" s="255" t="s">
        <v>176</v>
      </c>
      <c r="D43"/>
      <c r="E43" s="250">
        <v>14.129920721436594</v>
      </c>
      <c r="F43" s="250">
        <v>15.366100167432833</v>
      </c>
      <c r="G43" s="251">
        <f>$E43-F43</f>
        <v>-1.236179445996239</v>
      </c>
      <c r="H43" s="252">
        <f>IFERROR($E43/F43-1,0)</f>
        <v>-8.0448482863349935E-2</v>
      </c>
      <c r="I43" s="253">
        <f>H43</f>
        <v>-8.0448482863349935E-2</v>
      </c>
      <c r="J43"/>
      <c r="K43" s="250">
        <v>14.144589375000001</v>
      </c>
      <c r="L43" s="251">
        <f>$E43-K43</f>
        <v>-1.4668653563406409E-2</v>
      </c>
      <c r="M43" s="252">
        <f>IFERROR($E43/K43-1,0)</f>
        <v>-1.0370505056395141E-3</v>
      </c>
      <c r="N43" s="253">
        <f>M43</f>
        <v>-1.0370505056395141E-3</v>
      </c>
      <c r="O43"/>
      <c r="P43" s="250">
        <v>13.247885320000046</v>
      </c>
      <c r="Q43" s="251">
        <f>$E43-P43</f>
        <v>0.88203540143654813</v>
      </c>
      <c r="R43" s="252">
        <f>IFERROR($E43/P43-1,0)</f>
        <v>6.6579335503829995E-2</v>
      </c>
      <c r="S43" s="253">
        <f>R43</f>
        <v>6.6579335503829995E-2</v>
      </c>
      <c r="T43"/>
      <c r="U43" s="250">
        <v>6.7600170353824138</v>
      </c>
      <c r="V43" s="252">
        <f>IFERROR(U43/$E43,0)</f>
        <v>0.47841861031298982</v>
      </c>
      <c r="W43" s="250">
        <v>6.126265749697799</v>
      </c>
      <c r="X43" s="252">
        <f>IFERROR(W43/$F43,0)</f>
        <v>0.39868708930336844</v>
      </c>
      <c r="Y43" s="251">
        <f>$U43-W43</f>
        <v>0.63375128568461481</v>
      </c>
      <c r="Z43" s="252">
        <f>IFERROR($U43/W43-1,0)</f>
        <v>0.10344821977660312</v>
      </c>
      <c r="AA43" s="253">
        <f>Z43</f>
        <v>0.10344821977660312</v>
      </c>
      <c r="AB43"/>
      <c r="AC43" s="250">
        <v>6.0355895341878272</v>
      </c>
      <c r="AD43" s="252">
        <f>IFERROR(AC43/$P43,0)</f>
        <v>0.4555889025606244</v>
      </c>
      <c r="AE43" s="251">
        <f>$U43-AC43</f>
        <v>0.72442750119458665</v>
      </c>
      <c r="AF43" s="252">
        <f>IFERROR($U43/AC43-1,0)</f>
        <v>0.12002597212602995</v>
      </c>
      <c r="AG43" s="253">
        <f>AF43</f>
        <v>0.12002597212602995</v>
      </c>
      <c r="AH43"/>
      <c r="AI43" s="250">
        <v>6.395216255000042</v>
      </c>
      <c r="AJ43" s="252">
        <f>IFERROR(AI43/$P43,0)</f>
        <v>0.48273487432332479</v>
      </c>
      <c r="AK43" s="251">
        <f>$U43-AI43</f>
        <v>0.36480078038237185</v>
      </c>
      <c r="AL43" s="252">
        <f>IFERROR($U43/AI43-1,0)</f>
        <v>5.7042759124393383E-2</v>
      </c>
      <c r="AM43" s="253">
        <f>AL43</f>
        <v>5.7042759124393383E-2</v>
      </c>
      <c r="AN43"/>
      <c r="AO43" s="261">
        <v>-0.1398066</v>
      </c>
      <c r="AP43" s="252">
        <f>IFERROR(AO43/$E43,0)</f>
        <v>-9.894365492645581E-3</v>
      </c>
      <c r="AQ43" s="250">
        <v>-0.30952914184626373</v>
      </c>
      <c r="AR43" s="252">
        <f>IFERROR(AQ43/$F43,0)</f>
        <v>-2.0143636867751578E-2</v>
      </c>
      <c r="AS43" s="251">
        <f>$AO43-AQ43</f>
        <v>0.16972254184626373</v>
      </c>
      <c r="AT43" s="252">
        <f>IFERROR($AO43/AQ43-1,0)</f>
        <v>-0.54832491969548114</v>
      </c>
      <c r="AU43" s="253">
        <f>AT43</f>
        <v>-0.54832491969548114</v>
      </c>
      <c r="AV43"/>
      <c r="AW43" s="250">
        <v>-0.4</v>
      </c>
      <c r="AX43" s="252">
        <f>IFERROR(AW43/$P43,0)</f>
        <v>-3.019349808200171E-2</v>
      </c>
      <c r="AY43" s="251">
        <f>$AO43-AW43</f>
        <v>0.26019340000000002</v>
      </c>
      <c r="AZ43" s="252">
        <f>IFERROR($AO43/AW43-1,0)</f>
        <v>-0.65048349999999999</v>
      </c>
      <c r="BA43" s="253">
        <f>AZ43</f>
        <v>-0.65048349999999999</v>
      </c>
      <c r="BB43"/>
      <c r="BC43" s="250">
        <v>-0.24266983999999986</v>
      </c>
      <c r="BD43" s="252">
        <f>IFERROR(BC43/$P43,0)</f>
        <v>-1.8317628371499143E-2</v>
      </c>
      <c r="BE43" s="251">
        <f>$AO43-BC43</f>
        <v>0.10286323999999986</v>
      </c>
      <c r="BF43" s="252">
        <f>IFERROR($AO43/BC43-1,0)</f>
        <v>-0.42388143495705899</v>
      </c>
      <c r="BG43" s="253">
        <f>BF43</f>
        <v>-0.42388143495705899</v>
      </c>
      <c r="BH43"/>
      <c r="BI43" s="250">
        <f>SUM(U43,AO43)</f>
        <v>6.6202104353824138</v>
      </c>
      <c r="BJ43" s="252">
        <f>IFERROR(BI43/$E43,0)</f>
        <v>0.46852424482034422</v>
      </c>
      <c r="BK43" s="250">
        <f>SUM(W43,AQ43)</f>
        <v>5.816736607851535</v>
      </c>
      <c r="BL43" s="252">
        <f>IFERROR(BK43/$F43,0)</f>
        <v>0.37854345243561688</v>
      </c>
      <c r="BM43" s="251">
        <f>$BI43-BK43</f>
        <v>0.80347382753087881</v>
      </c>
      <c r="BN43" s="252">
        <f>BM43/ABS(BK43)</f>
        <v>0.13813137532243347</v>
      </c>
      <c r="BO43" s="253">
        <f>BN43</f>
        <v>0.13813137532243347</v>
      </c>
      <c r="BP43"/>
      <c r="BQ43" s="250">
        <f>SUM(AC43,AW43)</f>
        <v>5.6355895341878268</v>
      </c>
      <c r="BR43" s="252">
        <f>IFERROR(BQ43/$P43,0)</f>
        <v>0.42539540447862262</v>
      </c>
      <c r="BS43" s="251">
        <f>$BI43-BQ43</f>
        <v>0.98462090119458701</v>
      </c>
      <c r="BT43" s="252">
        <f>IFERROR(BS43/ABS(BQ43),"")</f>
        <v>0.17471480050515881</v>
      </c>
      <c r="BU43" s="253">
        <f>BT43</f>
        <v>0.17471480050515881</v>
      </c>
      <c r="BV43"/>
      <c r="BW43" s="250">
        <f>SUM(AI43,BC43)</f>
        <v>6.1525464150000424</v>
      </c>
      <c r="BX43" s="252">
        <f>IFERROR(BW43/$P43,0)</f>
        <v>0.46441724595182571</v>
      </c>
      <c r="BY43" s="251">
        <f>$BI43-BW43</f>
        <v>0.46766402038237143</v>
      </c>
      <c r="BZ43" s="252">
        <f>IFERROR(BY43/ABS(BW43),"")</f>
        <v>7.6011457506796914E-2</v>
      </c>
      <c r="CA43" s="253">
        <f>BZ43</f>
        <v>7.6011457506796914E-2</v>
      </c>
      <c r="CC43" s="250">
        <v>14.12992072143668</v>
      </c>
      <c r="CD43" s="250">
        <f>$E43-CC43</f>
        <v>-8.5265128291212022E-14</v>
      </c>
    </row>
    <row r="44" spans="2:82" hidden="1" outlineLevel="1" x14ac:dyDescent="0.35">
      <c r="B44" s="255" t="s">
        <v>177</v>
      </c>
      <c r="C44" s="255" t="s">
        <v>178</v>
      </c>
      <c r="D44"/>
      <c r="E44" s="250">
        <v>0</v>
      </c>
      <c r="F44" s="250">
        <v>0</v>
      </c>
      <c r="G44" s="251">
        <f t="shared" si="0"/>
        <v>0</v>
      </c>
      <c r="H44" s="252">
        <f t="shared" si="1"/>
        <v>0</v>
      </c>
      <c r="I44" s="253">
        <f t="shared" si="2"/>
        <v>0</v>
      </c>
      <c r="J44"/>
      <c r="K44" s="250">
        <v>0</v>
      </c>
      <c r="L44" s="251">
        <f t="shared" si="3"/>
        <v>0</v>
      </c>
      <c r="M44" s="252">
        <f t="shared" si="4"/>
        <v>0</v>
      </c>
      <c r="N44" s="253">
        <f t="shared" si="5"/>
        <v>0</v>
      </c>
      <c r="O44"/>
      <c r="P44" s="250">
        <v>0</v>
      </c>
      <c r="Q44" s="251">
        <f t="shared" si="6"/>
        <v>0</v>
      </c>
      <c r="R44" s="252">
        <f t="shared" si="7"/>
        <v>0</v>
      </c>
      <c r="S44" s="253">
        <f t="shared" si="8"/>
        <v>0</v>
      </c>
      <c r="T44"/>
      <c r="U44" s="250">
        <v>-0.72198378496999993</v>
      </c>
      <c r="V44" s="252">
        <f t="shared" si="9"/>
        <v>0</v>
      </c>
      <c r="W44" s="250">
        <v>0</v>
      </c>
      <c r="X44" s="252">
        <f t="shared" si="10"/>
        <v>0</v>
      </c>
      <c r="Y44" s="251">
        <f t="shared" si="11"/>
        <v>-0.72198378496999993</v>
      </c>
      <c r="Z44" s="252">
        <f t="shared" si="12"/>
        <v>0</v>
      </c>
      <c r="AA44" s="253">
        <f t="shared" si="13"/>
        <v>0</v>
      </c>
      <c r="AB44"/>
      <c r="AC44" s="250">
        <v>0</v>
      </c>
      <c r="AD44" s="252">
        <f t="shared" si="14"/>
        <v>0</v>
      </c>
      <c r="AE44" s="251">
        <f t="shared" si="15"/>
        <v>-0.72198378496999993</v>
      </c>
      <c r="AF44" s="252">
        <f t="shared" si="16"/>
        <v>0</v>
      </c>
      <c r="AG44" s="253">
        <f t="shared" si="17"/>
        <v>0</v>
      </c>
      <c r="AH44"/>
      <c r="AI44" s="250">
        <v>-0.78976410730000024</v>
      </c>
      <c r="AJ44" s="252">
        <f t="shared" si="18"/>
        <v>0</v>
      </c>
      <c r="AK44" s="251">
        <f t="shared" si="19"/>
        <v>6.7780322330000309E-2</v>
      </c>
      <c r="AL44" s="252">
        <f t="shared" si="20"/>
        <v>-8.5823503123893197E-2</v>
      </c>
      <c r="AM44" s="253">
        <f t="shared" si="21"/>
        <v>-8.5823503123893197E-2</v>
      </c>
      <c r="AN44"/>
      <c r="AO44" s="261">
        <v>-0.29333612372000001</v>
      </c>
      <c r="AP44" s="252">
        <f t="shared" si="22"/>
        <v>0</v>
      </c>
      <c r="AQ44" s="250">
        <v>0</v>
      </c>
      <c r="AR44" s="252">
        <f t="shared" si="23"/>
        <v>0</v>
      </c>
      <c r="AS44" s="251">
        <f t="shared" si="24"/>
        <v>-0.29333612372000001</v>
      </c>
      <c r="AT44" s="252">
        <f t="shared" si="25"/>
        <v>0</v>
      </c>
      <c r="AU44" s="253">
        <f t="shared" si="26"/>
        <v>0</v>
      </c>
      <c r="AV44"/>
      <c r="AW44" s="250">
        <v>0</v>
      </c>
      <c r="AX44" s="252">
        <f t="shared" si="27"/>
        <v>0</v>
      </c>
      <c r="AY44" s="251">
        <f t="shared" si="28"/>
        <v>-0.29333612372000001</v>
      </c>
      <c r="AZ44" s="252">
        <f t="shared" si="29"/>
        <v>0</v>
      </c>
      <c r="BA44" s="253">
        <f t="shared" si="30"/>
        <v>0</v>
      </c>
      <c r="BB44"/>
      <c r="BC44" s="250">
        <v>-0.2678670337670726</v>
      </c>
      <c r="BD44" s="252">
        <f t="shared" si="31"/>
        <v>0</v>
      </c>
      <c r="BE44" s="251">
        <f t="shared" si="32"/>
        <v>-2.5469089952927404E-2</v>
      </c>
      <c r="BF44" s="252">
        <f t="shared" si="33"/>
        <v>9.5081091520483163E-2</v>
      </c>
      <c r="BG44" s="253">
        <f t="shared" si="34"/>
        <v>9.5081091520483163E-2</v>
      </c>
      <c r="BH44"/>
      <c r="BI44" s="250">
        <f t="shared" ref="BI44:BI45" si="70">SUM(U44,AO44)</f>
        <v>-1.01531990869</v>
      </c>
      <c r="BJ44" s="252">
        <f t="shared" si="35"/>
        <v>0</v>
      </c>
      <c r="BK44" s="250">
        <f t="shared" ref="BK44:BK45" si="71">SUM(W44,AQ44)</f>
        <v>0</v>
      </c>
      <c r="BL44" s="252">
        <f t="shared" si="36"/>
        <v>0</v>
      </c>
      <c r="BM44" s="251">
        <f t="shared" si="37"/>
        <v>-1.01531990869</v>
      </c>
      <c r="BN44" s="252" t="e">
        <f t="shared" si="38"/>
        <v>#DIV/0!</v>
      </c>
      <c r="BO44" s="253" t="e">
        <f t="shared" si="39"/>
        <v>#DIV/0!</v>
      </c>
      <c r="BP44"/>
      <c r="BQ44" s="250">
        <f t="shared" ref="BQ44:BQ45" si="72">SUM(AC44,AW44)</f>
        <v>0</v>
      </c>
      <c r="BR44" s="252">
        <f t="shared" si="40"/>
        <v>0</v>
      </c>
      <c r="BS44" s="251">
        <f t="shared" si="41"/>
        <v>-1.01531990869</v>
      </c>
      <c r="BT44" s="252" t="str">
        <f t="shared" si="42"/>
        <v/>
      </c>
      <c r="BU44" s="253" t="str">
        <f t="shared" si="43"/>
        <v/>
      </c>
      <c r="BV44"/>
      <c r="BW44" s="250">
        <f t="shared" ref="BW44:BW45" si="73">SUM(AI44,BC44)</f>
        <v>-1.0576311410670729</v>
      </c>
      <c r="BX44" s="252">
        <f t="shared" si="44"/>
        <v>0</v>
      </c>
      <c r="BY44" s="251">
        <f t="shared" si="45"/>
        <v>4.2311232377072905E-2</v>
      </c>
      <c r="BZ44" s="252">
        <f t="shared" si="46"/>
        <v>4.0005660512590378E-2</v>
      </c>
      <c r="CA44" s="253">
        <f t="shared" si="47"/>
        <v>4.0005660512590378E-2</v>
      </c>
      <c r="CC44" s="250">
        <v>0</v>
      </c>
      <c r="CD44" s="250">
        <f t="shared" si="48"/>
        <v>0</v>
      </c>
    </row>
    <row r="45" spans="2:82" collapsed="1" x14ac:dyDescent="0.35">
      <c r="B45" s="239" t="s">
        <v>179</v>
      </c>
      <c r="C45" s="239" t="s">
        <v>180</v>
      </c>
      <c r="D45"/>
      <c r="E45" s="240">
        <v>8.8630710000000001E-2</v>
      </c>
      <c r="F45" s="240">
        <v>9.5371031685432678E-2</v>
      </c>
      <c r="G45" s="241">
        <f t="shared" si="0"/>
        <v>-6.7403216854326764E-3</v>
      </c>
      <c r="H45" s="242">
        <f t="shared" si="1"/>
        <v>-7.0674727601402476E-2</v>
      </c>
      <c r="I45" s="243">
        <f t="shared" si="2"/>
        <v>-7.0674727601402476E-2</v>
      </c>
      <c r="J45"/>
      <c r="K45" s="240">
        <v>7.9343563800432698E-2</v>
      </c>
      <c r="L45" s="241">
        <f t="shared" si="3"/>
        <v>9.2871461995673033E-3</v>
      </c>
      <c r="M45" s="242">
        <f t="shared" si="4"/>
        <v>0.11704977385344839</v>
      </c>
      <c r="N45" s="243">
        <f t="shared" si="5"/>
        <v>0.11704977385344839</v>
      </c>
      <c r="O45"/>
      <c r="P45" s="240">
        <v>8.469481999999999E-2</v>
      </c>
      <c r="Q45" s="241">
        <f t="shared" si="6"/>
        <v>3.9358900000000113E-3</v>
      </c>
      <c r="R45" s="242">
        <f t="shared" si="7"/>
        <v>4.6471437096153201E-2</v>
      </c>
      <c r="S45" s="243">
        <f t="shared" si="8"/>
        <v>4.6471437096153201E-2</v>
      </c>
      <c r="T45"/>
      <c r="U45" s="240">
        <v>4.5496988781000093E-2</v>
      </c>
      <c r="V45" s="242">
        <f t="shared" si="9"/>
        <v>0.51333210329692824</v>
      </c>
      <c r="W45" s="240">
        <v>4.1075082284023526E-2</v>
      </c>
      <c r="X45" s="242">
        <f t="shared" si="10"/>
        <v>0.43068719671088013</v>
      </c>
      <c r="Y45" s="241">
        <f t="shared" si="11"/>
        <v>4.4219064969765673E-3</v>
      </c>
      <c r="Z45" s="242">
        <f t="shared" si="12"/>
        <v>0.10765423344499303</v>
      </c>
      <c r="AA45" s="243">
        <f t="shared" si="13"/>
        <v>0.10765423344499303</v>
      </c>
      <c r="AB45"/>
      <c r="AC45" s="240">
        <v>2.5047614399023477E-2</v>
      </c>
      <c r="AD45" s="242">
        <f t="shared" si="14"/>
        <v>0.29573962609547405</v>
      </c>
      <c r="AE45" s="241">
        <f t="shared" si="15"/>
        <v>2.0449374381976616E-2</v>
      </c>
      <c r="AF45" s="242">
        <f t="shared" si="16"/>
        <v>0.8164200412943865</v>
      </c>
      <c r="AG45" s="243">
        <f t="shared" si="17"/>
        <v>0.8164200412943865</v>
      </c>
      <c r="AH45"/>
      <c r="AI45" s="240">
        <v>4.1718030000000024E-2</v>
      </c>
      <c r="AJ45" s="242">
        <f t="shared" si="18"/>
        <v>0.49256884895676062</v>
      </c>
      <c r="AK45" s="241">
        <f t="shared" si="19"/>
        <v>3.7789587810000691E-3</v>
      </c>
      <c r="AL45" s="242">
        <f t="shared" si="20"/>
        <v>9.0583346840684253E-2</v>
      </c>
      <c r="AM45" s="243">
        <f t="shared" si="21"/>
        <v>9.0583346840684253E-2</v>
      </c>
      <c r="AN45"/>
      <c r="AO45" s="240">
        <v>0</v>
      </c>
      <c r="AP45" s="242">
        <f t="shared" si="22"/>
        <v>0</v>
      </c>
      <c r="AQ45" s="240">
        <v>0</v>
      </c>
      <c r="AR45" s="242">
        <f t="shared" si="23"/>
        <v>0</v>
      </c>
      <c r="AS45" s="241">
        <f t="shared" si="24"/>
        <v>0</v>
      </c>
      <c r="AT45" s="242">
        <f t="shared" si="25"/>
        <v>0</v>
      </c>
      <c r="AU45" s="243">
        <f t="shared" si="26"/>
        <v>0</v>
      </c>
      <c r="AV45"/>
      <c r="AW45" s="240">
        <v>0</v>
      </c>
      <c r="AX45" s="242">
        <f t="shared" si="27"/>
        <v>0</v>
      </c>
      <c r="AY45" s="241">
        <f t="shared" si="28"/>
        <v>0</v>
      </c>
      <c r="AZ45" s="242">
        <f t="shared" si="29"/>
        <v>0</v>
      </c>
      <c r="BA45" s="243">
        <f t="shared" si="30"/>
        <v>0</v>
      </c>
      <c r="BB45"/>
      <c r="BC45" s="240">
        <v>0</v>
      </c>
      <c r="BD45" s="242">
        <f t="shared" si="31"/>
        <v>0</v>
      </c>
      <c r="BE45" s="241">
        <f t="shared" si="32"/>
        <v>0</v>
      </c>
      <c r="BF45" s="242">
        <f t="shared" si="33"/>
        <v>0</v>
      </c>
      <c r="BG45" s="243">
        <f t="shared" si="34"/>
        <v>0</v>
      </c>
      <c r="BH45"/>
      <c r="BI45" s="240">
        <f t="shared" si="70"/>
        <v>4.5496988781000093E-2</v>
      </c>
      <c r="BJ45" s="242">
        <f t="shared" si="35"/>
        <v>0.51333210329692824</v>
      </c>
      <c r="BK45" s="240">
        <f t="shared" si="71"/>
        <v>4.1075082284023526E-2</v>
      </c>
      <c r="BL45" s="242">
        <f t="shared" si="36"/>
        <v>0.43068719671088013</v>
      </c>
      <c r="BM45" s="241">
        <f t="shared" si="37"/>
        <v>4.4219064969765673E-3</v>
      </c>
      <c r="BN45" s="242">
        <f t="shared" si="38"/>
        <v>0.10765423344499306</v>
      </c>
      <c r="BO45" s="243">
        <f t="shared" si="39"/>
        <v>0.10765423344499306</v>
      </c>
      <c r="BP45"/>
      <c r="BQ45" s="240">
        <f t="shared" si="72"/>
        <v>2.5047614399023477E-2</v>
      </c>
      <c r="BR45" s="242">
        <f t="shared" si="40"/>
        <v>0.29573962609547405</v>
      </c>
      <c r="BS45" s="241">
        <f t="shared" si="41"/>
        <v>2.0449374381976616E-2</v>
      </c>
      <c r="BT45" s="242">
        <f t="shared" si="42"/>
        <v>0.8164200412943865</v>
      </c>
      <c r="BU45" s="243">
        <f t="shared" si="43"/>
        <v>0.8164200412943865</v>
      </c>
      <c r="BV45"/>
      <c r="BW45" s="240">
        <f t="shared" si="73"/>
        <v>4.1718030000000024E-2</v>
      </c>
      <c r="BX45" s="242">
        <f t="shared" si="44"/>
        <v>0.49256884895676062</v>
      </c>
      <c r="BY45" s="241">
        <f t="shared" si="45"/>
        <v>3.7789587810000691E-3</v>
      </c>
      <c r="BZ45" s="242">
        <f t="shared" si="46"/>
        <v>9.0583346840684156E-2</v>
      </c>
      <c r="CA45" s="243">
        <f t="shared" si="47"/>
        <v>9.0583346840684156E-2</v>
      </c>
      <c r="CC45" s="240">
        <v>8.8630709999999974E-2</v>
      </c>
      <c r="CD45" s="240">
        <f t="shared" si="48"/>
        <v>0</v>
      </c>
    </row>
    <row r="46" spans="2:82" x14ac:dyDescent="0.35">
      <c r="B46" s="239" t="s">
        <v>181</v>
      </c>
      <c r="C46" s="239" t="s">
        <v>182</v>
      </c>
      <c r="D46"/>
      <c r="E46" s="240">
        <f>SUM(E47:E49)</f>
        <v>0</v>
      </c>
      <c r="F46" s="240">
        <f>SUM(F47:F49)</f>
        <v>0</v>
      </c>
      <c r="G46" s="241">
        <f t="shared" si="0"/>
        <v>0</v>
      </c>
      <c r="H46" s="242">
        <f t="shared" si="1"/>
        <v>0</v>
      </c>
      <c r="I46" s="243">
        <f t="shared" si="2"/>
        <v>0</v>
      </c>
      <c r="J46"/>
      <c r="K46" s="240">
        <f>SUM(K47:K49)</f>
        <v>0</v>
      </c>
      <c r="L46" s="241">
        <f t="shared" si="3"/>
        <v>0</v>
      </c>
      <c r="M46" s="242">
        <f t="shared" si="4"/>
        <v>0</v>
      </c>
      <c r="N46" s="243">
        <f t="shared" si="5"/>
        <v>0</v>
      </c>
      <c r="O46"/>
      <c r="P46" s="240">
        <f>SUM(P47:P49)</f>
        <v>0</v>
      </c>
      <c r="Q46" s="241">
        <f t="shared" si="6"/>
        <v>0</v>
      </c>
      <c r="R46" s="242">
        <f t="shared" si="7"/>
        <v>0</v>
      </c>
      <c r="S46" s="243">
        <f t="shared" si="8"/>
        <v>0</v>
      </c>
      <c r="T46"/>
      <c r="U46" s="240">
        <f>SUM(U47:U49)</f>
        <v>-0.95648241000000023</v>
      </c>
      <c r="V46" s="242">
        <f t="shared" si="9"/>
        <v>0</v>
      </c>
      <c r="W46" s="240">
        <f>SUM(W47:W49)</f>
        <v>-1.1248034908739362</v>
      </c>
      <c r="X46" s="242">
        <f t="shared" si="10"/>
        <v>0</v>
      </c>
      <c r="Y46" s="241">
        <f t="shared" si="11"/>
        <v>0.16832108087393594</v>
      </c>
      <c r="Z46" s="242">
        <f t="shared" si="12"/>
        <v>-0.14964487774051616</v>
      </c>
      <c r="AA46" s="243">
        <f t="shared" si="13"/>
        <v>-0.14964487774051616</v>
      </c>
      <c r="AB46"/>
      <c r="AC46" s="240">
        <f>SUM(AC47:AC49)</f>
        <v>-1.1248034908739357</v>
      </c>
      <c r="AD46" s="242">
        <f t="shared" si="14"/>
        <v>0</v>
      </c>
      <c r="AE46" s="241">
        <f t="shared" si="15"/>
        <v>0.16832108087393549</v>
      </c>
      <c r="AF46" s="242">
        <f t="shared" si="16"/>
        <v>-0.14964487774051582</v>
      </c>
      <c r="AG46" s="243">
        <f t="shared" si="17"/>
        <v>-0.14964487774051582</v>
      </c>
      <c r="AH46"/>
      <c r="AI46" s="240">
        <f>SUM(AI47:AI49)</f>
        <v>-0.77548826999999998</v>
      </c>
      <c r="AJ46" s="242">
        <f t="shared" si="18"/>
        <v>0</v>
      </c>
      <c r="AK46" s="241">
        <f t="shared" si="19"/>
        <v>-0.18099414000000025</v>
      </c>
      <c r="AL46" s="242">
        <f t="shared" si="20"/>
        <v>0.23339378170091507</v>
      </c>
      <c r="AM46" s="243">
        <f t="shared" si="21"/>
        <v>0.23339378170091507</v>
      </c>
      <c r="AN46"/>
      <c r="AO46" s="240">
        <f>SUM(AO47:AO49)</f>
        <v>0</v>
      </c>
      <c r="AP46" s="242">
        <f t="shared" si="22"/>
        <v>0</v>
      </c>
      <c r="AQ46" s="240">
        <f>SUM(AQ47:AQ49)</f>
        <v>0</v>
      </c>
      <c r="AR46" s="242">
        <f t="shared" si="23"/>
        <v>0</v>
      </c>
      <c r="AS46" s="241">
        <f t="shared" si="24"/>
        <v>0</v>
      </c>
      <c r="AT46" s="242">
        <f t="shared" si="25"/>
        <v>0</v>
      </c>
      <c r="AU46" s="243">
        <f t="shared" si="26"/>
        <v>0</v>
      </c>
      <c r="AV46"/>
      <c r="AW46" s="240">
        <f>SUM(AW47:AW49)</f>
        <v>0</v>
      </c>
      <c r="AX46" s="242">
        <f t="shared" si="27"/>
        <v>0</v>
      </c>
      <c r="AY46" s="241">
        <f t="shared" si="28"/>
        <v>0</v>
      </c>
      <c r="AZ46" s="242">
        <f t="shared" si="29"/>
        <v>0</v>
      </c>
      <c r="BA46" s="243">
        <f t="shared" si="30"/>
        <v>0</v>
      </c>
      <c r="BB46"/>
      <c r="BC46" s="240">
        <f>SUM(BC47:BC49)</f>
        <v>0</v>
      </c>
      <c r="BD46" s="242">
        <f t="shared" si="31"/>
        <v>0</v>
      </c>
      <c r="BE46" s="241">
        <f t="shared" si="32"/>
        <v>0</v>
      </c>
      <c r="BF46" s="242">
        <f t="shared" si="33"/>
        <v>0</v>
      </c>
      <c r="BG46" s="243">
        <f t="shared" si="34"/>
        <v>0</v>
      </c>
      <c r="BH46"/>
      <c r="BI46" s="240">
        <f>SUM(BI47:BI49)</f>
        <v>-0.95648241000000023</v>
      </c>
      <c r="BJ46" s="242">
        <f t="shared" si="35"/>
        <v>0</v>
      </c>
      <c r="BK46" s="240">
        <f>SUM(BK47:BK49)</f>
        <v>-1.1248034908739362</v>
      </c>
      <c r="BL46" s="242">
        <f t="shared" si="36"/>
        <v>0</v>
      </c>
      <c r="BM46" s="241">
        <f t="shared" si="37"/>
        <v>0.16832108087393594</v>
      </c>
      <c r="BN46" s="242">
        <f t="shared" si="38"/>
        <v>0.14964487774051613</v>
      </c>
      <c r="BO46" s="243">
        <f t="shared" si="39"/>
        <v>0.14964487774051613</v>
      </c>
      <c r="BP46"/>
      <c r="BQ46" s="240">
        <f>SUM(BQ47:BQ49)</f>
        <v>-1.1248034908739357</v>
      </c>
      <c r="BR46" s="242">
        <f t="shared" si="40"/>
        <v>0</v>
      </c>
      <c r="BS46" s="241">
        <f t="shared" si="41"/>
        <v>0.16832108087393549</v>
      </c>
      <c r="BT46" s="242">
        <f t="shared" si="42"/>
        <v>0.1496448777405158</v>
      </c>
      <c r="BU46" s="243">
        <f t="shared" si="43"/>
        <v>0.1496448777405158</v>
      </c>
      <c r="BV46"/>
      <c r="BW46" s="240">
        <f>SUM(BW47:BW49)</f>
        <v>-0.77548826999999998</v>
      </c>
      <c r="BX46" s="242">
        <f t="shared" si="44"/>
        <v>0</v>
      </c>
      <c r="BY46" s="241">
        <f t="shared" si="45"/>
        <v>-0.18099414000000025</v>
      </c>
      <c r="BZ46" s="242">
        <f t="shared" si="46"/>
        <v>-0.23339378170091502</v>
      </c>
      <c r="CA46" s="243">
        <f t="shared" si="47"/>
        <v>-0.23339378170091502</v>
      </c>
      <c r="CC46" s="240">
        <f>SUM(CC47:CC49)</f>
        <v>0</v>
      </c>
      <c r="CD46" s="240">
        <f t="shared" si="48"/>
        <v>0</v>
      </c>
    </row>
    <row r="47" spans="2:82" hidden="1" outlineLevel="1" x14ac:dyDescent="0.35">
      <c r="B47" s="255" t="s">
        <v>183</v>
      </c>
      <c r="C47" s="255" t="s">
        <v>184</v>
      </c>
      <c r="D47"/>
      <c r="E47" s="250">
        <v>0</v>
      </c>
      <c r="F47" s="250">
        <v>0</v>
      </c>
      <c r="G47" s="251">
        <f t="shared" si="0"/>
        <v>0</v>
      </c>
      <c r="H47" s="252">
        <f t="shared" si="1"/>
        <v>0</v>
      </c>
      <c r="I47" s="253">
        <f t="shared" si="2"/>
        <v>0</v>
      </c>
      <c r="J47"/>
      <c r="K47" s="250">
        <v>0</v>
      </c>
      <c r="L47" s="251">
        <f t="shared" si="3"/>
        <v>0</v>
      </c>
      <c r="M47" s="252">
        <f t="shared" si="4"/>
        <v>0</v>
      </c>
      <c r="N47" s="253">
        <f t="shared" si="5"/>
        <v>0</v>
      </c>
      <c r="O47"/>
      <c r="P47" s="250">
        <v>0</v>
      </c>
      <c r="Q47" s="251">
        <f t="shared" si="6"/>
        <v>0</v>
      </c>
      <c r="R47" s="252">
        <f t="shared" si="7"/>
        <v>0</v>
      </c>
      <c r="S47" s="253">
        <f t="shared" si="8"/>
        <v>0</v>
      </c>
      <c r="T47"/>
      <c r="U47" s="250">
        <v>-0.29987576000000005</v>
      </c>
      <c r="V47" s="252">
        <f t="shared" si="9"/>
        <v>0</v>
      </c>
      <c r="W47" s="250">
        <v>-0.39682233008940948</v>
      </c>
      <c r="X47" s="252">
        <f t="shared" si="10"/>
        <v>0</v>
      </c>
      <c r="Y47" s="251">
        <f t="shared" si="11"/>
        <v>9.6946570089409434E-2</v>
      </c>
      <c r="Z47" s="252">
        <f t="shared" si="12"/>
        <v>-0.24430724467437614</v>
      </c>
      <c r="AA47" s="253">
        <f t="shared" si="13"/>
        <v>-0.24430724467437614</v>
      </c>
      <c r="AB47"/>
      <c r="AC47" s="250">
        <v>-0.39682233008940926</v>
      </c>
      <c r="AD47" s="252">
        <f t="shared" si="14"/>
        <v>0</v>
      </c>
      <c r="AE47" s="251">
        <f t="shared" si="15"/>
        <v>9.6946570089409212E-2</v>
      </c>
      <c r="AF47" s="252">
        <f t="shared" si="16"/>
        <v>-0.24430724467437581</v>
      </c>
      <c r="AG47" s="253">
        <f t="shared" si="17"/>
        <v>-0.24430724467437581</v>
      </c>
      <c r="AH47"/>
      <c r="AI47" s="250">
        <v>-0.23642227999999996</v>
      </c>
      <c r="AJ47" s="252">
        <f t="shared" si="18"/>
        <v>0</v>
      </c>
      <c r="AK47" s="251">
        <f t="shared" si="19"/>
        <v>-6.345348000000009E-2</v>
      </c>
      <c r="AL47" s="252">
        <f t="shared" si="20"/>
        <v>0.2683904410362683</v>
      </c>
      <c r="AM47" s="253">
        <f t="shared" si="21"/>
        <v>0.2683904410362683</v>
      </c>
      <c r="AN47"/>
      <c r="AO47" s="250">
        <v>0</v>
      </c>
      <c r="AP47" s="252">
        <f t="shared" si="22"/>
        <v>0</v>
      </c>
      <c r="AQ47" s="250">
        <v>0</v>
      </c>
      <c r="AR47" s="252">
        <f t="shared" si="23"/>
        <v>0</v>
      </c>
      <c r="AS47" s="251">
        <f t="shared" si="24"/>
        <v>0</v>
      </c>
      <c r="AT47" s="252">
        <f t="shared" si="25"/>
        <v>0</v>
      </c>
      <c r="AU47" s="253">
        <f t="shared" si="26"/>
        <v>0</v>
      </c>
      <c r="AV47"/>
      <c r="AW47" s="250">
        <v>0</v>
      </c>
      <c r="AX47" s="252">
        <f t="shared" si="27"/>
        <v>0</v>
      </c>
      <c r="AY47" s="251">
        <f t="shared" si="28"/>
        <v>0</v>
      </c>
      <c r="AZ47" s="252">
        <f t="shared" si="29"/>
        <v>0</v>
      </c>
      <c r="BA47" s="253">
        <f t="shared" si="30"/>
        <v>0</v>
      </c>
      <c r="BB47"/>
      <c r="BC47" s="250">
        <v>0</v>
      </c>
      <c r="BD47" s="252">
        <f t="shared" si="31"/>
        <v>0</v>
      </c>
      <c r="BE47" s="251">
        <f t="shared" si="32"/>
        <v>0</v>
      </c>
      <c r="BF47" s="252">
        <f t="shared" si="33"/>
        <v>0</v>
      </c>
      <c r="BG47" s="253">
        <f t="shared" si="34"/>
        <v>0</v>
      </c>
      <c r="BH47"/>
      <c r="BI47" s="250">
        <f t="shared" ref="BI47:BI49" si="74">SUM(U47,AO47)</f>
        <v>-0.29987576000000005</v>
      </c>
      <c r="BJ47" s="252">
        <f t="shared" si="35"/>
        <v>0</v>
      </c>
      <c r="BK47" s="250">
        <f t="shared" ref="BK47:BK49" si="75">SUM(W47,AQ47)</f>
        <v>-0.39682233008940948</v>
      </c>
      <c r="BL47" s="252">
        <f t="shared" si="36"/>
        <v>0</v>
      </c>
      <c r="BM47" s="251">
        <f t="shared" si="37"/>
        <v>9.6946570089409434E-2</v>
      </c>
      <c r="BN47" s="252">
        <f t="shared" ref="BN47:BN49" si="76">IFERROR($BI47/BK47-1,0)</f>
        <v>-0.24430724467437614</v>
      </c>
      <c r="BO47" s="253">
        <f t="shared" si="39"/>
        <v>-0.24430724467437614</v>
      </c>
      <c r="BP47"/>
      <c r="BQ47" s="250">
        <f t="shared" ref="BQ47:BQ49" si="77">SUM(AC47,AW47)</f>
        <v>-0.39682233008940926</v>
      </c>
      <c r="BR47" s="252">
        <f t="shared" si="40"/>
        <v>0</v>
      </c>
      <c r="BS47" s="251">
        <f t="shared" si="41"/>
        <v>9.6946570089409212E-2</v>
      </c>
      <c r="BT47" s="252">
        <f t="shared" si="42"/>
        <v>0.24430724467437576</v>
      </c>
      <c r="BU47" s="253">
        <f t="shared" si="43"/>
        <v>0.24430724467437576</v>
      </c>
      <c r="BV47"/>
      <c r="BW47" s="250">
        <f t="shared" ref="BW47:BW49" si="78">SUM(AI47,BC47)</f>
        <v>-0.23642227999999996</v>
      </c>
      <c r="BX47" s="252">
        <f t="shared" si="44"/>
        <v>0</v>
      </c>
      <c r="BY47" s="251">
        <f t="shared" si="45"/>
        <v>-6.345348000000009E-2</v>
      </c>
      <c r="BZ47" s="252">
        <f t="shared" si="46"/>
        <v>-0.26839044103626825</v>
      </c>
      <c r="CA47" s="253">
        <f t="shared" si="47"/>
        <v>-0.26839044103626825</v>
      </c>
      <c r="CC47" s="250">
        <v>0</v>
      </c>
      <c r="CD47" s="250">
        <f t="shared" si="48"/>
        <v>0</v>
      </c>
    </row>
    <row r="48" spans="2:82" hidden="1" outlineLevel="1" x14ac:dyDescent="0.35">
      <c r="B48" s="255" t="s">
        <v>185</v>
      </c>
      <c r="C48" s="255" t="s">
        <v>186</v>
      </c>
      <c r="D48"/>
      <c r="E48" s="250">
        <v>0</v>
      </c>
      <c r="F48" s="250">
        <v>0</v>
      </c>
      <c r="G48" s="251">
        <f t="shared" si="0"/>
        <v>0</v>
      </c>
      <c r="H48" s="252">
        <f t="shared" si="1"/>
        <v>0</v>
      </c>
      <c r="I48" s="253">
        <f t="shared" si="2"/>
        <v>0</v>
      </c>
      <c r="J48"/>
      <c r="K48" s="250">
        <v>0</v>
      </c>
      <c r="L48" s="251">
        <f t="shared" si="3"/>
        <v>0</v>
      </c>
      <c r="M48" s="252">
        <f t="shared" si="4"/>
        <v>0</v>
      </c>
      <c r="N48" s="253">
        <f t="shared" si="5"/>
        <v>0</v>
      </c>
      <c r="O48"/>
      <c r="P48" s="250">
        <v>0</v>
      </c>
      <c r="Q48" s="251">
        <f t="shared" si="6"/>
        <v>0</v>
      </c>
      <c r="R48" s="252">
        <f t="shared" si="7"/>
        <v>0</v>
      </c>
      <c r="S48" s="253">
        <f t="shared" si="8"/>
        <v>0</v>
      </c>
      <c r="T48"/>
      <c r="U48" s="250">
        <v>-0.53503325000000024</v>
      </c>
      <c r="V48" s="252">
        <f t="shared" si="9"/>
        <v>0</v>
      </c>
      <c r="W48" s="250">
        <v>-0.49165499431983417</v>
      </c>
      <c r="X48" s="252">
        <f t="shared" si="10"/>
        <v>0</v>
      </c>
      <c r="Y48" s="251">
        <f t="shared" si="11"/>
        <v>-4.3378255680166067E-2</v>
      </c>
      <c r="Z48" s="252">
        <f t="shared" si="12"/>
        <v>8.8229055295525827E-2</v>
      </c>
      <c r="AA48" s="253">
        <f t="shared" si="13"/>
        <v>8.8229055295525827E-2</v>
      </c>
      <c r="AB48"/>
      <c r="AC48" s="250">
        <v>-0.49165499431983439</v>
      </c>
      <c r="AD48" s="252">
        <f t="shared" si="14"/>
        <v>0</v>
      </c>
      <c r="AE48" s="251">
        <f t="shared" si="15"/>
        <v>-4.3378255680165845E-2</v>
      </c>
      <c r="AF48" s="252">
        <f t="shared" si="16"/>
        <v>8.8229055295525383E-2</v>
      </c>
      <c r="AG48" s="253">
        <f t="shared" si="17"/>
        <v>8.8229055295525383E-2</v>
      </c>
      <c r="AH48"/>
      <c r="AI48" s="250">
        <v>-0.45692770000000005</v>
      </c>
      <c r="AJ48" s="252">
        <f t="shared" si="18"/>
        <v>0</v>
      </c>
      <c r="AK48" s="251">
        <f t="shared" si="19"/>
        <v>-7.810555000000019E-2</v>
      </c>
      <c r="AL48" s="252">
        <f t="shared" si="20"/>
        <v>0.17093634288313053</v>
      </c>
      <c r="AM48" s="253">
        <f t="shared" si="21"/>
        <v>0.17093634288313053</v>
      </c>
      <c r="AN48"/>
      <c r="AO48" s="250">
        <v>0</v>
      </c>
      <c r="AP48" s="252">
        <f t="shared" si="22"/>
        <v>0</v>
      </c>
      <c r="AQ48" s="250">
        <v>0</v>
      </c>
      <c r="AR48" s="252">
        <f t="shared" si="23"/>
        <v>0</v>
      </c>
      <c r="AS48" s="251">
        <f t="shared" si="24"/>
        <v>0</v>
      </c>
      <c r="AT48" s="252">
        <f t="shared" si="25"/>
        <v>0</v>
      </c>
      <c r="AU48" s="253">
        <f t="shared" si="26"/>
        <v>0</v>
      </c>
      <c r="AV48"/>
      <c r="AW48" s="250">
        <v>0</v>
      </c>
      <c r="AX48" s="252">
        <f t="shared" si="27"/>
        <v>0</v>
      </c>
      <c r="AY48" s="251">
        <f t="shared" si="28"/>
        <v>0</v>
      </c>
      <c r="AZ48" s="252">
        <f t="shared" si="29"/>
        <v>0</v>
      </c>
      <c r="BA48" s="253">
        <f t="shared" si="30"/>
        <v>0</v>
      </c>
      <c r="BB48"/>
      <c r="BC48" s="250">
        <v>0</v>
      </c>
      <c r="BD48" s="252">
        <f t="shared" si="31"/>
        <v>0</v>
      </c>
      <c r="BE48" s="251">
        <f t="shared" si="32"/>
        <v>0</v>
      </c>
      <c r="BF48" s="252">
        <f t="shared" si="33"/>
        <v>0</v>
      </c>
      <c r="BG48" s="253">
        <f t="shared" si="34"/>
        <v>0</v>
      </c>
      <c r="BH48"/>
      <c r="BI48" s="250">
        <f t="shared" si="74"/>
        <v>-0.53503325000000024</v>
      </c>
      <c r="BJ48" s="252">
        <f t="shared" si="35"/>
        <v>0</v>
      </c>
      <c r="BK48" s="250">
        <f t="shared" si="75"/>
        <v>-0.49165499431983417</v>
      </c>
      <c r="BL48" s="252">
        <f t="shared" si="36"/>
        <v>0</v>
      </c>
      <c r="BM48" s="251">
        <f t="shared" si="37"/>
        <v>-4.3378255680166067E-2</v>
      </c>
      <c r="BN48" s="252">
        <f t="shared" si="76"/>
        <v>8.8229055295525827E-2</v>
      </c>
      <c r="BO48" s="253">
        <f t="shared" si="39"/>
        <v>8.8229055295525827E-2</v>
      </c>
      <c r="BP48"/>
      <c r="BQ48" s="250">
        <f t="shared" si="77"/>
        <v>-0.49165499431983439</v>
      </c>
      <c r="BR48" s="252">
        <f t="shared" si="40"/>
        <v>0</v>
      </c>
      <c r="BS48" s="251">
        <f t="shared" si="41"/>
        <v>-4.3378255680165845E-2</v>
      </c>
      <c r="BT48" s="252">
        <f t="shared" si="42"/>
        <v>-8.8229055295525299E-2</v>
      </c>
      <c r="BU48" s="253">
        <f t="shared" si="43"/>
        <v>-8.8229055295525299E-2</v>
      </c>
      <c r="BV48"/>
      <c r="BW48" s="250">
        <f t="shared" si="78"/>
        <v>-0.45692770000000005</v>
      </c>
      <c r="BX48" s="252">
        <f t="shared" si="44"/>
        <v>0</v>
      </c>
      <c r="BY48" s="251">
        <f t="shared" si="45"/>
        <v>-7.810555000000019E-2</v>
      </c>
      <c r="BZ48" s="252">
        <f t="shared" si="46"/>
        <v>-0.17093634288313048</v>
      </c>
      <c r="CA48" s="253">
        <f t="shared" si="47"/>
        <v>-0.17093634288313048</v>
      </c>
      <c r="CC48" s="250">
        <v>0</v>
      </c>
      <c r="CD48" s="250">
        <f t="shared" si="48"/>
        <v>0</v>
      </c>
    </row>
    <row r="49" spans="2:82" hidden="1" outlineLevel="1" x14ac:dyDescent="0.35">
      <c r="B49" s="255" t="s">
        <v>187</v>
      </c>
      <c r="C49" s="255" t="s">
        <v>188</v>
      </c>
      <c r="D49"/>
      <c r="E49" s="250">
        <v>0</v>
      </c>
      <c r="F49" s="250">
        <v>0</v>
      </c>
      <c r="G49" s="251">
        <f t="shared" si="0"/>
        <v>0</v>
      </c>
      <c r="H49" s="252">
        <f t="shared" si="1"/>
        <v>0</v>
      </c>
      <c r="I49" s="253">
        <f t="shared" si="2"/>
        <v>0</v>
      </c>
      <c r="J49"/>
      <c r="K49" s="250">
        <v>0</v>
      </c>
      <c r="L49" s="251">
        <f t="shared" si="3"/>
        <v>0</v>
      </c>
      <c r="M49" s="252">
        <f t="shared" si="4"/>
        <v>0</v>
      </c>
      <c r="N49" s="253">
        <f t="shared" si="5"/>
        <v>0</v>
      </c>
      <c r="O49"/>
      <c r="P49" s="250">
        <v>0</v>
      </c>
      <c r="Q49" s="251">
        <f t="shared" si="6"/>
        <v>0</v>
      </c>
      <c r="R49" s="252">
        <f t="shared" si="7"/>
        <v>0</v>
      </c>
      <c r="S49" s="253">
        <f t="shared" si="8"/>
        <v>0</v>
      </c>
      <c r="T49"/>
      <c r="U49" s="250">
        <v>-0.1215734</v>
      </c>
      <c r="V49" s="252">
        <f t="shared" si="9"/>
        <v>0</v>
      </c>
      <c r="W49" s="250">
        <v>-0.23632616646469259</v>
      </c>
      <c r="X49" s="252">
        <f t="shared" si="10"/>
        <v>0</v>
      </c>
      <c r="Y49" s="251">
        <f t="shared" si="11"/>
        <v>0.1147527664646926</v>
      </c>
      <c r="Z49" s="252">
        <f t="shared" si="12"/>
        <v>-0.48556944912757594</v>
      </c>
      <c r="AA49" s="253">
        <f t="shared" si="13"/>
        <v>-0.48556944912757594</v>
      </c>
      <c r="AB49"/>
      <c r="AC49" s="250">
        <v>-0.23632616646469215</v>
      </c>
      <c r="AD49" s="252">
        <f t="shared" si="14"/>
        <v>0</v>
      </c>
      <c r="AE49" s="251">
        <f t="shared" si="15"/>
        <v>0.11475276646469215</v>
      </c>
      <c r="AF49" s="252">
        <f t="shared" si="16"/>
        <v>-0.48556944912757494</v>
      </c>
      <c r="AG49" s="253">
        <f t="shared" si="17"/>
        <v>-0.48556944912757494</v>
      </c>
      <c r="AH49"/>
      <c r="AI49" s="250">
        <v>-8.2138289999999989E-2</v>
      </c>
      <c r="AJ49" s="252">
        <f t="shared" si="18"/>
        <v>0</v>
      </c>
      <c r="AK49" s="251">
        <f t="shared" si="19"/>
        <v>-3.9435110000000009E-2</v>
      </c>
      <c r="AL49" s="252">
        <f t="shared" si="20"/>
        <v>0.48010629390994164</v>
      </c>
      <c r="AM49" s="253">
        <f t="shared" si="21"/>
        <v>0.48010629390994164</v>
      </c>
      <c r="AN49"/>
      <c r="AO49" s="250">
        <v>0</v>
      </c>
      <c r="AP49" s="252">
        <f t="shared" si="22"/>
        <v>0</v>
      </c>
      <c r="AQ49" s="250">
        <v>0</v>
      </c>
      <c r="AR49" s="252">
        <f t="shared" si="23"/>
        <v>0</v>
      </c>
      <c r="AS49" s="251">
        <f t="shared" si="24"/>
        <v>0</v>
      </c>
      <c r="AT49" s="252">
        <f t="shared" si="25"/>
        <v>0</v>
      </c>
      <c r="AU49" s="253">
        <f t="shared" si="26"/>
        <v>0</v>
      </c>
      <c r="AV49"/>
      <c r="AW49" s="250">
        <v>0</v>
      </c>
      <c r="AX49" s="252">
        <f t="shared" si="27"/>
        <v>0</v>
      </c>
      <c r="AY49" s="251">
        <f t="shared" si="28"/>
        <v>0</v>
      </c>
      <c r="AZ49" s="252">
        <f t="shared" si="29"/>
        <v>0</v>
      </c>
      <c r="BA49" s="253">
        <f t="shared" si="30"/>
        <v>0</v>
      </c>
      <c r="BB49"/>
      <c r="BC49" s="250">
        <v>0</v>
      </c>
      <c r="BD49" s="252">
        <f t="shared" si="31"/>
        <v>0</v>
      </c>
      <c r="BE49" s="251">
        <f t="shared" si="32"/>
        <v>0</v>
      </c>
      <c r="BF49" s="252">
        <f t="shared" si="33"/>
        <v>0</v>
      </c>
      <c r="BG49" s="253">
        <f t="shared" si="34"/>
        <v>0</v>
      </c>
      <c r="BH49"/>
      <c r="BI49" s="250">
        <f t="shared" si="74"/>
        <v>-0.1215734</v>
      </c>
      <c r="BJ49" s="252">
        <f t="shared" si="35"/>
        <v>0</v>
      </c>
      <c r="BK49" s="250">
        <f t="shared" si="75"/>
        <v>-0.23632616646469259</v>
      </c>
      <c r="BL49" s="252">
        <f t="shared" si="36"/>
        <v>0</v>
      </c>
      <c r="BM49" s="251">
        <f t="shared" si="37"/>
        <v>0.1147527664646926</v>
      </c>
      <c r="BN49" s="252">
        <f t="shared" si="76"/>
        <v>-0.48556944912757594</v>
      </c>
      <c r="BO49" s="253">
        <f t="shared" si="39"/>
        <v>-0.48556944912757594</v>
      </c>
      <c r="BP49"/>
      <c r="BQ49" s="250">
        <f t="shared" si="77"/>
        <v>-0.23632616646469215</v>
      </c>
      <c r="BR49" s="252">
        <f t="shared" si="40"/>
        <v>0</v>
      </c>
      <c r="BS49" s="251">
        <f t="shared" si="41"/>
        <v>0.11475276646469215</v>
      </c>
      <c r="BT49" s="252">
        <f t="shared" si="42"/>
        <v>0.48556944912757499</v>
      </c>
      <c r="BU49" s="253">
        <f t="shared" si="43"/>
        <v>0.48556944912757499</v>
      </c>
      <c r="BV49"/>
      <c r="BW49" s="250">
        <f t="shared" si="78"/>
        <v>-8.2138289999999989E-2</v>
      </c>
      <c r="BX49" s="252">
        <f t="shared" si="44"/>
        <v>0</v>
      </c>
      <c r="BY49" s="251">
        <f t="shared" si="45"/>
        <v>-3.9435110000000009E-2</v>
      </c>
      <c r="BZ49" s="252">
        <f t="shared" si="46"/>
        <v>-0.48010629390994158</v>
      </c>
      <c r="CA49" s="253">
        <f t="shared" si="47"/>
        <v>-0.48010629390994158</v>
      </c>
      <c r="CC49" s="250">
        <v>0</v>
      </c>
      <c r="CD49" s="250">
        <f t="shared" si="48"/>
        <v>0</v>
      </c>
    </row>
    <row r="50" spans="2:82" ht="7.5" customHeight="1" collapsed="1" x14ac:dyDescent="0.3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C50"/>
    </row>
    <row r="51" spans="2:82" x14ac:dyDescent="0.35">
      <c r="B51" s="234">
        <v>2</v>
      </c>
      <c r="C51" s="234" t="s">
        <v>189</v>
      </c>
      <c r="D51"/>
      <c r="E51" s="235">
        <f>SUM(E80,E77,E59,E52,E83)</f>
        <v>62.07458682328172</v>
      </c>
      <c r="F51" s="235">
        <f>SUM(F80,F77,F59,F52,F83)</f>
        <v>61.824648649824283</v>
      </c>
      <c r="G51" s="236">
        <f t="shared" si="0"/>
        <v>0.24993817345743707</v>
      </c>
      <c r="H51" s="237">
        <f t="shared" si="1"/>
        <v>4.04269460345974E-3</v>
      </c>
      <c r="I51" s="238">
        <f t="shared" si="2"/>
        <v>4.04269460345974E-3</v>
      </c>
      <c r="J51"/>
      <c r="K51" s="235">
        <f>SUM(K80,K77,K59,K52,K83)</f>
        <v>60.371818216392313</v>
      </c>
      <c r="L51" s="236">
        <f t="shared" ref="L51:L59" si="79">$E51-K51</f>
        <v>1.702768606889407</v>
      </c>
      <c r="M51" s="237">
        <f t="shared" ref="M51:M65" si="80">IFERROR($E51/K51-1,0)</f>
        <v>2.8204693136558046E-2</v>
      </c>
      <c r="N51" s="238">
        <f t="shared" ref="N51:N65" si="81">M51</f>
        <v>2.8204693136558046E-2</v>
      </c>
      <c r="O51"/>
      <c r="P51" s="235">
        <f>SUM(P80,P77,P59,P52,P83)</f>
        <v>53.109342753934186</v>
      </c>
      <c r="Q51" s="236">
        <f t="shared" si="6"/>
        <v>8.9652440693475342</v>
      </c>
      <c r="R51" s="237">
        <f t="shared" si="7"/>
        <v>0.16880728708854931</v>
      </c>
      <c r="S51" s="238">
        <f t="shared" si="8"/>
        <v>0.16880728708854931</v>
      </c>
      <c r="T51"/>
      <c r="U51" s="235">
        <f>SUM(U80,U77,U59,U52,U83)</f>
        <v>14.32678459836246</v>
      </c>
      <c r="V51" s="237">
        <f t="shared" si="9"/>
        <v>0.2307995160587851</v>
      </c>
      <c r="W51" s="235">
        <f>SUM(W80,W77,W59,W52,W83)</f>
        <v>10.576541189040515</v>
      </c>
      <c r="X51" s="237">
        <f t="shared" si="10"/>
        <v>0.17107321141356097</v>
      </c>
      <c r="Y51" s="236">
        <f t="shared" si="11"/>
        <v>3.7502434093219446</v>
      </c>
      <c r="Z51" s="237">
        <f t="shared" si="12"/>
        <v>0.35458127021790187</v>
      </c>
      <c r="AA51" s="238">
        <f t="shared" si="13"/>
        <v>0.35458127021790187</v>
      </c>
      <c r="AB51"/>
      <c r="AC51" s="235">
        <f>SUM(AC80,AC77,AC59,AC52,AC83)</f>
        <v>11.352049266618414</v>
      </c>
      <c r="AD51" s="237">
        <f t="shared" ref="AD51:AD65" si="82">IFERROR(AC51/$P51,0)</f>
        <v>0.21374863024034479</v>
      </c>
      <c r="AE51" s="236">
        <f t="shared" ref="AE51:AE65" si="83">$U51-AC51</f>
        <v>2.9747353317440464</v>
      </c>
      <c r="AF51" s="237">
        <f t="shared" ref="AF51:AF65" si="84">IFERROR($U51/AC51-1,0)</f>
        <v>0.26204390607178629</v>
      </c>
      <c r="AG51" s="238">
        <f t="shared" ref="AG51:AG65" si="85">AF51</f>
        <v>0.26204390607178629</v>
      </c>
      <c r="AH51"/>
      <c r="AI51" s="235">
        <f>SUM(AI80,AI77,AI59,AI52,AI83)</f>
        <v>13.001685543327239</v>
      </c>
      <c r="AJ51" s="237">
        <f t="shared" si="18"/>
        <v>0.24480976169421928</v>
      </c>
      <c r="AK51" s="236">
        <f t="shared" si="19"/>
        <v>1.3250990550352206</v>
      </c>
      <c r="AL51" s="237">
        <f t="shared" si="20"/>
        <v>0.10191748220793517</v>
      </c>
      <c r="AM51" s="238">
        <f t="shared" si="21"/>
        <v>0.10191748220793517</v>
      </c>
      <c r="AN51"/>
      <c r="AO51" s="235">
        <f>SUM(AO80,AO77,AO59,AO52,AO83)</f>
        <v>-1.5694640862800002</v>
      </c>
      <c r="AP51" s="237">
        <f t="shared" si="22"/>
        <v>-2.5283520464631695E-2</v>
      </c>
      <c r="AQ51" s="235">
        <f>SUM(AQ80,AQ77,AQ59,AQ52,AQ83)</f>
        <v>-6.246728219696969E-2</v>
      </c>
      <c r="AR51" s="237">
        <f t="shared" si="23"/>
        <v>-1.010394455305121E-3</v>
      </c>
      <c r="AS51" s="236">
        <f t="shared" si="24"/>
        <v>-1.5069968040830306</v>
      </c>
      <c r="AT51" s="237">
        <f t="shared" si="25"/>
        <v>24.124577716239038</v>
      </c>
      <c r="AU51" s="238">
        <f t="shared" si="26"/>
        <v>24.124577716239038</v>
      </c>
      <c r="AV51"/>
      <c r="AW51" s="235">
        <f>SUM(AW80,AW77,AW59,AW52,AW83)</f>
        <v>-1.7267746470647392</v>
      </c>
      <c r="AX51" s="237">
        <f t="shared" ref="AX51:AX65" si="86">IFERROR(AW51/$P51,0)</f>
        <v>-3.2513575908201663E-2</v>
      </c>
      <c r="AY51" s="236">
        <f t="shared" ref="AY51:AY59" si="87">$AO51-AW51</f>
        <v>0.15731056078473893</v>
      </c>
      <c r="AZ51" s="237">
        <f t="shared" ref="AZ51:AZ65" si="88">IFERROR($AO51/AW51-1,0)</f>
        <v>-9.1100805222119496E-2</v>
      </c>
      <c r="BA51" s="238">
        <f t="shared" ref="BA51:BA65" si="89">AZ51</f>
        <v>-9.1100805222119496E-2</v>
      </c>
      <c r="BB51"/>
      <c r="BC51" s="235">
        <f>SUM(BC80,BC77,BC59,BC52,BC83)</f>
        <v>-1.7175195062329272</v>
      </c>
      <c r="BD51" s="237">
        <f t="shared" si="31"/>
        <v>-3.2339310132127333E-2</v>
      </c>
      <c r="BE51" s="236">
        <f t="shared" si="32"/>
        <v>0.14805541995292693</v>
      </c>
      <c r="BF51" s="237">
        <f t="shared" si="33"/>
        <v>-8.620305004725104E-2</v>
      </c>
      <c r="BG51" s="238">
        <f t="shared" si="34"/>
        <v>-8.620305004725104E-2</v>
      </c>
      <c r="BH51"/>
      <c r="BI51" s="235">
        <f>SUM(BI80,BI77,BI59,BI52,BI83)</f>
        <v>12.757320512082458</v>
      </c>
      <c r="BJ51" s="237">
        <f t="shared" si="35"/>
        <v>0.2055159955941534</v>
      </c>
      <c r="BK51" s="235">
        <f>SUM(BK80,BK77,BK59,BK52,BK83)</f>
        <v>10.514073906843546</v>
      </c>
      <c r="BL51" s="237">
        <f t="shared" si="36"/>
        <v>0.17006281695825584</v>
      </c>
      <c r="BM51" s="236">
        <f t="shared" si="37"/>
        <v>2.2432466052389124</v>
      </c>
      <c r="BN51" s="237">
        <f t="shared" ref="BN51:BN57" si="90">BM51/ABS(BK51)</f>
        <v>0.21335655666057254</v>
      </c>
      <c r="BO51" s="238">
        <f t="shared" si="39"/>
        <v>0.21335655666057254</v>
      </c>
      <c r="BP51"/>
      <c r="BQ51" s="235">
        <f>SUM(BQ80,BQ77,BQ59,BQ52,BQ83)</f>
        <v>9.6252746195536751</v>
      </c>
      <c r="BR51" s="237">
        <f t="shared" ref="BR51:BR83" si="91">IFERROR(BQ51/$P51,0)</f>
        <v>0.18123505433214315</v>
      </c>
      <c r="BS51" s="236">
        <f t="shared" ref="BS51:BS83" si="92">$BI51-BQ51</f>
        <v>3.1320458925287831</v>
      </c>
      <c r="BT51" s="237">
        <f t="shared" ref="BT51:BT83" si="93">IFERROR(BS51/ABS(BQ51),"")</f>
        <v>0.32539808123147518</v>
      </c>
      <c r="BU51" s="238">
        <f t="shared" ref="BU51:BU83" si="94">BT51</f>
        <v>0.32539808123147518</v>
      </c>
      <c r="BV51"/>
      <c r="BW51" s="235">
        <f>SUM(BW80,BW77,BW59,BW52,BW83)</f>
        <v>11.284166037094312</v>
      </c>
      <c r="BX51" s="237">
        <f t="shared" si="44"/>
        <v>0.21247045156209196</v>
      </c>
      <c r="BY51" s="236">
        <f t="shared" si="45"/>
        <v>1.4731544749881458</v>
      </c>
      <c r="BZ51" s="237">
        <f t="shared" si="46"/>
        <v>0.1305505847880527</v>
      </c>
      <c r="CA51" s="238">
        <f t="shared" si="47"/>
        <v>0.1305505847880527</v>
      </c>
      <c r="CC51" s="235">
        <f>SUM(CC80,CC77,CC59,CC52,CC83)</f>
        <v>61.534627885128408</v>
      </c>
      <c r="CD51" s="235">
        <f t="shared" si="48"/>
        <v>0.53995893815331186</v>
      </c>
    </row>
    <row r="52" spans="2:82" x14ac:dyDescent="0.35">
      <c r="B52" s="239" t="s">
        <v>190</v>
      </c>
      <c r="C52" s="239" t="s">
        <v>191</v>
      </c>
      <c r="D52"/>
      <c r="E52" s="240">
        <f>SUM(E53:E58)</f>
        <v>38.92443630851001</v>
      </c>
      <c r="F52" s="240">
        <f>SUM(F53:F58)</f>
        <v>36.325094843291751</v>
      </c>
      <c r="G52" s="241">
        <f t="shared" si="0"/>
        <v>2.5993414652182594</v>
      </c>
      <c r="H52" s="242">
        <f t="shared" si="1"/>
        <v>7.155773374940777E-2</v>
      </c>
      <c r="I52" s="243">
        <f t="shared" si="2"/>
        <v>7.155773374940777E-2</v>
      </c>
      <c r="J52"/>
      <c r="K52" s="240">
        <f>SUM(K53:K58)</f>
        <v>37.303124122962963</v>
      </c>
      <c r="L52" s="241">
        <f t="shared" si="79"/>
        <v>1.6213121855470476</v>
      </c>
      <c r="M52" s="242">
        <f t="shared" si="80"/>
        <v>4.3463174296144436E-2</v>
      </c>
      <c r="N52" s="243">
        <f t="shared" si="81"/>
        <v>4.3463174296144436E-2</v>
      </c>
      <c r="O52"/>
      <c r="P52" s="240">
        <f>SUM(P53:P58)</f>
        <v>29.861753779999926</v>
      </c>
      <c r="Q52" s="241">
        <f t="shared" si="6"/>
        <v>9.0626825285100843</v>
      </c>
      <c r="R52" s="242">
        <f t="shared" si="7"/>
        <v>0.30348795302772413</v>
      </c>
      <c r="S52" s="243">
        <f t="shared" si="8"/>
        <v>0.30348795302772413</v>
      </c>
      <c r="T52"/>
      <c r="U52" s="240">
        <f>SUM(U53:U58)</f>
        <v>14.003970777098449</v>
      </c>
      <c r="V52" s="242">
        <f t="shared" si="9"/>
        <v>0.35977324542620992</v>
      </c>
      <c r="W52" s="240">
        <f>SUM(W53:W58)</f>
        <v>10.892728395102489</v>
      </c>
      <c r="X52" s="242">
        <f t="shared" si="10"/>
        <v>0.29986785835231144</v>
      </c>
      <c r="Y52" s="241">
        <f t="shared" si="11"/>
        <v>3.1112423819959591</v>
      </c>
      <c r="Z52" s="242">
        <f t="shared" si="12"/>
        <v>0.2856256274043163</v>
      </c>
      <c r="AA52" s="243">
        <f t="shared" si="13"/>
        <v>0.2856256274043163</v>
      </c>
      <c r="AB52"/>
      <c r="AC52" s="240">
        <f>SUM(AC53:AC58)</f>
        <v>11.758397664346486</v>
      </c>
      <c r="AD52" s="242">
        <f t="shared" si="82"/>
        <v>0.39376112170015071</v>
      </c>
      <c r="AE52" s="241">
        <f t="shared" si="83"/>
        <v>2.2455731127519627</v>
      </c>
      <c r="AF52" s="242">
        <f t="shared" si="84"/>
        <v>0.19097611569652329</v>
      </c>
      <c r="AG52" s="243">
        <f t="shared" si="85"/>
        <v>0.19097611569652329</v>
      </c>
      <c r="AH52"/>
      <c r="AI52" s="240">
        <f>SUM(AI53:AI58)</f>
        <v>9.1136576477999416</v>
      </c>
      <c r="AJ52" s="242">
        <f t="shared" si="18"/>
        <v>0.30519499005124956</v>
      </c>
      <c r="AK52" s="241">
        <f t="shared" si="19"/>
        <v>4.8903131292985069</v>
      </c>
      <c r="AL52" s="242">
        <f t="shared" si="20"/>
        <v>0.53659170865157968</v>
      </c>
      <c r="AM52" s="243">
        <f t="shared" si="21"/>
        <v>0.53659170865157968</v>
      </c>
      <c r="AN52"/>
      <c r="AO52" s="240">
        <f>SUM(AO53:AO58)</f>
        <v>-0.42129800628000003</v>
      </c>
      <c r="AP52" s="242">
        <f t="shared" si="22"/>
        <v>-1.0823483812092921E-2</v>
      </c>
      <c r="AQ52" s="240">
        <f>SUM(AQ53:AQ58)</f>
        <v>-6.246728219696969E-2</v>
      </c>
      <c r="AR52" s="242">
        <f t="shared" si="23"/>
        <v>-1.7196729276676805E-3</v>
      </c>
      <c r="AS52" s="241">
        <f t="shared" si="24"/>
        <v>-0.35883072408303035</v>
      </c>
      <c r="AT52" s="242">
        <f t="shared" si="25"/>
        <v>5.7442986386309816</v>
      </c>
      <c r="AU52" s="243">
        <f t="shared" si="26"/>
        <v>5.7442986386309816</v>
      </c>
      <c r="AV52"/>
      <c r="AW52" s="240">
        <f>SUM(AW53:AW58)</f>
        <v>-0.57531635999999997</v>
      </c>
      <c r="AX52" s="242">
        <f t="shared" si="86"/>
        <v>-1.9265993693422027E-2</v>
      </c>
      <c r="AY52" s="241">
        <f t="shared" si="87"/>
        <v>0.15401835371999995</v>
      </c>
      <c r="AZ52" s="242">
        <f t="shared" si="88"/>
        <v>-0.2677107143624422</v>
      </c>
      <c r="BA52" s="243">
        <f t="shared" si="89"/>
        <v>-0.2677107143624422</v>
      </c>
      <c r="BB52"/>
      <c r="BC52" s="240">
        <f>SUM(BC53:BC58)</f>
        <v>-0.565838136232927</v>
      </c>
      <c r="BD52" s="242">
        <f t="shared" si="31"/>
        <v>-1.8948590240265802E-2</v>
      </c>
      <c r="BE52" s="241">
        <f t="shared" si="32"/>
        <v>0.14454012995292698</v>
      </c>
      <c r="BF52" s="242">
        <f t="shared" si="33"/>
        <v>-0.25544430588437239</v>
      </c>
      <c r="BG52" s="243">
        <f t="shared" si="34"/>
        <v>-0.25544430588437239</v>
      </c>
      <c r="BH52"/>
      <c r="BI52" s="240">
        <f>SUM(BI53:BI58)</f>
        <v>13.582672770818448</v>
      </c>
      <c r="BJ52" s="242">
        <f t="shared" si="35"/>
        <v>0.348949761614117</v>
      </c>
      <c r="BK52" s="240">
        <f>SUM(BK53:BK58)</f>
        <v>10.83026111290552</v>
      </c>
      <c r="BL52" s="242">
        <f t="shared" si="36"/>
        <v>0.29814818542464377</v>
      </c>
      <c r="BM52" s="241">
        <f t="shared" si="37"/>
        <v>2.7524116579129281</v>
      </c>
      <c r="BN52" s="242">
        <f t="shared" si="90"/>
        <v>0.25414084011632077</v>
      </c>
      <c r="BO52" s="243">
        <f t="shared" si="39"/>
        <v>0.25414084011632077</v>
      </c>
      <c r="BP52"/>
      <c r="BQ52" s="240">
        <f>SUM(BQ53:BQ58)</f>
        <v>11.183081304346487</v>
      </c>
      <c r="BR52" s="242">
        <f t="shared" si="91"/>
        <v>0.37449512800672868</v>
      </c>
      <c r="BS52" s="241">
        <f t="shared" si="92"/>
        <v>2.3995914664719606</v>
      </c>
      <c r="BT52" s="242">
        <f t="shared" si="93"/>
        <v>0.21457337214738126</v>
      </c>
      <c r="BU52" s="243">
        <f t="shared" si="94"/>
        <v>0.21457337214738126</v>
      </c>
      <c r="BV52"/>
      <c r="BW52" s="240">
        <f>SUM(BW53:BW58)</f>
        <v>8.547819511567015</v>
      </c>
      <c r="BX52" s="242">
        <f t="shared" si="44"/>
        <v>0.28624639981098376</v>
      </c>
      <c r="BY52" s="241">
        <f t="shared" si="45"/>
        <v>5.0348532592514328</v>
      </c>
      <c r="BZ52" s="242">
        <f t="shared" si="46"/>
        <v>0.58902194324976176</v>
      </c>
      <c r="CA52" s="243">
        <f t="shared" si="47"/>
        <v>0.58902194324976176</v>
      </c>
      <c r="CC52" s="240">
        <f>SUM(CC53:CC58)</f>
        <v>38.34146385851006</v>
      </c>
      <c r="CD52" s="240">
        <f t="shared" si="48"/>
        <v>0.58297244999995002</v>
      </c>
    </row>
    <row r="53" spans="2:82" hidden="1" outlineLevel="1" x14ac:dyDescent="0.35">
      <c r="B53" s="255" t="s">
        <v>192</v>
      </c>
      <c r="C53" s="255" t="s">
        <v>193</v>
      </c>
      <c r="D53"/>
      <c r="E53" s="250">
        <v>14.867615946748188</v>
      </c>
      <c r="F53" s="250">
        <v>15.215691633150636</v>
      </c>
      <c r="G53" s="251">
        <f t="shared" si="0"/>
        <v>-0.34807568640244746</v>
      </c>
      <c r="H53" s="252">
        <f t="shared" si="1"/>
        <v>-2.2876100199355376E-2</v>
      </c>
      <c r="I53" s="253">
        <f t="shared" si="2"/>
        <v>-2.2876100199355376E-2</v>
      </c>
      <c r="J53"/>
      <c r="K53" s="250">
        <v>15.2971089452033</v>
      </c>
      <c r="L53" s="251">
        <f t="shared" si="79"/>
        <v>-0.42949299845511213</v>
      </c>
      <c r="M53" s="252">
        <f t="shared" si="80"/>
        <v>-2.8076743127974368E-2</v>
      </c>
      <c r="N53" s="253">
        <f t="shared" si="81"/>
        <v>-2.8076743127974368E-2</v>
      </c>
      <c r="O53"/>
      <c r="P53" s="250">
        <v>11.944413939999937</v>
      </c>
      <c r="Q53" s="251">
        <f t="shared" si="6"/>
        <v>2.9232020067482516</v>
      </c>
      <c r="R53" s="252">
        <f t="shared" si="7"/>
        <v>0.24473381627866342</v>
      </c>
      <c r="S53" s="253">
        <f t="shared" si="8"/>
        <v>0.24473381627866342</v>
      </c>
      <c r="T53"/>
      <c r="U53" s="250">
        <v>4.8296699457015837</v>
      </c>
      <c r="V53" s="252">
        <f t="shared" si="9"/>
        <v>0.32484494911626488</v>
      </c>
      <c r="W53" s="250">
        <v>5.0367197290880634</v>
      </c>
      <c r="X53" s="252">
        <f t="shared" si="10"/>
        <v>0.33102141200827789</v>
      </c>
      <c r="Y53" s="251">
        <f t="shared" si="11"/>
        <v>-0.20704978338647972</v>
      </c>
      <c r="Z53" s="252">
        <f t="shared" si="12"/>
        <v>-4.1108061302423837E-2</v>
      </c>
      <c r="AA53" s="253">
        <f t="shared" si="13"/>
        <v>-4.1108061302423837E-2</v>
      </c>
      <c r="AB53"/>
      <c r="AC53" s="250">
        <v>5.9957207265868204</v>
      </c>
      <c r="AD53" s="252">
        <f t="shared" si="82"/>
        <v>0.50196859860223941</v>
      </c>
      <c r="AE53" s="251">
        <f t="shared" si="83"/>
        <v>-1.1660507808852367</v>
      </c>
      <c r="AF53" s="252">
        <f t="shared" si="84"/>
        <v>-0.19448050268829542</v>
      </c>
      <c r="AG53" s="253">
        <f t="shared" si="85"/>
        <v>-0.19448050268829542</v>
      </c>
      <c r="AH53"/>
      <c r="AI53" s="250">
        <v>3.3399398566999623</v>
      </c>
      <c r="AJ53" s="252">
        <f t="shared" si="18"/>
        <v>0.27962358584334024</v>
      </c>
      <c r="AK53" s="251">
        <f t="shared" si="19"/>
        <v>1.4897300890016214</v>
      </c>
      <c r="AL53" s="252">
        <f t="shared" si="20"/>
        <v>0.44603500449662392</v>
      </c>
      <c r="AM53" s="253">
        <f t="shared" si="21"/>
        <v>0.44603500449662392</v>
      </c>
      <c r="AN53"/>
      <c r="AO53" s="250">
        <v>-0.16629959938000002</v>
      </c>
      <c r="AP53" s="252">
        <f t="shared" si="22"/>
        <v>-1.1185357489434795E-2</v>
      </c>
      <c r="AQ53" s="250">
        <v>-5.0000000000000001E-4</v>
      </c>
      <c r="AR53" s="252">
        <f t="shared" si="23"/>
        <v>-3.2860813169389104E-5</v>
      </c>
      <c r="AS53" s="251">
        <f t="shared" si="24"/>
        <v>-0.16579959938000002</v>
      </c>
      <c r="AT53" s="252">
        <f t="shared" si="25"/>
        <v>331.59919876000004</v>
      </c>
      <c r="AU53" s="253">
        <f t="shared" si="26"/>
        <v>331.59919876000004</v>
      </c>
      <c r="AV53"/>
      <c r="AW53" s="250">
        <v>-5.0000000000000001E-4</v>
      </c>
      <c r="AX53" s="252">
        <f t="shared" si="86"/>
        <v>-4.1860572022339227E-5</v>
      </c>
      <c r="AY53" s="251">
        <f t="shared" si="87"/>
        <v>-0.16579959938000002</v>
      </c>
      <c r="AZ53" s="252">
        <f t="shared" si="88"/>
        <v>331.59919876000004</v>
      </c>
      <c r="BA53" s="253">
        <f t="shared" si="89"/>
        <v>331.59919876000004</v>
      </c>
      <c r="BB53"/>
      <c r="BC53" s="250">
        <v>-0.23692153128011267</v>
      </c>
      <c r="BD53" s="252">
        <f t="shared" si="31"/>
        <v>-1.9835341647588104E-2</v>
      </c>
      <c r="BE53" s="251">
        <f t="shared" si="32"/>
        <v>7.062193190011265E-2</v>
      </c>
      <c r="BF53" s="252">
        <f t="shared" si="33"/>
        <v>-0.29808152732482651</v>
      </c>
      <c r="BG53" s="253">
        <f t="shared" si="34"/>
        <v>-0.29808152732482651</v>
      </c>
      <c r="BH53"/>
      <c r="BI53" s="250">
        <f t="shared" ref="BI53:BI58" si="95">SUM(U53,AO53)</f>
        <v>4.6633703463215834</v>
      </c>
      <c r="BJ53" s="252">
        <f t="shared" si="35"/>
        <v>0.3136595916268301</v>
      </c>
      <c r="BK53" s="250">
        <f t="shared" ref="BK53:BK58" si="96">SUM(W53,AQ53)</f>
        <v>5.0362197290880637</v>
      </c>
      <c r="BL53" s="252">
        <f t="shared" si="36"/>
        <v>0.33098855119510856</v>
      </c>
      <c r="BM53" s="251">
        <f t="shared" si="37"/>
        <v>-0.37284938276648028</v>
      </c>
      <c r="BN53" s="252">
        <f t="shared" si="90"/>
        <v>-7.4033581301662987E-2</v>
      </c>
      <c r="BO53" s="253">
        <f t="shared" si="39"/>
        <v>-7.4033581301662987E-2</v>
      </c>
      <c r="BP53"/>
      <c r="BQ53" s="250">
        <f t="shared" ref="BQ53:BQ58" si="97">SUM(AC53,AW53)</f>
        <v>5.9952207265868207</v>
      </c>
      <c r="BR53" s="252">
        <f t="shared" si="91"/>
        <v>0.50192673803021703</v>
      </c>
      <c r="BS53" s="251">
        <f t="shared" si="92"/>
        <v>-1.3318503802652373</v>
      </c>
      <c r="BT53" s="252">
        <f t="shared" si="93"/>
        <v>-0.22215201758275913</v>
      </c>
      <c r="BU53" s="253">
        <f t="shared" si="94"/>
        <v>-0.22215201758275913</v>
      </c>
      <c r="BV53"/>
      <c r="BW53" s="250">
        <f t="shared" ref="BW53:BW58" si="98">SUM(AI53,BC53)</f>
        <v>3.1030183254198498</v>
      </c>
      <c r="BX53" s="252">
        <f t="shared" si="44"/>
        <v>0.25978824419575219</v>
      </c>
      <c r="BY53" s="251">
        <f t="shared" si="45"/>
        <v>1.5603520209017336</v>
      </c>
      <c r="BZ53" s="252">
        <f t="shared" si="46"/>
        <v>0.50284976022196459</v>
      </c>
      <c r="CA53" s="253">
        <f t="shared" si="47"/>
        <v>0.50284976022196459</v>
      </c>
      <c r="CC53" s="250">
        <v>14.795847074748242</v>
      </c>
      <c r="CD53" s="250">
        <f t="shared" si="48"/>
        <v>7.1768871999946526E-2</v>
      </c>
    </row>
    <row r="54" spans="2:82" hidden="1" outlineLevel="1" x14ac:dyDescent="0.35">
      <c r="B54" s="255" t="s">
        <v>194</v>
      </c>
      <c r="C54" s="255" t="s">
        <v>195</v>
      </c>
      <c r="D54"/>
      <c r="E54" s="250">
        <v>15.912524355364877</v>
      </c>
      <c r="F54" s="250">
        <v>14.227962003800835</v>
      </c>
      <c r="G54" s="251">
        <f t="shared" si="0"/>
        <v>1.6845623515640415</v>
      </c>
      <c r="H54" s="252">
        <f t="shared" si="1"/>
        <v>0.11839800746684803</v>
      </c>
      <c r="I54" s="253">
        <f t="shared" si="2"/>
        <v>0.11839800746684803</v>
      </c>
      <c r="J54"/>
      <c r="K54" s="250">
        <v>15.2044889367422</v>
      </c>
      <c r="L54" s="251">
        <f t="shared" si="79"/>
        <v>0.70803541862267672</v>
      </c>
      <c r="M54" s="252">
        <f t="shared" si="80"/>
        <v>4.6567524996626641E-2</v>
      </c>
      <c r="N54" s="253">
        <f t="shared" si="81"/>
        <v>4.6567524996626641E-2</v>
      </c>
      <c r="O54"/>
      <c r="P54" s="250">
        <v>12.183102119999992</v>
      </c>
      <c r="Q54" s="251">
        <f t="shared" si="6"/>
        <v>3.7294222353648845</v>
      </c>
      <c r="R54" s="252">
        <f t="shared" si="7"/>
        <v>0.30611433759900941</v>
      </c>
      <c r="S54" s="253">
        <f t="shared" si="8"/>
        <v>0.30611433759900941</v>
      </c>
      <c r="T54"/>
      <c r="U54" s="250">
        <v>6.439157431827593</v>
      </c>
      <c r="V54" s="252">
        <f t="shared" si="9"/>
        <v>0.40465970628077269</v>
      </c>
      <c r="W54" s="250">
        <v>5.4304478931825564</v>
      </c>
      <c r="X54" s="252">
        <f t="shared" si="10"/>
        <v>0.38167433197613793</v>
      </c>
      <c r="Y54" s="251">
        <f t="shared" si="11"/>
        <v>1.0087095386450367</v>
      </c>
      <c r="Z54" s="252">
        <f t="shared" si="12"/>
        <v>0.18575070758185186</v>
      </c>
      <c r="AA54" s="253">
        <f t="shared" si="13"/>
        <v>0.18575070758185186</v>
      </c>
      <c r="AB54"/>
      <c r="AC54" s="250">
        <v>6.4307624467422011</v>
      </c>
      <c r="AD54" s="252">
        <f t="shared" si="82"/>
        <v>0.52784277628153098</v>
      </c>
      <c r="AE54" s="251">
        <f t="shared" si="83"/>
        <v>8.3949850853919372E-3</v>
      </c>
      <c r="AF54" s="252">
        <f t="shared" si="84"/>
        <v>1.3054416416276027E-3</v>
      </c>
      <c r="AG54" s="253">
        <f t="shared" si="85"/>
        <v>1.3054416416276027E-3</v>
      </c>
      <c r="AH54"/>
      <c r="AI54" s="250">
        <v>5.0553705412999799</v>
      </c>
      <c r="AJ54" s="252">
        <f t="shared" si="18"/>
        <v>0.41494936934009574</v>
      </c>
      <c r="AK54" s="251">
        <f t="shared" si="19"/>
        <v>1.3837868905276132</v>
      </c>
      <c r="AL54" s="252">
        <f t="shared" si="20"/>
        <v>0.27372610557875632</v>
      </c>
      <c r="AM54" s="253">
        <f t="shared" si="21"/>
        <v>0.27372610557875632</v>
      </c>
      <c r="AN54"/>
      <c r="AO54" s="250">
        <v>-0.18224940484999999</v>
      </c>
      <c r="AP54" s="252">
        <f t="shared" si="22"/>
        <v>-1.1453205084242649E-2</v>
      </c>
      <c r="AQ54" s="250">
        <v>-2.6666666666666668E-2</v>
      </c>
      <c r="AR54" s="252">
        <f t="shared" si="23"/>
        <v>-1.8742435957829363E-3</v>
      </c>
      <c r="AS54" s="251">
        <f t="shared" si="24"/>
        <v>-0.15558273818333332</v>
      </c>
      <c r="AT54" s="252">
        <f t="shared" si="25"/>
        <v>5.8343526818749991</v>
      </c>
      <c r="AU54" s="253">
        <f t="shared" si="26"/>
        <v>5.8343526818749991</v>
      </c>
      <c r="AV54"/>
      <c r="AW54" s="250">
        <v>0</v>
      </c>
      <c r="AX54" s="252">
        <f t="shared" si="86"/>
        <v>0</v>
      </c>
      <c r="AY54" s="251">
        <f t="shared" si="87"/>
        <v>-0.18224940484999999</v>
      </c>
      <c r="AZ54" s="252">
        <f t="shared" si="88"/>
        <v>0</v>
      </c>
      <c r="BA54" s="253">
        <f t="shared" si="89"/>
        <v>0</v>
      </c>
      <c r="BB54"/>
      <c r="BC54" s="250">
        <v>-0.20133202370323247</v>
      </c>
      <c r="BD54" s="252">
        <f t="shared" si="31"/>
        <v>-1.6525513922494527E-2</v>
      </c>
      <c r="BE54" s="251">
        <f t="shared" si="32"/>
        <v>1.908261885323248E-2</v>
      </c>
      <c r="BF54" s="252">
        <f t="shared" si="33"/>
        <v>-9.4781836005188413E-2</v>
      </c>
      <c r="BG54" s="253">
        <f t="shared" si="34"/>
        <v>-9.4781836005188413E-2</v>
      </c>
      <c r="BH54"/>
      <c r="BI54" s="250">
        <f t="shared" si="95"/>
        <v>6.2569080269775927</v>
      </c>
      <c r="BJ54" s="252">
        <f t="shared" si="35"/>
        <v>0.39320650119653006</v>
      </c>
      <c r="BK54" s="250">
        <f t="shared" si="96"/>
        <v>5.40378122651589</v>
      </c>
      <c r="BL54" s="252">
        <f t="shared" si="36"/>
        <v>0.37980008838035501</v>
      </c>
      <c r="BM54" s="251">
        <f t="shared" si="37"/>
        <v>0.85312680046170275</v>
      </c>
      <c r="BN54" s="252">
        <f t="shared" si="90"/>
        <v>0.1578758955443057</v>
      </c>
      <c r="BO54" s="253">
        <f t="shared" si="39"/>
        <v>0.1578758955443057</v>
      </c>
      <c r="BP54"/>
      <c r="BQ54" s="250">
        <f t="shared" si="97"/>
        <v>6.4307624467422011</v>
      </c>
      <c r="BR54" s="252">
        <f t="shared" si="91"/>
        <v>0.52784277628153098</v>
      </c>
      <c r="BS54" s="251">
        <f t="shared" si="92"/>
        <v>-0.17385441976460836</v>
      </c>
      <c r="BT54" s="252">
        <f t="shared" si="93"/>
        <v>-2.7034806712955526E-2</v>
      </c>
      <c r="BU54" s="253">
        <f t="shared" si="94"/>
        <v>-2.7034806712955526E-2</v>
      </c>
      <c r="BV54"/>
      <c r="BW54" s="250">
        <f t="shared" si="98"/>
        <v>4.8540385175967478</v>
      </c>
      <c r="BX54" s="252">
        <f t="shared" si="44"/>
        <v>0.39842385541760122</v>
      </c>
      <c r="BY54" s="251">
        <f t="shared" si="45"/>
        <v>1.402869509380845</v>
      </c>
      <c r="BZ54" s="252">
        <f t="shared" si="46"/>
        <v>0.28901079056031281</v>
      </c>
      <c r="CA54" s="253">
        <f t="shared" si="47"/>
        <v>0.28901079056031281</v>
      </c>
      <c r="CC54" s="250">
        <v>15.879202562864876</v>
      </c>
      <c r="CD54" s="250">
        <f t="shared" si="48"/>
        <v>3.3321792500000669E-2</v>
      </c>
    </row>
    <row r="55" spans="2:82" hidden="1" outlineLevel="1" x14ac:dyDescent="0.35">
      <c r="B55" s="255" t="s">
        <v>196</v>
      </c>
      <c r="C55" s="255" t="s">
        <v>197</v>
      </c>
      <c r="D55"/>
      <c r="E55" s="250">
        <v>5.6595797999999995</v>
      </c>
      <c r="F55" s="250">
        <v>5.0062605502712083</v>
      </c>
      <c r="G55" s="251">
        <f t="shared" si="0"/>
        <v>0.65331924972879118</v>
      </c>
      <c r="H55" s="252">
        <f t="shared" si="1"/>
        <v>0.13050044902145541</v>
      </c>
      <c r="I55" s="253">
        <f t="shared" si="2"/>
        <v>0.13050044902145541</v>
      </c>
      <c r="J55"/>
      <c r="K55" s="250">
        <v>4.88422329309528</v>
      </c>
      <c r="L55" s="251">
        <f t="shared" si="79"/>
        <v>0.77535650690471947</v>
      </c>
      <c r="M55" s="252">
        <f t="shared" si="80"/>
        <v>0.15874714573365711</v>
      </c>
      <c r="N55" s="253">
        <f t="shared" si="81"/>
        <v>0.15874714573365711</v>
      </c>
      <c r="O55"/>
      <c r="P55" s="250">
        <v>4.2618</v>
      </c>
      <c r="Q55" s="251">
        <f t="shared" si="6"/>
        <v>1.3977797999999995</v>
      </c>
      <c r="R55" s="252">
        <f t="shared" si="7"/>
        <v>0.32797874137688288</v>
      </c>
      <c r="S55" s="253">
        <f t="shared" si="8"/>
        <v>0.32797874137688288</v>
      </c>
      <c r="T55"/>
      <c r="U55" s="250">
        <v>1.4386576730430467</v>
      </c>
      <c r="V55" s="252">
        <f t="shared" si="9"/>
        <v>0.25419867267231516</v>
      </c>
      <c r="W55" s="250">
        <v>9.2616457380616732E-2</v>
      </c>
      <c r="X55" s="252">
        <f t="shared" si="10"/>
        <v>1.8500127280750369E-2</v>
      </c>
      <c r="Y55" s="251">
        <f t="shared" si="11"/>
        <v>1.34604121566243</v>
      </c>
      <c r="Z55" s="252">
        <f t="shared" si="12"/>
        <v>14.533499269257698</v>
      </c>
      <c r="AA55" s="253">
        <f t="shared" si="13"/>
        <v>14.533499269257698</v>
      </c>
      <c r="AB55"/>
      <c r="AC55" s="250">
        <v>0.42401597309528105</v>
      </c>
      <c r="AD55" s="252">
        <f t="shared" si="82"/>
        <v>9.9492227015646223E-2</v>
      </c>
      <c r="AE55" s="251">
        <f t="shared" si="83"/>
        <v>1.0146416999477657</v>
      </c>
      <c r="AF55" s="252">
        <f t="shared" si="84"/>
        <v>2.3929327297294165</v>
      </c>
      <c r="AG55" s="253">
        <f t="shared" si="85"/>
        <v>2.3929327297294165</v>
      </c>
      <c r="AH55"/>
      <c r="AI55" s="250">
        <v>0.58101287980000038</v>
      </c>
      <c r="AJ55" s="252">
        <f t="shared" si="18"/>
        <v>0.13633039556056134</v>
      </c>
      <c r="AK55" s="251">
        <f t="shared" si="19"/>
        <v>0.85764479324304632</v>
      </c>
      <c r="AL55" s="252">
        <f t="shared" si="20"/>
        <v>1.4761201051829862</v>
      </c>
      <c r="AM55" s="253">
        <f t="shared" si="21"/>
        <v>1.4761201051829862</v>
      </c>
      <c r="AN55"/>
      <c r="AO55" s="250">
        <v>-7.1015614149999989E-2</v>
      </c>
      <c r="AP55" s="252">
        <f t="shared" si="22"/>
        <v>-1.2547859851715493E-2</v>
      </c>
      <c r="AQ55" s="250">
        <v>-3.5300615530303024E-2</v>
      </c>
      <c r="AR55" s="252">
        <f t="shared" si="23"/>
        <v>-7.0512941098102968E-3</v>
      </c>
      <c r="AS55" s="251">
        <f t="shared" si="24"/>
        <v>-3.5714998619696965E-2</v>
      </c>
      <c r="AT55" s="252">
        <f t="shared" si="25"/>
        <v>1.0117386930275543</v>
      </c>
      <c r="AU55" s="253">
        <f t="shared" si="26"/>
        <v>1.0117386930275543</v>
      </c>
      <c r="AV55"/>
      <c r="AW55" s="250">
        <v>-3.5300620000000005E-2</v>
      </c>
      <c r="AX55" s="252">
        <f t="shared" si="86"/>
        <v>-8.2830306443286879E-3</v>
      </c>
      <c r="AY55" s="251">
        <f t="shared" si="87"/>
        <v>-3.5714994149999985E-2</v>
      </c>
      <c r="AZ55" s="252">
        <f t="shared" si="88"/>
        <v>1.0117384383050489</v>
      </c>
      <c r="BA55" s="253">
        <f t="shared" si="89"/>
        <v>1.0117384383050489</v>
      </c>
      <c r="BB55"/>
      <c r="BC55" s="250">
        <v>-0.12240021255927716</v>
      </c>
      <c r="BD55" s="252">
        <f t="shared" si="31"/>
        <v>-2.8720308920943537E-2</v>
      </c>
      <c r="BE55" s="251">
        <f t="shared" si="32"/>
        <v>5.1384598409277171E-2</v>
      </c>
      <c r="BF55" s="252">
        <f t="shared" si="33"/>
        <v>-0.41980808149652638</v>
      </c>
      <c r="BG55" s="253">
        <f t="shared" si="34"/>
        <v>-0.41980808149652638</v>
      </c>
      <c r="BH55"/>
      <c r="BI55" s="250">
        <f t="shared" si="95"/>
        <v>1.3676420588930467</v>
      </c>
      <c r="BJ55" s="252">
        <f t="shared" si="35"/>
        <v>0.24165081282059966</v>
      </c>
      <c r="BK55" s="250">
        <f t="shared" si="96"/>
        <v>5.7315841850313708E-2</v>
      </c>
      <c r="BL55" s="252">
        <f t="shared" si="36"/>
        <v>1.1448833170940071E-2</v>
      </c>
      <c r="BM55" s="251">
        <f t="shared" si="37"/>
        <v>1.310326217042733</v>
      </c>
      <c r="BN55" s="252">
        <f t="shared" si="90"/>
        <v>22.861501719974495</v>
      </c>
      <c r="BO55" s="253">
        <f t="shared" si="39"/>
        <v>22.861501719974495</v>
      </c>
      <c r="BP55"/>
      <c r="BQ55" s="250">
        <f t="shared" si="97"/>
        <v>0.38871535309528105</v>
      </c>
      <c r="BR55" s="252">
        <f t="shared" si="91"/>
        <v>9.1209196371317525E-2</v>
      </c>
      <c r="BS55" s="251">
        <f t="shared" si="92"/>
        <v>0.97892670579776564</v>
      </c>
      <c r="BT55" s="252">
        <f t="shared" si="93"/>
        <v>2.5183638824726673</v>
      </c>
      <c r="BU55" s="253">
        <f t="shared" si="94"/>
        <v>2.5183638824726673</v>
      </c>
      <c r="BV55"/>
      <c r="BW55" s="250">
        <f t="shared" si="98"/>
        <v>0.45861266724072325</v>
      </c>
      <c r="BX55" s="252">
        <f t="shared" si="44"/>
        <v>0.10761008663961782</v>
      </c>
      <c r="BY55" s="251">
        <f t="shared" si="45"/>
        <v>0.90902939165232344</v>
      </c>
      <c r="BZ55" s="252">
        <f t="shared" si="46"/>
        <v>1.9821288346036436</v>
      </c>
      <c r="CA55" s="253">
        <f t="shared" si="47"/>
        <v>1.9821288346036436</v>
      </c>
      <c r="CC55" s="250">
        <v>5.0766076</v>
      </c>
      <c r="CD55" s="250">
        <f t="shared" si="48"/>
        <v>0.5829721999999995</v>
      </c>
    </row>
    <row r="56" spans="2:82" hidden="1" outlineLevel="1" x14ac:dyDescent="0.35">
      <c r="B56" s="255" t="s">
        <v>198</v>
      </c>
      <c r="C56" s="255" t="s">
        <v>199</v>
      </c>
      <c r="D56"/>
      <c r="E56" s="250">
        <v>1.4533071678510003</v>
      </c>
      <c r="F56" s="250">
        <v>0.9462905665312159</v>
      </c>
      <c r="G56" s="251">
        <f t="shared" si="0"/>
        <v>0.50701660131978443</v>
      </c>
      <c r="H56" s="252">
        <f t="shared" si="1"/>
        <v>0.53579378179615311</v>
      </c>
      <c r="I56" s="253">
        <f t="shared" si="2"/>
        <v>0.53579378179615311</v>
      </c>
      <c r="J56"/>
      <c r="K56" s="250">
        <v>0.90648837374166291</v>
      </c>
      <c r="L56" s="251">
        <f t="shared" si="79"/>
        <v>0.54681879410933742</v>
      </c>
      <c r="M56" s="252">
        <f t="shared" si="80"/>
        <v>0.60322758675024502</v>
      </c>
      <c r="N56" s="253">
        <f t="shared" si="81"/>
        <v>0.60322758675024502</v>
      </c>
      <c r="O56"/>
      <c r="P56" s="250">
        <v>0.61262433999999999</v>
      </c>
      <c r="Q56" s="251">
        <f t="shared" si="6"/>
        <v>0.84068282785100035</v>
      </c>
      <c r="R56" s="252">
        <f t="shared" si="7"/>
        <v>1.3722648170508545</v>
      </c>
      <c r="S56" s="253">
        <f t="shared" si="8"/>
        <v>1.3722648170508545</v>
      </c>
      <c r="T56"/>
      <c r="U56" s="250">
        <v>0.87821268147032683</v>
      </c>
      <c r="V56" s="252">
        <f t="shared" si="9"/>
        <v>0.60428566024960606</v>
      </c>
      <c r="W56" s="250">
        <v>0.24344831714495044</v>
      </c>
      <c r="X56" s="252">
        <f t="shared" si="10"/>
        <v>0.257265924183679</v>
      </c>
      <c r="Y56" s="251">
        <f t="shared" si="11"/>
        <v>0.63476436432537642</v>
      </c>
      <c r="Z56" s="252">
        <f t="shared" si="12"/>
        <v>2.6073885897820124</v>
      </c>
      <c r="AA56" s="253">
        <f t="shared" si="13"/>
        <v>2.6073885897820124</v>
      </c>
      <c r="AB56"/>
      <c r="AC56" s="250">
        <v>0.48537772374166294</v>
      </c>
      <c r="AD56" s="252">
        <f t="shared" si="82"/>
        <v>0.79229258788781221</v>
      </c>
      <c r="AE56" s="251">
        <f t="shared" si="83"/>
        <v>0.39283495772866389</v>
      </c>
      <c r="AF56" s="252">
        <f t="shared" si="84"/>
        <v>0.80933866247587849</v>
      </c>
      <c r="AG56" s="253">
        <f t="shared" si="85"/>
        <v>0.80933866247587849</v>
      </c>
      <c r="AH56"/>
      <c r="AI56" s="250">
        <v>0.10786413009999994</v>
      </c>
      <c r="AJ56" s="252">
        <f t="shared" si="18"/>
        <v>0.17606895948665693</v>
      </c>
      <c r="AK56" s="251">
        <f t="shared" si="19"/>
        <v>0.77034855137032687</v>
      </c>
      <c r="AL56" s="252">
        <f t="shared" si="20"/>
        <v>7.1418417842534225</v>
      </c>
      <c r="AM56" s="253">
        <f t="shared" si="21"/>
        <v>7.1418417842534225</v>
      </c>
      <c r="AN56"/>
      <c r="AO56" s="250">
        <v>0</v>
      </c>
      <c r="AP56" s="252">
        <f t="shared" si="22"/>
        <v>0</v>
      </c>
      <c r="AQ56" s="250">
        <v>0</v>
      </c>
      <c r="AR56" s="252">
        <f t="shared" si="23"/>
        <v>0</v>
      </c>
      <c r="AS56" s="251">
        <f t="shared" si="24"/>
        <v>0</v>
      </c>
      <c r="AT56" s="252">
        <f t="shared" si="25"/>
        <v>0</v>
      </c>
      <c r="AU56" s="253">
        <f t="shared" si="26"/>
        <v>0</v>
      </c>
      <c r="AV56"/>
      <c r="AW56" s="250">
        <v>0</v>
      </c>
      <c r="AX56" s="252">
        <f t="shared" si="86"/>
        <v>0</v>
      </c>
      <c r="AY56" s="251">
        <f t="shared" si="87"/>
        <v>0</v>
      </c>
      <c r="AZ56" s="252">
        <f t="shared" si="88"/>
        <v>0</v>
      </c>
      <c r="BA56" s="253">
        <f t="shared" si="89"/>
        <v>0</v>
      </c>
      <c r="BB56"/>
      <c r="BC56" s="250">
        <v>0</v>
      </c>
      <c r="BD56" s="252">
        <f t="shared" si="31"/>
        <v>0</v>
      </c>
      <c r="BE56" s="251">
        <f t="shared" si="32"/>
        <v>0</v>
      </c>
      <c r="BF56" s="252">
        <f t="shared" si="33"/>
        <v>0</v>
      </c>
      <c r="BG56" s="253">
        <f t="shared" si="34"/>
        <v>0</v>
      </c>
      <c r="BH56"/>
      <c r="BI56" s="250">
        <f t="shared" si="95"/>
        <v>0.87821268147032683</v>
      </c>
      <c r="BJ56" s="252">
        <f t="shared" si="35"/>
        <v>0.60428566024960606</v>
      </c>
      <c r="BK56" s="250">
        <f t="shared" si="96"/>
        <v>0.24344831714495044</v>
      </c>
      <c r="BL56" s="252">
        <f t="shared" si="36"/>
        <v>0.257265924183679</v>
      </c>
      <c r="BM56" s="251">
        <f t="shared" si="37"/>
        <v>0.63476436432537642</v>
      </c>
      <c r="BN56" s="252">
        <f t="shared" si="90"/>
        <v>2.6073885897820124</v>
      </c>
      <c r="BO56" s="253">
        <f t="shared" si="39"/>
        <v>2.6073885897820124</v>
      </c>
      <c r="BP56"/>
      <c r="BQ56" s="250">
        <f t="shared" si="97"/>
        <v>0.48537772374166294</v>
      </c>
      <c r="BR56" s="252">
        <f t="shared" si="91"/>
        <v>0.79229258788781221</v>
      </c>
      <c r="BS56" s="251">
        <f t="shared" si="92"/>
        <v>0.39283495772866389</v>
      </c>
      <c r="BT56" s="252">
        <f t="shared" si="93"/>
        <v>0.80933866247587838</v>
      </c>
      <c r="BU56" s="253">
        <f t="shared" si="94"/>
        <v>0.80933866247587838</v>
      </c>
      <c r="BV56"/>
      <c r="BW56" s="250">
        <f t="shared" si="98"/>
        <v>0.10786413009999994</v>
      </c>
      <c r="BX56" s="252">
        <f t="shared" si="44"/>
        <v>0.17606895948665693</v>
      </c>
      <c r="BY56" s="251">
        <f t="shared" si="45"/>
        <v>0.77034855137032687</v>
      </c>
      <c r="BZ56" s="252">
        <f t="shared" si="46"/>
        <v>7.1418417842534225</v>
      </c>
      <c r="CA56" s="253">
        <f t="shared" si="47"/>
        <v>7.1418417842534225</v>
      </c>
      <c r="CC56" s="250">
        <v>1.5583975823510001</v>
      </c>
      <c r="CD56" s="250">
        <f t="shared" si="48"/>
        <v>-0.10509041449999978</v>
      </c>
    </row>
    <row r="57" spans="2:82" hidden="1" outlineLevel="1" x14ac:dyDescent="0.35">
      <c r="B57" s="255" t="s">
        <v>200</v>
      </c>
      <c r="C57" s="255" t="s">
        <v>201</v>
      </c>
      <c r="D57"/>
      <c r="E57" s="250">
        <v>1.031409038545944</v>
      </c>
      <c r="F57" s="250">
        <v>0.92889008953785124</v>
      </c>
      <c r="G57" s="251">
        <f t="shared" si="0"/>
        <v>0.10251894900809277</v>
      </c>
      <c r="H57" s="252">
        <f t="shared" si="1"/>
        <v>0.11036714694533867</v>
      </c>
      <c r="I57" s="253">
        <f t="shared" si="2"/>
        <v>0.11036714694533867</v>
      </c>
      <c r="J57"/>
      <c r="K57" s="250">
        <v>1.0108145741805201</v>
      </c>
      <c r="L57" s="251">
        <f t="shared" si="79"/>
        <v>2.0594464365423892E-2</v>
      </c>
      <c r="M57" s="252">
        <f t="shared" si="80"/>
        <v>2.0374126859142416E-2</v>
      </c>
      <c r="N57" s="253">
        <f t="shared" si="81"/>
        <v>2.0374126859142416E-2</v>
      </c>
      <c r="O57"/>
      <c r="P57" s="250">
        <v>0.85981337999999929</v>
      </c>
      <c r="Q57" s="251">
        <f t="shared" si="6"/>
        <v>0.17159565854594472</v>
      </c>
      <c r="R57" s="252">
        <f t="shared" si="7"/>
        <v>0.19957314289054784</v>
      </c>
      <c r="S57" s="253">
        <f t="shared" si="8"/>
        <v>0.19957314289054784</v>
      </c>
      <c r="T57"/>
      <c r="U57" s="250">
        <v>0.41827304505589796</v>
      </c>
      <c r="V57" s="252">
        <f t="shared" si="9"/>
        <v>0.40553556292813703</v>
      </c>
      <c r="W57" s="250">
        <v>8.9495998306302268E-2</v>
      </c>
      <c r="X57" s="252">
        <f t="shared" si="10"/>
        <v>9.6347242062652452E-2</v>
      </c>
      <c r="Y57" s="251">
        <f t="shared" si="11"/>
        <v>0.32877704674959568</v>
      </c>
      <c r="Z57" s="252">
        <f t="shared" si="12"/>
        <v>3.6736508108926627</v>
      </c>
      <c r="AA57" s="253">
        <f t="shared" si="13"/>
        <v>3.6736508108926627</v>
      </c>
      <c r="AB57"/>
      <c r="AC57" s="250">
        <v>0.22951006418052014</v>
      </c>
      <c r="AD57" s="252">
        <f t="shared" si="82"/>
        <v>0.26693009148161934</v>
      </c>
      <c r="AE57" s="251">
        <f t="shared" si="83"/>
        <v>0.18876298087537782</v>
      </c>
      <c r="AF57" s="252">
        <f t="shared" si="84"/>
        <v>0.822460581627946</v>
      </c>
      <c r="AG57" s="253">
        <f t="shared" si="85"/>
        <v>0.822460581627946</v>
      </c>
      <c r="AH57"/>
      <c r="AI57" s="250">
        <v>2.9470239899999248E-2</v>
      </c>
      <c r="AJ57" s="252">
        <f t="shared" si="18"/>
        <v>3.4275158523352209E-2</v>
      </c>
      <c r="AK57" s="251">
        <f t="shared" si="19"/>
        <v>0.38880280515589871</v>
      </c>
      <c r="AL57" s="252">
        <f t="shared" si="20"/>
        <v>13.193065495062653</v>
      </c>
      <c r="AM57" s="253">
        <f t="shared" si="21"/>
        <v>13.193065495062653</v>
      </c>
      <c r="AN57"/>
      <c r="AO57" s="250">
        <v>-1.7333878999999995E-3</v>
      </c>
      <c r="AP57" s="252">
        <f t="shared" si="22"/>
        <v>-1.6806018128789027E-3</v>
      </c>
      <c r="AQ57" s="250">
        <v>0</v>
      </c>
      <c r="AR57" s="252">
        <f t="shared" si="23"/>
        <v>0</v>
      </c>
      <c r="AS57" s="251">
        <f t="shared" si="24"/>
        <v>-1.7333878999999995E-3</v>
      </c>
      <c r="AT57" s="252">
        <f t="shared" si="25"/>
        <v>0</v>
      </c>
      <c r="AU57" s="253">
        <f t="shared" si="26"/>
        <v>0</v>
      </c>
      <c r="AV57"/>
      <c r="AW57" s="250">
        <v>0</v>
      </c>
      <c r="AX57" s="252">
        <f t="shared" si="86"/>
        <v>0</v>
      </c>
      <c r="AY57" s="251">
        <f t="shared" si="87"/>
        <v>-1.7333878999999995E-3</v>
      </c>
      <c r="AZ57" s="252">
        <f t="shared" si="88"/>
        <v>0</v>
      </c>
      <c r="BA57" s="253">
        <f t="shared" si="89"/>
        <v>0</v>
      </c>
      <c r="BB57"/>
      <c r="BC57" s="250">
        <v>-5.1843686903046736E-3</v>
      </c>
      <c r="BD57" s="252">
        <f t="shared" si="31"/>
        <v>-6.0296441191746491E-3</v>
      </c>
      <c r="BE57" s="251">
        <f t="shared" si="32"/>
        <v>3.4509807903046743E-3</v>
      </c>
      <c r="BF57" s="252">
        <f t="shared" si="33"/>
        <v>-0.66565111327023851</v>
      </c>
      <c r="BG57" s="253">
        <f t="shared" si="34"/>
        <v>-0.66565111327023851</v>
      </c>
      <c r="BH57"/>
      <c r="BI57" s="250">
        <f t="shared" si="95"/>
        <v>0.41653965715589797</v>
      </c>
      <c r="BJ57" s="252">
        <f t="shared" si="35"/>
        <v>0.40385496111525809</v>
      </c>
      <c r="BK57" s="250">
        <f t="shared" si="96"/>
        <v>8.9495998306302268E-2</v>
      </c>
      <c r="BL57" s="252">
        <f t="shared" si="36"/>
        <v>9.6347242062652452E-2</v>
      </c>
      <c r="BM57" s="251">
        <f t="shared" si="37"/>
        <v>0.32704365884959569</v>
      </c>
      <c r="BN57" s="252">
        <f t="shared" si="90"/>
        <v>3.6542824823326812</v>
      </c>
      <c r="BO57" s="253">
        <f t="shared" si="39"/>
        <v>3.6542824823326812</v>
      </c>
      <c r="BP57"/>
      <c r="BQ57" s="250">
        <f t="shared" si="97"/>
        <v>0.22951006418052014</v>
      </c>
      <c r="BR57" s="252">
        <f t="shared" si="91"/>
        <v>0.26693009148161934</v>
      </c>
      <c r="BS57" s="251">
        <f t="shared" si="92"/>
        <v>0.18702959297537783</v>
      </c>
      <c r="BT57" s="252">
        <f t="shared" si="93"/>
        <v>0.8149080243743495</v>
      </c>
      <c r="BU57" s="253">
        <f t="shared" si="94"/>
        <v>0.8149080243743495</v>
      </c>
      <c r="BV57"/>
      <c r="BW57" s="250">
        <f t="shared" si="98"/>
        <v>2.4285871209694575E-2</v>
      </c>
      <c r="BX57" s="252">
        <f t="shared" si="44"/>
        <v>2.8245514404177562E-2</v>
      </c>
      <c r="BY57" s="251">
        <f t="shared" si="45"/>
        <v>0.39225378594620341</v>
      </c>
      <c r="BZ57" s="252">
        <f t="shared" si="46"/>
        <v>16.151522115855627</v>
      </c>
      <c r="CA57" s="253">
        <f t="shared" si="47"/>
        <v>16.151522115855627</v>
      </c>
      <c r="CC57" s="250">
        <v>1.0314090385459436</v>
      </c>
      <c r="CD57" s="250">
        <f t="shared" si="48"/>
        <v>0</v>
      </c>
    </row>
    <row r="58" spans="2:82" hidden="1" outlineLevel="1" x14ac:dyDescent="0.35">
      <c r="B58" s="255" t="s">
        <v>202</v>
      </c>
      <c r="C58" s="255" t="s">
        <v>203</v>
      </c>
      <c r="D58"/>
      <c r="E58" s="250">
        <v>0</v>
      </c>
      <c r="F58" s="250">
        <v>0</v>
      </c>
      <c r="G58" s="251">
        <f t="shared" si="0"/>
        <v>0</v>
      </c>
      <c r="H58" s="252">
        <f t="shared" si="1"/>
        <v>0</v>
      </c>
      <c r="I58" s="253">
        <f t="shared" si="2"/>
        <v>0</v>
      </c>
      <c r="J58"/>
      <c r="K58" s="250">
        <v>0</v>
      </c>
      <c r="L58" s="251">
        <f t="shared" si="79"/>
        <v>0</v>
      </c>
      <c r="M58" s="252">
        <f t="shared" si="80"/>
        <v>0</v>
      </c>
      <c r="N58" s="253">
        <f t="shared" si="81"/>
        <v>0</v>
      </c>
      <c r="O58"/>
      <c r="P58" s="250">
        <v>0</v>
      </c>
      <c r="Q58" s="251">
        <f t="shared" si="6"/>
        <v>0</v>
      </c>
      <c r="R58" s="252">
        <f t="shared" si="7"/>
        <v>0</v>
      </c>
      <c r="S58" s="253">
        <f t="shared" si="8"/>
        <v>0</v>
      </c>
      <c r="T58"/>
      <c r="U58" s="250">
        <v>0</v>
      </c>
      <c r="V58" s="252">
        <f t="shared" si="9"/>
        <v>0</v>
      </c>
      <c r="W58" s="250">
        <v>0</v>
      </c>
      <c r="X58" s="252">
        <f t="shared" si="10"/>
        <v>0</v>
      </c>
      <c r="Y58" s="251">
        <f t="shared" si="11"/>
        <v>0</v>
      </c>
      <c r="Z58" s="252">
        <f t="shared" si="12"/>
        <v>0</v>
      </c>
      <c r="AA58" s="253">
        <f t="shared" si="13"/>
        <v>0</v>
      </c>
      <c r="AB58"/>
      <c r="AC58" s="250">
        <v>-1.8069892700000001</v>
      </c>
      <c r="AD58" s="252">
        <f t="shared" si="82"/>
        <v>0</v>
      </c>
      <c r="AE58" s="251">
        <f t="shared" si="83"/>
        <v>1.8069892700000001</v>
      </c>
      <c r="AF58" s="252">
        <f t="shared" si="84"/>
        <v>-1</v>
      </c>
      <c r="AG58" s="253">
        <f t="shared" si="85"/>
        <v>-1</v>
      </c>
      <c r="AH58"/>
      <c r="AI58" s="250">
        <v>0</v>
      </c>
      <c r="AJ58" s="252">
        <f t="shared" si="18"/>
        <v>0</v>
      </c>
      <c r="AK58" s="251">
        <f t="shared" si="19"/>
        <v>0</v>
      </c>
      <c r="AL58" s="252">
        <f t="shared" si="20"/>
        <v>0</v>
      </c>
      <c r="AM58" s="253">
        <f t="shared" si="21"/>
        <v>0</v>
      </c>
      <c r="AN58"/>
      <c r="AO58" s="250">
        <v>0</v>
      </c>
      <c r="AP58" s="252">
        <f t="shared" si="22"/>
        <v>0</v>
      </c>
      <c r="AQ58" s="250">
        <v>0</v>
      </c>
      <c r="AR58" s="252">
        <f t="shared" si="23"/>
        <v>0</v>
      </c>
      <c r="AS58" s="251">
        <f t="shared" si="24"/>
        <v>0</v>
      </c>
      <c r="AT58" s="252">
        <f t="shared" si="25"/>
        <v>0</v>
      </c>
      <c r="AU58" s="253">
        <f t="shared" si="26"/>
        <v>0</v>
      </c>
      <c r="AV58"/>
      <c r="AW58" s="250">
        <v>-0.53951574000000002</v>
      </c>
      <c r="AX58" s="252">
        <f t="shared" si="86"/>
        <v>0</v>
      </c>
      <c r="AY58" s="251">
        <f t="shared" si="87"/>
        <v>0.53951574000000002</v>
      </c>
      <c r="AZ58" s="252">
        <f t="shared" si="88"/>
        <v>-1</v>
      </c>
      <c r="BA58" s="253">
        <f t="shared" si="89"/>
        <v>-1</v>
      </c>
      <c r="BB58"/>
      <c r="BC58" s="250">
        <v>0</v>
      </c>
      <c r="BD58" s="252">
        <f t="shared" si="31"/>
        <v>0</v>
      </c>
      <c r="BE58" s="251">
        <f t="shared" si="32"/>
        <v>0</v>
      </c>
      <c r="BF58" s="252">
        <f t="shared" si="33"/>
        <v>0</v>
      </c>
      <c r="BG58" s="253">
        <f t="shared" si="34"/>
        <v>0</v>
      </c>
      <c r="BH58"/>
      <c r="BI58" s="250">
        <f t="shared" si="95"/>
        <v>0</v>
      </c>
      <c r="BJ58" s="252">
        <f t="shared" si="35"/>
        <v>0</v>
      </c>
      <c r="BK58" s="250">
        <f t="shared" si="96"/>
        <v>0</v>
      </c>
      <c r="BL58" s="252">
        <f t="shared" si="36"/>
        <v>0</v>
      </c>
      <c r="BM58" s="251">
        <f t="shared" si="37"/>
        <v>0</v>
      </c>
      <c r="BN58" s="252">
        <f>IFERROR(BM58/ABS(BK58),0)</f>
        <v>0</v>
      </c>
      <c r="BO58" s="253">
        <f t="shared" si="39"/>
        <v>0</v>
      </c>
      <c r="BP58"/>
      <c r="BQ58" s="250">
        <f t="shared" si="97"/>
        <v>-2.34650501</v>
      </c>
      <c r="BR58" s="252">
        <f t="shared" si="91"/>
        <v>0</v>
      </c>
      <c r="BS58" s="251">
        <f t="shared" si="92"/>
        <v>2.34650501</v>
      </c>
      <c r="BT58" s="252">
        <f t="shared" si="93"/>
        <v>1</v>
      </c>
      <c r="BU58" s="253">
        <f t="shared" si="94"/>
        <v>1</v>
      </c>
      <c r="BV58"/>
      <c r="BW58" s="250">
        <f t="shared" si="98"/>
        <v>0</v>
      </c>
      <c r="BX58" s="252">
        <f t="shared" si="44"/>
        <v>0</v>
      </c>
      <c r="BY58" s="251">
        <f t="shared" si="45"/>
        <v>0</v>
      </c>
      <c r="BZ58" s="252" t="str">
        <f t="shared" si="46"/>
        <v/>
      </c>
      <c r="CA58" s="253" t="str">
        <f t="shared" si="47"/>
        <v/>
      </c>
      <c r="CC58" s="250">
        <v>0</v>
      </c>
      <c r="CD58" s="250">
        <f t="shared" si="48"/>
        <v>0</v>
      </c>
    </row>
    <row r="59" spans="2:82" ht="15" customHeight="1" collapsed="1" x14ac:dyDescent="0.35">
      <c r="B59" s="239" t="s">
        <v>204</v>
      </c>
      <c r="C59" s="239" t="s">
        <v>205</v>
      </c>
      <c r="D59"/>
      <c r="E59" s="240">
        <f>SUM(E60,E68,E72:E76)</f>
        <v>17.984970874771712</v>
      </c>
      <c r="F59" s="240">
        <f>SUM(F60,F68,F72:F76)</f>
        <v>20.451512765189506</v>
      </c>
      <c r="G59" s="241">
        <f t="shared" si="0"/>
        <v>-2.466541890417794</v>
      </c>
      <c r="H59" s="242">
        <f t="shared" si="1"/>
        <v>-0.12060437380534961</v>
      </c>
      <c r="I59" s="243">
        <f t="shared" si="2"/>
        <v>-0.12060437380534961</v>
      </c>
      <c r="J59"/>
      <c r="K59" s="240">
        <f>SUM(K60,K68,K72:K76)</f>
        <v>18.013279229742089</v>
      </c>
      <c r="L59" s="241">
        <f t="shared" si="79"/>
        <v>-2.8308354970377536E-2</v>
      </c>
      <c r="M59" s="242">
        <f t="shared" si="80"/>
        <v>-1.5715270167819817E-3</v>
      </c>
      <c r="N59" s="243">
        <f t="shared" si="81"/>
        <v>-1.5715270167819817E-3</v>
      </c>
      <c r="O59"/>
      <c r="P59" s="240">
        <f>SUM(P60,P68,P72:P76)</f>
        <v>18.255092633934261</v>
      </c>
      <c r="Q59" s="241">
        <f t="shared" si="6"/>
        <v>-0.27012175916254932</v>
      </c>
      <c r="R59" s="242">
        <f t="shared" si="7"/>
        <v>-1.4797063185558512E-2</v>
      </c>
      <c r="S59" s="243">
        <f t="shared" si="8"/>
        <v>-1.4797063185558512E-2</v>
      </c>
      <c r="T59"/>
      <c r="U59" s="240">
        <f>SUM(U60,U68,U72:U76)</f>
        <v>-0.63260465889946338</v>
      </c>
      <c r="V59" s="242">
        <f t="shared" si="9"/>
        <v>-3.517407191283501E-2</v>
      </c>
      <c r="W59" s="240">
        <f>SUM(W60,W68,W72:W76)</f>
        <v>-0.29530432975543069</v>
      </c>
      <c r="X59" s="242">
        <f t="shared" si="10"/>
        <v>-1.4439241397246068E-2</v>
      </c>
      <c r="Y59" s="241">
        <f t="shared" si="11"/>
        <v>-0.33730032914403268</v>
      </c>
      <c r="Z59" s="242">
        <f t="shared" si="12"/>
        <v>1.1422126096944898</v>
      </c>
      <c r="AA59" s="243">
        <f t="shared" si="13"/>
        <v>1.1422126096944898</v>
      </c>
      <c r="AB59"/>
      <c r="AC59" s="240">
        <f>SUM(AC60,AC68,AC72:AC76)</f>
        <v>-0.77958246178724711</v>
      </c>
      <c r="AD59" s="242">
        <f t="shared" si="82"/>
        <v>-4.2704930477213077E-2</v>
      </c>
      <c r="AE59" s="241">
        <f t="shared" si="83"/>
        <v>0.14697780288778373</v>
      </c>
      <c r="AF59" s="242">
        <f t="shared" si="84"/>
        <v>-0.18853400389591479</v>
      </c>
      <c r="AG59" s="243">
        <f t="shared" si="85"/>
        <v>-0.18853400389591479</v>
      </c>
      <c r="AH59"/>
      <c r="AI59" s="240">
        <f>SUM(AI60,AI68,AI72:AI76)</f>
        <v>2.9206989555272953</v>
      </c>
      <c r="AJ59" s="242">
        <f t="shared" si="18"/>
        <v>0.15999365295457493</v>
      </c>
      <c r="AK59" s="241">
        <f t="shared" si="19"/>
        <v>-3.5533036144267589</v>
      </c>
      <c r="AL59" s="242">
        <f t="shared" si="20"/>
        <v>-1.2165935854848329</v>
      </c>
      <c r="AM59" s="243">
        <f t="shared" si="21"/>
        <v>-1.2165935854848329</v>
      </c>
      <c r="AN59"/>
      <c r="AO59" s="240">
        <f>SUM(AO60,AO68,AO72:AO76)</f>
        <v>-0.92028955000000012</v>
      </c>
      <c r="AP59" s="242">
        <f t="shared" si="22"/>
        <v>-5.1169921619997151E-2</v>
      </c>
      <c r="AQ59" s="240">
        <f>SUM(AQ60,AQ68,AQ72:AQ76)</f>
        <v>0</v>
      </c>
      <c r="AR59" s="242">
        <f t="shared" si="23"/>
        <v>0</v>
      </c>
      <c r="AS59" s="241">
        <f t="shared" si="24"/>
        <v>-0.92028955000000012</v>
      </c>
      <c r="AT59" s="242">
        <f t="shared" si="25"/>
        <v>0</v>
      </c>
      <c r="AU59" s="243">
        <f t="shared" si="26"/>
        <v>0</v>
      </c>
      <c r="AV59"/>
      <c r="AW59" s="240">
        <f>SUM(AW60,AW68,AW72:AW76)</f>
        <v>-0.88673161999999994</v>
      </c>
      <c r="AX59" s="242">
        <f t="shared" si="86"/>
        <v>-4.8574479340173872E-2</v>
      </c>
      <c r="AY59" s="241">
        <f t="shared" si="87"/>
        <v>-3.355793000000018E-2</v>
      </c>
      <c r="AZ59" s="242">
        <f t="shared" si="88"/>
        <v>3.7844517149394186E-2</v>
      </c>
      <c r="BA59" s="243">
        <f t="shared" si="89"/>
        <v>3.7844517149394186E-2</v>
      </c>
      <c r="BB59"/>
      <c r="BC59" s="240">
        <f>SUM(BC60,BC68,BC72:BC76)</f>
        <v>-1.0076798000000002</v>
      </c>
      <c r="BD59" s="242">
        <f t="shared" si="31"/>
        <v>-5.5199928053327511E-2</v>
      </c>
      <c r="BE59" s="241">
        <f t="shared" si="32"/>
        <v>8.7390250000000114E-2</v>
      </c>
      <c r="BF59" s="242">
        <f t="shared" si="33"/>
        <v>-8.6724225294582791E-2</v>
      </c>
      <c r="BG59" s="243">
        <f t="shared" si="34"/>
        <v>-8.6724225294582791E-2</v>
      </c>
      <c r="BH59"/>
      <c r="BI59" s="240">
        <f>SUM(BI60,BI68,BI72:BI76)</f>
        <v>-1.5528942088994635</v>
      </c>
      <c r="BJ59" s="242">
        <f t="shared" si="35"/>
        <v>-8.6343993532832161E-2</v>
      </c>
      <c r="BK59" s="240">
        <f>SUM(BK60,BK68,BK72:BK76)</f>
        <v>-0.29530432975543069</v>
      </c>
      <c r="BL59" s="242">
        <f t="shared" si="36"/>
        <v>-1.4439241397246068E-2</v>
      </c>
      <c r="BM59" s="241">
        <f t="shared" si="37"/>
        <v>-1.2575898791440328</v>
      </c>
      <c r="BN59" s="242">
        <f>BM59/ABS(BK59)</f>
        <v>-4.2586232317879027</v>
      </c>
      <c r="BO59" s="243">
        <f t="shared" si="39"/>
        <v>-4.2586232317879027</v>
      </c>
      <c r="BP59"/>
      <c r="BQ59" s="240">
        <f>SUM(BQ60,BQ68,BQ72:BQ76)</f>
        <v>-1.666314081787247</v>
      </c>
      <c r="BR59" s="242">
        <f t="shared" si="91"/>
        <v>-9.1279409817386942E-2</v>
      </c>
      <c r="BS59" s="241">
        <f t="shared" si="92"/>
        <v>0.11341987288778355</v>
      </c>
      <c r="BT59" s="242">
        <f t="shared" si="93"/>
        <v>6.8066323226490533E-2</v>
      </c>
      <c r="BU59" s="243">
        <f t="shared" si="94"/>
        <v>6.8066323226490533E-2</v>
      </c>
      <c r="BV59"/>
      <c r="BW59" s="240">
        <f>SUM(BW60,BW68,BW72:BW76)</f>
        <v>1.913019155527294</v>
      </c>
      <c r="BX59" s="242">
        <f t="shared" si="44"/>
        <v>0.10479372490124736</v>
      </c>
      <c r="BY59" s="241">
        <f t="shared" si="45"/>
        <v>-3.4659133644267577</v>
      </c>
      <c r="BZ59" s="242">
        <f t="shared" si="46"/>
        <v>-1.8117504753743214</v>
      </c>
      <c r="CA59" s="243">
        <f t="shared" si="47"/>
        <v>-1.8117504753743214</v>
      </c>
      <c r="CC59" s="240">
        <f>SUM(CC60,CC68,CC72:CC76)</f>
        <v>18.027984386618353</v>
      </c>
      <c r="CD59" s="240">
        <f t="shared" si="48"/>
        <v>-4.3013511846641705E-2</v>
      </c>
    </row>
    <row r="60" spans="2:82" x14ac:dyDescent="0.35">
      <c r="B60" s="256" t="s">
        <v>206</v>
      </c>
      <c r="C60" s="256" t="s">
        <v>207</v>
      </c>
      <c r="D60"/>
      <c r="E60" s="257">
        <f>SUM(E61:E67)</f>
        <v>6.6598379517279325</v>
      </c>
      <c r="F60" s="257">
        <f>SUM(F61:F67)</f>
        <v>7.7025353791368527</v>
      </c>
      <c r="G60" s="258">
        <f t="shared" si="0"/>
        <v>-1.0426974274089202</v>
      </c>
      <c r="H60" s="259">
        <f t="shared" si="1"/>
        <v>-0.13537067680768833</v>
      </c>
      <c r="I60" s="260">
        <f t="shared" si="2"/>
        <v>-0.13537067680768833</v>
      </c>
      <c r="J60"/>
      <c r="K60" s="257">
        <f>SUM(K61:K67)</f>
        <v>6.7644791632255927</v>
      </c>
      <c r="L60" s="262">
        <f>SUM(L61:L67)</f>
        <v>-0.10464121149765959</v>
      </c>
      <c r="M60" s="259">
        <f t="shared" si="80"/>
        <v>-1.5469219280995317E-2</v>
      </c>
      <c r="N60" s="260">
        <f t="shared" si="81"/>
        <v>-1.5469219280995317E-2</v>
      </c>
      <c r="O60"/>
      <c r="P60" s="257">
        <f>SUM(P61:P67)</f>
        <v>8.8065563639342592</v>
      </c>
      <c r="Q60" s="262">
        <f>SUM(Q61:Q67)</f>
        <v>-2.1467184122063259</v>
      </c>
      <c r="R60" s="259">
        <f t="shared" si="7"/>
        <v>-0.24376366010644568</v>
      </c>
      <c r="S60" s="260">
        <f t="shared" si="8"/>
        <v>-0.24376366010644568</v>
      </c>
      <c r="T60"/>
      <c r="U60" s="257">
        <f>SUM(U61:U67)</f>
        <v>0.6940926839394056</v>
      </c>
      <c r="V60" s="259">
        <f t="shared" si="9"/>
        <v>0.10422065656407141</v>
      </c>
      <c r="W60" s="257">
        <f>SUM(W61:W67)</f>
        <v>0.78710652740760889</v>
      </c>
      <c r="X60" s="259">
        <f t="shared" si="10"/>
        <v>0.10218797949822753</v>
      </c>
      <c r="Y60" s="258">
        <f t="shared" si="11"/>
        <v>-9.3013843468203294E-2</v>
      </c>
      <c r="Z60" s="259">
        <f t="shared" si="12"/>
        <v>-0.11817186140553426</v>
      </c>
      <c r="AA60" s="260">
        <f t="shared" si="13"/>
        <v>-0.11817186140553426</v>
      </c>
      <c r="AB60"/>
      <c r="AC60" s="257">
        <f>SUM(AC61:AC67)</f>
        <v>0.15547436671210518</v>
      </c>
      <c r="AD60" s="259">
        <f t="shared" si="82"/>
        <v>1.7654388422337679E-2</v>
      </c>
      <c r="AE60" s="258">
        <f t="shared" si="83"/>
        <v>0.53861831722730047</v>
      </c>
      <c r="AF60" s="259">
        <f t="shared" si="84"/>
        <v>3.4643544695999315</v>
      </c>
      <c r="AG60" s="260">
        <f t="shared" si="85"/>
        <v>3.4643544695999315</v>
      </c>
      <c r="AH60"/>
      <c r="AI60" s="257">
        <f>SUM(AI61:AI67)</f>
        <v>3.405271375527295</v>
      </c>
      <c r="AJ60" s="259">
        <f t="shared" si="18"/>
        <v>0.38667456776555698</v>
      </c>
      <c r="AK60" s="258">
        <f t="shared" si="19"/>
        <v>-2.7111786915878895</v>
      </c>
      <c r="AL60" s="259">
        <f t="shared" si="20"/>
        <v>-0.79617111020059961</v>
      </c>
      <c r="AM60" s="260">
        <f t="shared" si="21"/>
        <v>-0.79617111020059961</v>
      </c>
      <c r="AN60"/>
      <c r="AO60" s="257">
        <f>SUM(AO61:AO67)</f>
        <v>-0.52821030000000002</v>
      </c>
      <c r="AP60" s="259">
        <f t="shared" si="22"/>
        <v>-7.9312785660641025E-2</v>
      </c>
      <c r="AQ60" s="257">
        <f>SUM(AQ61:AQ67)</f>
        <v>0</v>
      </c>
      <c r="AR60" s="259">
        <f t="shared" si="23"/>
        <v>0</v>
      </c>
      <c r="AS60" s="258">
        <f t="shared" si="24"/>
        <v>-0.52821030000000002</v>
      </c>
      <c r="AT60" s="259">
        <f t="shared" si="25"/>
        <v>0</v>
      </c>
      <c r="AU60" s="260">
        <f t="shared" si="26"/>
        <v>0</v>
      </c>
      <c r="AV60"/>
      <c r="AW60" s="257">
        <f>SUM(AW61:AW67)</f>
        <v>-0.40023599322112002</v>
      </c>
      <c r="AX60" s="259">
        <f t="shared" si="86"/>
        <v>-4.5447502597067098E-2</v>
      </c>
      <c r="AY60" s="257">
        <f>SUM(AY61:AY67)</f>
        <v>-0.12797430677887997</v>
      </c>
      <c r="AZ60" s="259">
        <f t="shared" si="88"/>
        <v>0.31974712156429552</v>
      </c>
      <c r="BA60" s="260">
        <f t="shared" si="89"/>
        <v>0.31974712156429552</v>
      </c>
      <c r="BB60"/>
      <c r="BC60" s="257">
        <f>SUM(BC61:BC67)</f>
        <v>-0.33925676999999999</v>
      </c>
      <c r="BD60" s="259">
        <f t="shared" si="31"/>
        <v>-3.8523204301441578E-2</v>
      </c>
      <c r="BE60" s="257">
        <f>SUM(BE61:BE67)</f>
        <v>-0.18895353000000001</v>
      </c>
      <c r="BF60" s="259">
        <f t="shared" si="33"/>
        <v>0.55696318160430525</v>
      </c>
      <c r="BG60" s="260">
        <f t="shared" si="34"/>
        <v>0.55696318160430525</v>
      </c>
      <c r="BH60"/>
      <c r="BI60" s="257">
        <f>SUM(BI61:BI67)</f>
        <v>0.16588238393940571</v>
      </c>
      <c r="BJ60" s="259">
        <f t="shared" si="35"/>
        <v>2.4907870903430405E-2</v>
      </c>
      <c r="BK60" s="257">
        <f>SUM(BK61:BK67)</f>
        <v>0.78710652740760889</v>
      </c>
      <c r="BL60" s="259">
        <f t="shared" si="36"/>
        <v>0.10218797949822753</v>
      </c>
      <c r="BM60" s="258">
        <f t="shared" si="37"/>
        <v>-0.6212241434682032</v>
      </c>
      <c r="BN60" s="259">
        <f t="shared" ref="BN60:BN83" si="99">BM60/ABS(BK60)</f>
        <v>-0.78925040237469368</v>
      </c>
      <c r="BO60" s="260">
        <f t="shared" si="39"/>
        <v>-0.78925040237469368</v>
      </c>
      <c r="BP60"/>
      <c r="BQ60" s="257">
        <f>SUM(BQ61:BQ67)</f>
        <v>-0.24476162650901481</v>
      </c>
      <c r="BR60" s="259">
        <f t="shared" si="91"/>
        <v>-2.7793114174729416E-2</v>
      </c>
      <c r="BS60" s="258">
        <f t="shared" si="92"/>
        <v>0.41064401044842053</v>
      </c>
      <c r="BT60" s="259">
        <f t="shared" si="93"/>
        <v>1.6777303546530244</v>
      </c>
      <c r="BU60" s="260">
        <f t="shared" si="94"/>
        <v>1.6777303546530244</v>
      </c>
      <c r="BV60"/>
      <c r="BW60" s="257">
        <f>SUM(BW61:BW67)</f>
        <v>3.0660146055272945</v>
      </c>
      <c r="BX60" s="259">
        <f t="shared" si="44"/>
        <v>0.34815136346411535</v>
      </c>
      <c r="BY60" s="258">
        <f t="shared" si="45"/>
        <v>-2.9001322215878886</v>
      </c>
      <c r="BZ60" s="259">
        <f t="shared" si="46"/>
        <v>-0.94589641430919491</v>
      </c>
      <c r="CA60" s="260">
        <f t="shared" si="47"/>
        <v>-0.94589641430919491</v>
      </c>
      <c r="CC60" s="257">
        <f>SUM(CC61:CC65)</f>
        <v>6.6988425541060348</v>
      </c>
      <c r="CD60" s="257">
        <f t="shared" si="48"/>
        <v>-3.9004602378102327E-2</v>
      </c>
    </row>
    <row r="61" spans="2:82" hidden="1" outlineLevel="1" x14ac:dyDescent="0.35">
      <c r="B61" s="255" t="s">
        <v>208</v>
      </c>
      <c r="C61" s="255" t="s">
        <v>209</v>
      </c>
      <c r="D61"/>
      <c r="E61" s="250">
        <v>3.3614275900000004</v>
      </c>
      <c r="F61" s="250">
        <v>3.2640924181445299</v>
      </c>
      <c r="G61" s="251">
        <f t="shared" si="0"/>
        <v>9.733517185547047E-2</v>
      </c>
      <c r="H61" s="252">
        <f t="shared" si="1"/>
        <v>2.9819980376291078E-2</v>
      </c>
      <c r="I61" s="253">
        <f t="shared" si="2"/>
        <v>2.9819980376291078E-2</v>
      </c>
      <c r="J61"/>
      <c r="K61" s="250">
        <v>3.0230389424377697</v>
      </c>
      <c r="L61" s="251">
        <f t="shared" ref="L61:L65" si="100">$E61-K61</f>
        <v>0.33838864756223064</v>
      </c>
      <c r="M61" s="263">
        <f t="shared" si="80"/>
        <v>0.11193658236150772</v>
      </c>
      <c r="N61" s="253">
        <f t="shared" si="81"/>
        <v>0.11193658236150772</v>
      </c>
      <c r="O61"/>
      <c r="P61" s="250">
        <v>4.0027475500000005</v>
      </c>
      <c r="Q61" s="251">
        <f t="shared" si="6"/>
        <v>-0.64131996000000013</v>
      </c>
      <c r="R61" s="263">
        <f t="shared" si="7"/>
        <v>-0.16021993692807335</v>
      </c>
      <c r="S61" s="253">
        <f t="shared" si="8"/>
        <v>-0.16021993692807335</v>
      </c>
      <c r="T61"/>
      <c r="U61" s="250">
        <v>0.762556160642204</v>
      </c>
      <c r="V61" s="252">
        <f t="shared" si="9"/>
        <v>0.22685485265568486</v>
      </c>
      <c r="W61" s="250">
        <v>0.86764334648031327</v>
      </c>
      <c r="X61" s="252">
        <f t="shared" si="10"/>
        <v>0.26581457732545583</v>
      </c>
      <c r="Y61" s="251">
        <f t="shared" si="11"/>
        <v>-0.10508718583810928</v>
      </c>
      <c r="Z61" s="252">
        <f t="shared" si="12"/>
        <v>-0.12111795274453097</v>
      </c>
      <c r="AA61" s="253">
        <f t="shared" si="13"/>
        <v>-0.12111795274453097</v>
      </c>
      <c r="AB61"/>
      <c r="AC61" s="250">
        <v>0.70666579563600107</v>
      </c>
      <c r="AD61" s="252">
        <f t="shared" si="82"/>
        <v>0.17654518223014115</v>
      </c>
      <c r="AE61" s="251">
        <f t="shared" si="83"/>
        <v>5.5890365006202924E-2</v>
      </c>
      <c r="AF61" s="252">
        <f t="shared" si="84"/>
        <v>7.9090236645600553E-2</v>
      </c>
      <c r="AG61" s="253">
        <f t="shared" si="85"/>
        <v>7.9090236645600553E-2</v>
      </c>
      <c r="AH61"/>
      <c r="AI61" s="250">
        <v>1.9961819800000005</v>
      </c>
      <c r="AJ61" s="252">
        <f t="shared" si="18"/>
        <v>0.49870294218280148</v>
      </c>
      <c r="AK61" s="251">
        <f t="shared" si="19"/>
        <v>-1.2336258193577965</v>
      </c>
      <c r="AL61" s="252">
        <f t="shared" si="20"/>
        <v>-0.61799266385412222</v>
      </c>
      <c r="AM61" s="253">
        <f t="shared" si="21"/>
        <v>-0.61799266385412222</v>
      </c>
      <c r="AN61"/>
      <c r="AO61" s="250">
        <v>0</v>
      </c>
      <c r="AP61" s="252">
        <f t="shared" si="22"/>
        <v>0</v>
      </c>
      <c r="AQ61" s="250">
        <v>0</v>
      </c>
      <c r="AR61" s="252">
        <f t="shared" si="23"/>
        <v>0</v>
      </c>
      <c r="AS61" s="251">
        <f t="shared" si="24"/>
        <v>0</v>
      </c>
      <c r="AT61" s="252">
        <f t="shared" si="25"/>
        <v>0</v>
      </c>
      <c r="AU61" s="253">
        <f t="shared" si="26"/>
        <v>0</v>
      </c>
      <c r="AV61"/>
      <c r="AW61" s="250">
        <v>-1.057722E-2</v>
      </c>
      <c r="AX61" s="252">
        <f t="shared" si="86"/>
        <v>-2.6424899067142016E-3</v>
      </c>
      <c r="AY61" s="251">
        <f t="shared" ref="AY61:AY65" si="101">$AO61-AW61</f>
        <v>1.057722E-2</v>
      </c>
      <c r="AZ61" s="252">
        <f t="shared" si="88"/>
        <v>-1</v>
      </c>
      <c r="BA61" s="253">
        <f t="shared" si="89"/>
        <v>-1</v>
      </c>
      <c r="BB61"/>
      <c r="BC61" s="250">
        <v>-1.7731239999999992E-2</v>
      </c>
      <c r="BD61" s="252">
        <f t="shared" si="31"/>
        <v>-4.429767248249266E-3</v>
      </c>
      <c r="BE61" s="251">
        <f t="shared" si="32"/>
        <v>1.7731239999999992E-2</v>
      </c>
      <c r="BF61" s="252">
        <f t="shared" si="33"/>
        <v>-1</v>
      </c>
      <c r="BG61" s="253">
        <f t="shared" si="34"/>
        <v>-1</v>
      </c>
      <c r="BH61"/>
      <c r="BI61" s="250">
        <f t="shared" ref="BI61:BI76" si="102">SUM(U61,AO61)</f>
        <v>0.762556160642204</v>
      </c>
      <c r="BJ61" s="252">
        <f t="shared" si="35"/>
        <v>0.22685485265568486</v>
      </c>
      <c r="BK61" s="250">
        <f t="shared" ref="BK61:BK76" si="103">SUM(W61,AQ61)</f>
        <v>0.86764334648031327</v>
      </c>
      <c r="BL61" s="252">
        <f t="shared" si="36"/>
        <v>0.26581457732545583</v>
      </c>
      <c r="BM61" s="251">
        <f t="shared" si="37"/>
        <v>-0.10508718583810928</v>
      </c>
      <c r="BN61" s="252">
        <f t="shared" si="99"/>
        <v>-0.12111795274453095</v>
      </c>
      <c r="BO61" s="253">
        <f t="shared" si="39"/>
        <v>-0.12111795274453095</v>
      </c>
      <c r="BP61"/>
      <c r="BQ61" s="250">
        <f t="shared" ref="BQ61:BQ65" si="104">SUM(AC61,AW61)</f>
        <v>0.69608857563600102</v>
      </c>
      <c r="BR61" s="252">
        <f t="shared" si="91"/>
        <v>0.17390269232342692</v>
      </c>
      <c r="BS61" s="251">
        <f t="shared" si="92"/>
        <v>6.6467585006202978E-2</v>
      </c>
      <c r="BT61" s="252">
        <f t="shared" si="93"/>
        <v>9.548725166976485E-2</v>
      </c>
      <c r="BU61" s="253">
        <f t="shared" si="94"/>
        <v>9.548725166976485E-2</v>
      </c>
      <c r="BV61"/>
      <c r="BW61" s="250">
        <f t="shared" ref="BW61:BW65" si="105">SUM(AI61,BC61)</f>
        <v>1.9784507400000004</v>
      </c>
      <c r="BX61" s="252">
        <f t="shared" si="44"/>
        <v>0.4942731749345522</v>
      </c>
      <c r="BY61" s="251">
        <f t="shared" si="45"/>
        <v>-1.2158945793577964</v>
      </c>
      <c r="BZ61" s="252">
        <f t="shared" si="46"/>
        <v>-0.61456904373459209</v>
      </c>
      <c r="CA61" s="253">
        <f t="shared" si="47"/>
        <v>-0.61456904373459209</v>
      </c>
      <c r="CC61" s="250">
        <v>3.3614275899999999</v>
      </c>
      <c r="CD61" s="250">
        <f t="shared" si="48"/>
        <v>0</v>
      </c>
    </row>
    <row r="62" spans="2:82" hidden="1" outlineLevel="1" x14ac:dyDescent="0.35">
      <c r="B62" s="255" t="s">
        <v>210</v>
      </c>
      <c r="C62" s="255" t="s">
        <v>211</v>
      </c>
      <c r="D62"/>
      <c r="E62" s="250">
        <v>1.2512490000000001</v>
      </c>
      <c r="F62" s="250">
        <v>1.3126566071126693</v>
      </c>
      <c r="G62" s="251">
        <f t="shared" si="0"/>
        <v>-6.1407607112669238E-2</v>
      </c>
      <c r="H62" s="252">
        <f t="shared" si="1"/>
        <v>-4.6781166361354765E-2</v>
      </c>
      <c r="I62" s="253">
        <f t="shared" si="2"/>
        <v>-4.6781166361354765E-2</v>
      </c>
      <c r="J62"/>
      <c r="K62" s="250">
        <v>1.0049238401512399</v>
      </c>
      <c r="L62" s="251">
        <f t="shared" si="100"/>
        <v>0.24632515984876013</v>
      </c>
      <c r="M62" s="263">
        <f t="shared" si="80"/>
        <v>0.24511823683244338</v>
      </c>
      <c r="N62" s="253">
        <f t="shared" si="81"/>
        <v>0.24511823683244338</v>
      </c>
      <c r="O62"/>
      <c r="P62" s="250">
        <v>1.0349859327392366</v>
      </c>
      <c r="Q62" s="251">
        <f t="shared" si="6"/>
        <v>0.2162630672607635</v>
      </c>
      <c r="R62" s="263">
        <f t="shared" si="7"/>
        <v>0.20895266343223895</v>
      </c>
      <c r="S62" s="253">
        <f t="shared" si="8"/>
        <v>0.20895266343223895</v>
      </c>
      <c r="T62"/>
      <c r="U62" s="250">
        <v>1.0016421531834043</v>
      </c>
      <c r="V62" s="252">
        <f t="shared" si="9"/>
        <v>0.80051384910869405</v>
      </c>
      <c r="W62" s="250">
        <v>0.61598060104207963</v>
      </c>
      <c r="X62" s="252">
        <f t="shared" si="10"/>
        <v>0.46926256090463431</v>
      </c>
      <c r="Y62" s="251">
        <f t="shared" si="11"/>
        <v>0.38566155214132469</v>
      </c>
      <c r="Z62" s="252">
        <f t="shared" si="12"/>
        <v>0.62609366510712383</v>
      </c>
      <c r="AA62" s="253">
        <f t="shared" si="13"/>
        <v>0.62609366510712383</v>
      </c>
      <c r="AB62"/>
      <c r="AC62" s="250">
        <v>6.9520430353749899E-2</v>
      </c>
      <c r="AD62" s="252">
        <f t="shared" si="82"/>
        <v>6.7170410876749076E-2</v>
      </c>
      <c r="AE62" s="251">
        <f t="shared" si="83"/>
        <v>0.93212172282965444</v>
      </c>
      <c r="AF62" s="252">
        <f t="shared" si="84"/>
        <v>13.407881943288002</v>
      </c>
      <c r="AG62" s="253">
        <f t="shared" si="85"/>
        <v>13.407881943288002</v>
      </c>
      <c r="AH62"/>
      <c r="AI62" s="250">
        <v>0.26364617318630545</v>
      </c>
      <c r="AJ62" s="252">
        <f t="shared" si="18"/>
        <v>0.25473406434474777</v>
      </c>
      <c r="AK62" s="251">
        <f t="shared" si="19"/>
        <v>0.73799597999709887</v>
      </c>
      <c r="AL62" s="252">
        <f t="shared" si="20"/>
        <v>2.79919094245906</v>
      </c>
      <c r="AM62" s="253">
        <f t="shared" si="21"/>
        <v>2.79919094245906</v>
      </c>
      <c r="AN62"/>
      <c r="AO62" s="250">
        <v>0</v>
      </c>
      <c r="AP62" s="252">
        <f t="shared" si="22"/>
        <v>0</v>
      </c>
      <c r="AQ62" s="250">
        <v>0</v>
      </c>
      <c r="AR62" s="252">
        <f t="shared" si="23"/>
        <v>0</v>
      </c>
      <c r="AS62" s="251">
        <f t="shared" si="24"/>
        <v>0</v>
      </c>
      <c r="AT62" s="252">
        <f t="shared" si="25"/>
        <v>0</v>
      </c>
      <c r="AU62" s="253">
        <f t="shared" si="26"/>
        <v>0</v>
      </c>
      <c r="AV62"/>
      <c r="AW62" s="250">
        <v>0</v>
      </c>
      <c r="AX62" s="252">
        <f t="shared" si="86"/>
        <v>0</v>
      </c>
      <c r="AY62" s="251">
        <f t="shared" si="101"/>
        <v>0</v>
      </c>
      <c r="AZ62" s="252">
        <f t="shared" si="88"/>
        <v>0</v>
      </c>
      <c r="BA62" s="253">
        <f t="shared" si="89"/>
        <v>0</v>
      </c>
      <c r="BB62"/>
      <c r="BC62" s="250">
        <v>0</v>
      </c>
      <c r="BD62" s="252">
        <f t="shared" si="31"/>
        <v>0</v>
      </c>
      <c r="BE62" s="251">
        <f t="shared" si="32"/>
        <v>0</v>
      </c>
      <c r="BF62" s="252">
        <f t="shared" si="33"/>
        <v>0</v>
      </c>
      <c r="BG62" s="253">
        <f t="shared" si="34"/>
        <v>0</v>
      </c>
      <c r="BH62"/>
      <c r="BI62" s="250">
        <f t="shared" si="102"/>
        <v>1.0016421531834043</v>
      </c>
      <c r="BJ62" s="252">
        <f t="shared" si="35"/>
        <v>0.80051384910869405</v>
      </c>
      <c r="BK62" s="250">
        <f t="shared" si="103"/>
        <v>0.61598060104207963</v>
      </c>
      <c r="BL62" s="252">
        <f t="shared" si="36"/>
        <v>0.46926256090463431</v>
      </c>
      <c r="BM62" s="251">
        <f t="shared" si="37"/>
        <v>0.38566155214132469</v>
      </c>
      <c r="BN62" s="252">
        <f t="shared" si="99"/>
        <v>0.62609366510712383</v>
      </c>
      <c r="BO62" s="253">
        <f t="shared" si="39"/>
        <v>0.62609366510712383</v>
      </c>
      <c r="BP62"/>
      <c r="BQ62" s="250">
        <f t="shared" si="104"/>
        <v>6.9520430353749899E-2</v>
      </c>
      <c r="BR62" s="252">
        <f t="shared" si="91"/>
        <v>6.7170410876749076E-2</v>
      </c>
      <c r="BS62" s="251">
        <f t="shared" si="92"/>
        <v>0.93212172282965444</v>
      </c>
      <c r="BT62" s="252">
        <f t="shared" si="93"/>
        <v>13.407881943288002</v>
      </c>
      <c r="BU62" s="253">
        <f t="shared" si="94"/>
        <v>13.407881943288002</v>
      </c>
      <c r="BV62"/>
      <c r="BW62" s="250">
        <f t="shared" si="105"/>
        <v>0.26364617318630545</v>
      </c>
      <c r="BX62" s="252">
        <f t="shared" si="44"/>
        <v>0.25473406434474777</v>
      </c>
      <c r="BY62" s="251">
        <f t="shared" si="45"/>
        <v>0.73799597999709887</v>
      </c>
      <c r="BZ62" s="252">
        <f t="shared" si="46"/>
        <v>2.79919094245906</v>
      </c>
      <c r="CA62" s="253">
        <f t="shared" si="47"/>
        <v>2.79919094245906</v>
      </c>
      <c r="CC62" s="250">
        <v>1.2512488038285301</v>
      </c>
      <c r="CD62" s="250">
        <f t="shared" si="48"/>
        <v>1.9617146995720702E-7</v>
      </c>
    </row>
    <row r="63" spans="2:82" hidden="1" outlineLevel="1" x14ac:dyDescent="0.35">
      <c r="B63" s="255" t="s">
        <v>212</v>
      </c>
      <c r="C63" s="255" t="s">
        <v>213</v>
      </c>
      <c r="D63"/>
      <c r="E63" s="250">
        <v>0.48817199999999999</v>
      </c>
      <c r="F63" s="250">
        <v>0.50770009284945561</v>
      </c>
      <c r="G63" s="251">
        <f t="shared" si="0"/>
        <v>-1.9528092849455614E-2</v>
      </c>
      <c r="H63" s="252">
        <f t="shared" si="1"/>
        <v>-3.84638354896778E-2</v>
      </c>
      <c r="I63" s="253">
        <f t="shared" si="2"/>
        <v>-3.84638354896778E-2</v>
      </c>
      <c r="J63"/>
      <c r="K63" s="250">
        <v>0.53614420171551802</v>
      </c>
      <c r="L63" s="251">
        <f t="shared" si="100"/>
        <v>-4.7972201715518026E-2</v>
      </c>
      <c r="M63" s="263">
        <f t="shared" si="80"/>
        <v>-8.9476304251766225E-2</v>
      </c>
      <c r="N63" s="253">
        <f t="shared" si="81"/>
        <v>-8.9476304251766225E-2</v>
      </c>
      <c r="O63"/>
      <c r="P63" s="250">
        <v>0.41489246119502188</v>
      </c>
      <c r="Q63" s="251">
        <f t="shared" si="6"/>
        <v>7.3279538804978117E-2</v>
      </c>
      <c r="R63" s="263">
        <f t="shared" si="7"/>
        <v>0.17662297018825024</v>
      </c>
      <c r="S63" s="253">
        <f t="shared" si="8"/>
        <v>0.17662297018825024</v>
      </c>
      <c r="T63"/>
      <c r="U63" s="250">
        <v>-2.6297190633304001E-2</v>
      </c>
      <c r="V63" s="252">
        <f t="shared" si="9"/>
        <v>-5.3868699215243808E-2</v>
      </c>
      <c r="W63" s="250">
        <v>5.7175841029920349E-2</v>
      </c>
      <c r="X63" s="252">
        <f t="shared" si="10"/>
        <v>0.1126173538969083</v>
      </c>
      <c r="Y63" s="251">
        <f t="shared" si="11"/>
        <v>-8.3473031663224354E-2</v>
      </c>
      <c r="Z63" s="252">
        <f t="shared" si="12"/>
        <v>-1.4599353531073129</v>
      </c>
      <c r="AA63" s="253">
        <f t="shared" si="13"/>
        <v>-1.4599353531073129</v>
      </c>
      <c r="AB63"/>
      <c r="AC63" s="250">
        <v>-5.3029586064398757E-3</v>
      </c>
      <c r="AD63" s="252">
        <f t="shared" si="82"/>
        <v>-1.2781525581751168E-2</v>
      </c>
      <c r="AE63" s="251">
        <f t="shared" si="83"/>
        <v>-2.0994232026864124E-2</v>
      </c>
      <c r="AF63" s="252">
        <f t="shared" si="84"/>
        <v>3.9589658500009559</v>
      </c>
      <c r="AG63" s="253">
        <f t="shared" si="85"/>
        <v>3.9589658500009559</v>
      </c>
      <c r="AH63"/>
      <c r="AI63" s="250">
        <v>5.0594942340989178E-2</v>
      </c>
      <c r="AJ63" s="252">
        <f t="shared" si="18"/>
        <v>0.12194712382881023</v>
      </c>
      <c r="AK63" s="251">
        <f t="shared" si="19"/>
        <v>-7.6892132974293176E-2</v>
      </c>
      <c r="AL63" s="252">
        <f t="shared" si="20"/>
        <v>-1.5197592766500594</v>
      </c>
      <c r="AM63" s="253">
        <f t="shared" si="21"/>
        <v>-1.5197592766500594</v>
      </c>
      <c r="AN63"/>
      <c r="AO63" s="250">
        <v>0</v>
      </c>
      <c r="AP63" s="252">
        <f t="shared" si="22"/>
        <v>0</v>
      </c>
      <c r="AQ63" s="250">
        <v>0</v>
      </c>
      <c r="AR63" s="252">
        <f t="shared" si="23"/>
        <v>0</v>
      </c>
      <c r="AS63" s="251">
        <f t="shared" si="24"/>
        <v>0</v>
      </c>
      <c r="AT63" s="252">
        <f t="shared" si="25"/>
        <v>0</v>
      </c>
      <c r="AU63" s="253">
        <f t="shared" si="26"/>
        <v>0</v>
      </c>
      <c r="AV63"/>
      <c r="AW63" s="250">
        <v>0</v>
      </c>
      <c r="AX63" s="252">
        <f t="shared" si="86"/>
        <v>0</v>
      </c>
      <c r="AY63" s="251">
        <f t="shared" si="101"/>
        <v>0</v>
      </c>
      <c r="AZ63" s="252">
        <f t="shared" si="88"/>
        <v>0</v>
      </c>
      <c r="BA63" s="253">
        <f t="shared" si="89"/>
        <v>0</v>
      </c>
      <c r="BB63"/>
      <c r="BC63" s="250">
        <v>0</v>
      </c>
      <c r="BD63" s="252">
        <f t="shared" si="31"/>
        <v>0</v>
      </c>
      <c r="BE63" s="251">
        <f t="shared" si="32"/>
        <v>0</v>
      </c>
      <c r="BF63" s="252">
        <f t="shared" si="33"/>
        <v>0</v>
      </c>
      <c r="BG63" s="253">
        <f t="shared" si="34"/>
        <v>0</v>
      </c>
      <c r="BH63"/>
      <c r="BI63" s="250">
        <f t="shared" si="102"/>
        <v>-2.6297190633304001E-2</v>
      </c>
      <c r="BJ63" s="252">
        <f t="shared" si="35"/>
        <v>-5.3868699215243808E-2</v>
      </c>
      <c r="BK63" s="250">
        <f t="shared" si="103"/>
        <v>5.7175841029920349E-2</v>
      </c>
      <c r="BL63" s="252">
        <f t="shared" si="36"/>
        <v>0.1126173538969083</v>
      </c>
      <c r="BM63" s="251">
        <f t="shared" si="37"/>
        <v>-8.3473031663224354E-2</v>
      </c>
      <c r="BN63" s="252">
        <f t="shared" si="99"/>
        <v>-1.4599353531073129</v>
      </c>
      <c r="BO63" s="253">
        <f t="shared" si="39"/>
        <v>-1.4599353531073129</v>
      </c>
      <c r="BP63"/>
      <c r="BQ63" s="250">
        <f t="shared" si="104"/>
        <v>-5.3029586064398757E-3</v>
      </c>
      <c r="BR63" s="252">
        <f t="shared" si="91"/>
        <v>-1.2781525581751168E-2</v>
      </c>
      <c r="BS63" s="251">
        <f t="shared" si="92"/>
        <v>-2.0994232026864124E-2</v>
      </c>
      <c r="BT63" s="252">
        <f t="shared" si="93"/>
        <v>-3.958965850000955</v>
      </c>
      <c r="BU63" s="253">
        <f t="shared" si="94"/>
        <v>-3.958965850000955</v>
      </c>
      <c r="BV63"/>
      <c r="BW63" s="250">
        <f t="shared" si="105"/>
        <v>5.0594942340989178E-2</v>
      </c>
      <c r="BX63" s="252">
        <f t="shared" si="44"/>
        <v>0.12194712382881023</v>
      </c>
      <c r="BY63" s="251">
        <f t="shared" si="45"/>
        <v>-7.6892132974293176E-2</v>
      </c>
      <c r="BZ63" s="252">
        <f t="shared" si="46"/>
        <v>-1.5197592766500594</v>
      </c>
      <c r="CA63" s="253">
        <f t="shared" si="47"/>
        <v>-1.5197592766500594</v>
      </c>
      <c r="CC63" s="250">
        <v>0.48817226801811009</v>
      </c>
      <c r="CD63" s="250">
        <f t="shared" si="48"/>
        <v>-2.6801811009447007E-7</v>
      </c>
    </row>
    <row r="64" spans="2:82" hidden="1" outlineLevel="1" x14ac:dyDescent="0.35">
      <c r="B64" s="255" t="s">
        <v>214</v>
      </c>
      <c r="C64" s="255" t="s">
        <v>215</v>
      </c>
      <c r="D64"/>
      <c r="E64" s="250">
        <v>0.94227874172793258</v>
      </c>
      <c r="F64" s="250">
        <v>1.7457616762093735</v>
      </c>
      <c r="G64" s="251">
        <f t="shared" si="0"/>
        <v>-0.80348293448144092</v>
      </c>
      <c r="H64" s="252">
        <f t="shared" si="1"/>
        <v>-0.46024777919633819</v>
      </c>
      <c r="I64" s="253">
        <f t="shared" si="2"/>
        <v>-0.46024777919633819</v>
      </c>
      <c r="J64"/>
      <c r="K64" s="250">
        <v>1.5968718419939401</v>
      </c>
      <c r="L64" s="251">
        <f t="shared" si="100"/>
        <v>-0.65459310026600748</v>
      </c>
      <c r="M64" s="263">
        <f t="shared" si="80"/>
        <v>-0.40992212590375898</v>
      </c>
      <c r="N64" s="253">
        <f t="shared" si="81"/>
        <v>-0.40992212590375898</v>
      </c>
      <c r="O64"/>
      <c r="P64" s="250">
        <v>2.5070761299999997</v>
      </c>
      <c r="Q64" s="251">
        <f t="shared" si="6"/>
        <v>-1.5647973882720672</v>
      </c>
      <c r="R64" s="263">
        <f t="shared" si="7"/>
        <v>-0.62415232212037663</v>
      </c>
      <c r="S64" s="253">
        <f t="shared" si="8"/>
        <v>-0.62415232212037663</v>
      </c>
      <c r="T64"/>
      <c r="U64" s="250">
        <v>-1.1786315297567636</v>
      </c>
      <c r="V64" s="252">
        <f t="shared" si="9"/>
        <v>-1.2508310731869126</v>
      </c>
      <c r="W64" s="250">
        <v>-0.63243775217526743</v>
      </c>
      <c r="X64" s="252">
        <f t="shared" si="10"/>
        <v>-0.36227038363478065</v>
      </c>
      <c r="Y64" s="251">
        <f t="shared" si="11"/>
        <v>-0.54619377758149612</v>
      </c>
      <c r="Z64" s="252">
        <f t="shared" si="12"/>
        <v>0.86363246928707937</v>
      </c>
      <c r="AA64" s="253">
        <f t="shared" si="13"/>
        <v>0.86363246928707937</v>
      </c>
      <c r="AB64"/>
      <c r="AC64" s="250">
        <v>-0.45387293593531475</v>
      </c>
      <c r="AD64" s="252">
        <f t="shared" si="82"/>
        <v>-0.18103675851890258</v>
      </c>
      <c r="AE64" s="251">
        <f t="shared" si="83"/>
        <v>-0.7247585938214488</v>
      </c>
      <c r="AF64" s="252">
        <f t="shared" si="84"/>
        <v>1.5968314839656803</v>
      </c>
      <c r="AG64" s="253">
        <f t="shared" si="85"/>
        <v>1.5968314839656803</v>
      </c>
      <c r="AH64"/>
      <c r="AI64" s="250">
        <v>0.65336348999999982</v>
      </c>
      <c r="AJ64" s="252">
        <f t="shared" si="18"/>
        <v>0.26060775824944732</v>
      </c>
      <c r="AK64" s="251">
        <f t="shared" si="19"/>
        <v>-1.8319950197567634</v>
      </c>
      <c r="AL64" s="252">
        <f t="shared" si="20"/>
        <v>-2.8039445848998445</v>
      </c>
      <c r="AM64" s="253">
        <f t="shared" si="21"/>
        <v>-2.8039445848998445</v>
      </c>
      <c r="AN64"/>
      <c r="AO64" s="250">
        <v>-0.47038089</v>
      </c>
      <c r="AP64" s="252">
        <f t="shared" si="22"/>
        <v>-0.49919505680179582</v>
      </c>
      <c r="AQ64" s="250">
        <v>0</v>
      </c>
      <c r="AR64" s="252">
        <f t="shared" si="23"/>
        <v>0</v>
      </c>
      <c r="AS64" s="251">
        <f t="shared" si="24"/>
        <v>-0.47038089</v>
      </c>
      <c r="AT64" s="252">
        <f t="shared" si="25"/>
        <v>0</v>
      </c>
      <c r="AU64" s="253">
        <f t="shared" si="26"/>
        <v>0</v>
      </c>
      <c r="AV64"/>
      <c r="AW64" s="250">
        <v>-0.38965877322112003</v>
      </c>
      <c r="AX64" s="252">
        <f t="shared" si="86"/>
        <v>-0.15542359027650271</v>
      </c>
      <c r="AY64" s="251">
        <f t="shared" si="101"/>
        <v>-8.0722116778879971E-2</v>
      </c>
      <c r="AZ64" s="252">
        <f t="shared" si="88"/>
        <v>0.20716104018803261</v>
      </c>
      <c r="BA64" s="253">
        <f t="shared" si="89"/>
        <v>0.20716104018803261</v>
      </c>
      <c r="BB64"/>
      <c r="BC64" s="250">
        <v>0</v>
      </c>
      <c r="BD64" s="252">
        <f t="shared" si="31"/>
        <v>0</v>
      </c>
      <c r="BE64" s="251">
        <f t="shared" si="32"/>
        <v>-0.47038089</v>
      </c>
      <c r="BF64" s="252">
        <f t="shared" si="33"/>
        <v>0</v>
      </c>
      <c r="BG64" s="253">
        <f t="shared" si="34"/>
        <v>0</v>
      </c>
      <c r="BH64"/>
      <c r="BI64" s="250">
        <f t="shared" si="102"/>
        <v>-1.6490124197567635</v>
      </c>
      <c r="BJ64" s="252">
        <f t="shared" si="35"/>
        <v>-1.7500261299887083</v>
      </c>
      <c r="BK64" s="250">
        <f t="shared" si="103"/>
        <v>-0.63243775217526743</v>
      </c>
      <c r="BL64" s="252">
        <f t="shared" si="36"/>
        <v>-0.36227038363478065</v>
      </c>
      <c r="BM64" s="251">
        <f t="shared" si="37"/>
        <v>-1.0165746675814962</v>
      </c>
      <c r="BN64" s="252">
        <f t="shared" si="99"/>
        <v>-1.6073908682474933</v>
      </c>
      <c r="BO64" s="253">
        <f t="shared" si="39"/>
        <v>-1.6073908682474933</v>
      </c>
      <c r="BP64"/>
      <c r="BQ64" s="250">
        <f t="shared" si="104"/>
        <v>-0.84353170915643472</v>
      </c>
      <c r="BR64" s="252">
        <f t="shared" si="91"/>
        <v>-0.33646034879540526</v>
      </c>
      <c r="BS64" s="251">
        <f t="shared" si="92"/>
        <v>-0.80548071060032878</v>
      </c>
      <c r="BT64" s="252">
        <f t="shared" si="93"/>
        <v>-0.95489084981267813</v>
      </c>
      <c r="BU64" s="253">
        <f t="shared" si="94"/>
        <v>-0.95489084981267813</v>
      </c>
      <c r="BV64"/>
      <c r="BW64" s="250">
        <f t="shared" si="105"/>
        <v>0.65336348999999982</v>
      </c>
      <c r="BX64" s="252">
        <f t="shared" si="44"/>
        <v>0.26060775824944732</v>
      </c>
      <c r="BY64" s="251">
        <f t="shared" si="45"/>
        <v>-2.3023759097567633</v>
      </c>
      <c r="BZ64" s="252">
        <f t="shared" si="46"/>
        <v>-3.5238821039063017</v>
      </c>
      <c r="CA64" s="253">
        <f t="shared" si="47"/>
        <v>-3.5238821039063017</v>
      </c>
      <c r="CC64" s="250">
        <v>0.98128327225939416</v>
      </c>
      <c r="CD64" s="250">
        <f t="shared" si="48"/>
        <v>-3.9004530531461579E-2</v>
      </c>
    </row>
    <row r="65" spans="2:82" hidden="1" outlineLevel="1" x14ac:dyDescent="0.35">
      <c r="B65" s="255" t="s">
        <v>216</v>
      </c>
      <c r="C65" s="255" t="s">
        <v>217</v>
      </c>
      <c r="D65"/>
      <c r="E65" s="250">
        <v>0.6167106200000001</v>
      </c>
      <c r="F65" s="250">
        <v>0.78832458482082368</v>
      </c>
      <c r="G65" s="251">
        <f t="shared" si="0"/>
        <v>-0.17161396482082358</v>
      </c>
      <c r="H65" s="252">
        <f t="shared" si="1"/>
        <v>-0.21769454882575978</v>
      </c>
      <c r="I65" s="253">
        <f t="shared" si="2"/>
        <v>-0.21769454882575978</v>
      </c>
      <c r="J65"/>
      <c r="K65" s="250">
        <v>0.60350033692712501</v>
      </c>
      <c r="L65" s="251">
        <f t="shared" si="100"/>
        <v>1.3210283072875084E-2</v>
      </c>
      <c r="M65" s="263">
        <f t="shared" si="80"/>
        <v>2.1889437775857168E-2</v>
      </c>
      <c r="N65" s="253">
        <f t="shared" si="81"/>
        <v>2.1889437775857168E-2</v>
      </c>
      <c r="O65"/>
      <c r="P65" s="250">
        <v>0.84685429000000001</v>
      </c>
      <c r="Q65" s="251">
        <f t="shared" si="6"/>
        <v>-0.23014366999999991</v>
      </c>
      <c r="R65" s="263">
        <f t="shared" si="7"/>
        <v>-0.2717630089587193</v>
      </c>
      <c r="S65" s="253">
        <f t="shared" si="8"/>
        <v>-0.2717630089587193</v>
      </c>
      <c r="T65"/>
      <c r="U65" s="250">
        <v>0.13546175050386494</v>
      </c>
      <c r="V65" s="252">
        <f t="shared" si="9"/>
        <v>0.2196520476716696</v>
      </c>
      <c r="W65" s="250">
        <v>0.29893254668942931</v>
      </c>
      <c r="X65" s="252">
        <f t="shared" si="10"/>
        <v>0.37919982764126647</v>
      </c>
      <c r="Y65" s="251">
        <f t="shared" si="11"/>
        <v>-0.16347079618556437</v>
      </c>
      <c r="Z65" s="252">
        <f t="shared" si="12"/>
        <v>-0.54684843786982973</v>
      </c>
      <c r="AA65" s="253">
        <f t="shared" si="13"/>
        <v>-0.54684843786982973</v>
      </c>
      <c r="AB65"/>
      <c r="AC65" s="250">
        <v>0.14073717112182807</v>
      </c>
      <c r="AD65" s="252">
        <f t="shared" si="82"/>
        <v>0.16618817756928181</v>
      </c>
      <c r="AE65" s="251">
        <f t="shared" si="83"/>
        <v>-5.275420617963128E-3</v>
      </c>
      <c r="AF65" s="252">
        <f t="shared" si="84"/>
        <v>-3.7484202474103334E-2</v>
      </c>
      <c r="AG65" s="253">
        <f t="shared" si="85"/>
        <v>-3.7484202474103334E-2</v>
      </c>
      <c r="AH65"/>
      <c r="AI65" s="250">
        <v>0.44857769000000008</v>
      </c>
      <c r="AJ65" s="252">
        <f t="shared" si="18"/>
        <v>0.52969878678892923</v>
      </c>
      <c r="AK65" s="251">
        <f t="shared" si="19"/>
        <v>-0.31311593949613514</v>
      </c>
      <c r="AL65" s="252">
        <f t="shared" si="20"/>
        <v>-0.69801942110882753</v>
      </c>
      <c r="AM65" s="253">
        <f t="shared" si="21"/>
        <v>-0.69801942110882753</v>
      </c>
      <c r="AN65"/>
      <c r="AO65" s="250">
        <v>0</v>
      </c>
      <c r="AP65" s="252">
        <f t="shared" si="22"/>
        <v>0</v>
      </c>
      <c r="AQ65" s="250">
        <v>0</v>
      </c>
      <c r="AR65" s="252">
        <f t="shared" si="23"/>
        <v>0</v>
      </c>
      <c r="AS65" s="251">
        <f t="shared" si="24"/>
        <v>0</v>
      </c>
      <c r="AT65" s="252">
        <f t="shared" si="25"/>
        <v>0</v>
      </c>
      <c r="AU65" s="253">
        <f t="shared" si="26"/>
        <v>0</v>
      </c>
      <c r="AV65"/>
      <c r="AW65" s="250">
        <v>0</v>
      </c>
      <c r="AX65" s="252">
        <f t="shared" si="86"/>
        <v>0</v>
      </c>
      <c r="AY65" s="251">
        <f t="shared" si="101"/>
        <v>0</v>
      </c>
      <c r="AZ65" s="252">
        <f t="shared" si="88"/>
        <v>0</v>
      </c>
      <c r="BA65" s="253">
        <f t="shared" si="89"/>
        <v>0</v>
      </c>
      <c r="BB65"/>
      <c r="BC65" s="250">
        <v>0</v>
      </c>
      <c r="BD65" s="252">
        <f t="shared" si="31"/>
        <v>0</v>
      </c>
      <c r="BE65" s="251">
        <f t="shared" si="32"/>
        <v>0</v>
      </c>
      <c r="BF65" s="252">
        <f t="shared" si="33"/>
        <v>0</v>
      </c>
      <c r="BG65" s="253">
        <f t="shared" si="34"/>
        <v>0</v>
      </c>
      <c r="BH65"/>
      <c r="BI65" s="250">
        <f t="shared" si="102"/>
        <v>0.13546175050386494</v>
      </c>
      <c r="BJ65" s="252">
        <f t="shared" si="35"/>
        <v>0.2196520476716696</v>
      </c>
      <c r="BK65" s="250">
        <f t="shared" si="103"/>
        <v>0.29893254668942931</v>
      </c>
      <c r="BL65" s="252">
        <f t="shared" si="36"/>
        <v>0.37919982764126647</v>
      </c>
      <c r="BM65" s="251">
        <f t="shared" si="37"/>
        <v>-0.16347079618556437</v>
      </c>
      <c r="BN65" s="252">
        <f t="shared" si="99"/>
        <v>-0.54684843786982973</v>
      </c>
      <c r="BO65" s="253">
        <f t="shared" si="39"/>
        <v>-0.54684843786982973</v>
      </c>
      <c r="BP65"/>
      <c r="BQ65" s="250">
        <f t="shared" si="104"/>
        <v>0.14073717112182807</v>
      </c>
      <c r="BR65" s="252">
        <f t="shared" si="91"/>
        <v>0.16618817756928181</v>
      </c>
      <c r="BS65" s="251">
        <f t="shared" si="92"/>
        <v>-5.275420617963128E-3</v>
      </c>
      <c r="BT65" s="252">
        <f t="shared" si="93"/>
        <v>-3.7484202474103306E-2</v>
      </c>
      <c r="BU65" s="253">
        <f t="shared" si="94"/>
        <v>-3.7484202474103306E-2</v>
      </c>
      <c r="BV65"/>
      <c r="BW65" s="250">
        <f t="shared" si="105"/>
        <v>0.44857769000000008</v>
      </c>
      <c r="BX65" s="252">
        <f t="shared" si="44"/>
        <v>0.52969878678892923</v>
      </c>
      <c r="BY65" s="251">
        <f t="shared" si="45"/>
        <v>-0.31311593949613514</v>
      </c>
      <c r="BZ65" s="252">
        <f t="shared" si="46"/>
        <v>-0.69801942110882753</v>
      </c>
      <c r="CA65" s="253">
        <f t="shared" si="47"/>
        <v>-0.69801942110882753</v>
      </c>
      <c r="CC65" s="250">
        <v>0.6167106200000001</v>
      </c>
      <c r="CD65" s="250">
        <f t="shared" si="48"/>
        <v>0</v>
      </c>
    </row>
    <row r="66" spans="2:82" hidden="1" outlineLevel="1" x14ac:dyDescent="0.35">
      <c r="B66" s="255" t="s">
        <v>218</v>
      </c>
      <c r="C66" s="255" t="s">
        <v>219</v>
      </c>
      <c r="D66"/>
      <c r="E66" s="250">
        <v>0</v>
      </c>
      <c r="F66" s="250">
        <v>4.2000000000000003E-2</v>
      </c>
      <c r="G66" s="251">
        <f>$E66-F66</f>
        <v>-4.2000000000000003E-2</v>
      </c>
      <c r="H66" s="252">
        <f>IFERROR($E66/F66-1,0)</f>
        <v>-1</v>
      </c>
      <c r="I66" s="253">
        <f>H66</f>
        <v>-1</v>
      </c>
      <c r="J66"/>
      <c r="K66" s="250">
        <v>0</v>
      </c>
      <c r="L66" s="251">
        <f>$E66-K66</f>
        <v>0</v>
      </c>
      <c r="M66" s="263">
        <f>IFERROR($E66/K66-1,0)</f>
        <v>0</v>
      </c>
      <c r="N66" s="253">
        <f>M66</f>
        <v>0</v>
      </c>
      <c r="O66"/>
      <c r="P66" s="250">
        <v>0</v>
      </c>
      <c r="Q66" s="251">
        <f>$E66-P66</f>
        <v>0</v>
      </c>
      <c r="R66" s="263">
        <f>IFERROR($E66/P66-1,0)</f>
        <v>0</v>
      </c>
      <c r="S66" s="253">
        <f>R66</f>
        <v>0</v>
      </c>
      <c r="T66"/>
      <c r="U66" s="250">
        <v>0</v>
      </c>
      <c r="V66" s="252">
        <f>IFERROR(U66/$E66,0)</f>
        <v>0</v>
      </c>
      <c r="W66" s="250">
        <v>-0.18005250978964998</v>
      </c>
      <c r="X66" s="252">
        <f>IFERROR(W66/$F66,0)</f>
        <v>-4.2869645188011898</v>
      </c>
      <c r="Y66" s="251">
        <f>$U66-W66</f>
        <v>0.18005250978964998</v>
      </c>
      <c r="Z66" s="252">
        <f>IFERROR($U66/W66-1,0)</f>
        <v>-1</v>
      </c>
      <c r="AA66" s="253">
        <f>Z66</f>
        <v>-1</v>
      </c>
      <c r="AB66"/>
      <c r="AC66" s="250">
        <v>0</v>
      </c>
      <c r="AD66" s="252">
        <f>IFERROR(AC66/$P66,0)</f>
        <v>0</v>
      </c>
      <c r="AE66" s="251">
        <f>$U66-AC66</f>
        <v>0</v>
      </c>
      <c r="AF66" s="252">
        <f>IFERROR($U66/AC66-1,0)</f>
        <v>0</v>
      </c>
      <c r="AG66" s="253">
        <f>AF66</f>
        <v>0</v>
      </c>
      <c r="AH66"/>
      <c r="AI66" s="250">
        <v>0</v>
      </c>
      <c r="AJ66" s="252">
        <f>IFERROR(AI66/$P66,0)</f>
        <v>0</v>
      </c>
      <c r="AK66" s="251">
        <f>$U66-AI66</f>
        <v>0</v>
      </c>
      <c r="AL66" s="252">
        <f>IFERROR($U66/AI66-1,0)</f>
        <v>0</v>
      </c>
      <c r="AM66" s="253">
        <f>AL66</f>
        <v>0</v>
      </c>
      <c r="AN66"/>
      <c r="AO66" s="250">
        <v>0</v>
      </c>
      <c r="AP66" s="252">
        <f>IFERROR(AO66/$E66,0)</f>
        <v>0</v>
      </c>
      <c r="AQ66" s="250">
        <v>0</v>
      </c>
      <c r="AR66" s="252">
        <f>IFERROR(AQ66/$F66,0)</f>
        <v>0</v>
      </c>
      <c r="AS66" s="251">
        <f>$AO66-AQ66</f>
        <v>0</v>
      </c>
      <c r="AT66" s="252">
        <f>IFERROR($AO66/AQ66-1,0)</f>
        <v>0</v>
      </c>
      <c r="AU66" s="253">
        <f>AT66</f>
        <v>0</v>
      </c>
      <c r="AV66"/>
      <c r="AW66" s="250">
        <v>0</v>
      </c>
      <c r="AX66" s="252">
        <f>IFERROR(AW66/$P66,0)</f>
        <v>0</v>
      </c>
      <c r="AY66" s="251">
        <f>$AO66-AW66</f>
        <v>0</v>
      </c>
      <c r="AZ66" s="252">
        <f>IFERROR($AO66/AW66-1,0)</f>
        <v>0</v>
      </c>
      <c r="BA66" s="253">
        <f>AZ66</f>
        <v>0</v>
      </c>
      <c r="BB66"/>
      <c r="BC66" s="250">
        <v>-4.4438279999999997E-2</v>
      </c>
      <c r="BD66" s="252">
        <f>IFERROR(BC66/$P66,0)</f>
        <v>0</v>
      </c>
      <c r="BE66" s="251">
        <f>$AO66-BC66</f>
        <v>4.4438279999999997E-2</v>
      </c>
      <c r="BF66" s="252">
        <f>IFERROR($AO66/BC66-1,0)</f>
        <v>-1</v>
      </c>
      <c r="BG66" s="253">
        <f>BF66</f>
        <v>-1</v>
      </c>
      <c r="BH66"/>
      <c r="BI66" s="250">
        <f>SUM(U66,AO66)</f>
        <v>0</v>
      </c>
      <c r="BJ66" s="252">
        <f>IFERROR(BI66/$E66,0)</f>
        <v>0</v>
      </c>
      <c r="BK66" s="250">
        <f>SUM(W66,AQ66)</f>
        <v>-0.18005250978964998</v>
      </c>
      <c r="BL66" s="252">
        <f>IFERROR(BK66/$F66,0)</f>
        <v>-4.2869645188011898</v>
      </c>
      <c r="BM66" s="251">
        <f>$BI66-BK66</f>
        <v>0.18005250978964998</v>
      </c>
      <c r="BN66" s="252">
        <f>BM66/ABS(BK66)</f>
        <v>1</v>
      </c>
      <c r="BO66" s="253">
        <f>BN66</f>
        <v>1</v>
      </c>
      <c r="BP66"/>
      <c r="BQ66" s="250">
        <f>SUM(AC66,AW66)</f>
        <v>0</v>
      </c>
      <c r="BR66" s="252">
        <f t="shared" si="91"/>
        <v>0</v>
      </c>
      <c r="BS66" s="251">
        <f t="shared" si="92"/>
        <v>0</v>
      </c>
      <c r="BT66" s="252" t="str">
        <f t="shared" si="93"/>
        <v/>
      </c>
      <c r="BU66" s="253" t="str">
        <f t="shared" si="94"/>
        <v/>
      </c>
      <c r="BV66"/>
      <c r="BW66" s="250">
        <f>SUM(AI66,BC66)</f>
        <v>-4.4438279999999997E-2</v>
      </c>
      <c r="BX66" s="252">
        <f t="shared" si="44"/>
        <v>0</v>
      </c>
      <c r="BY66" s="251">
        <f t="shared" si="45"/>
        <v>4.4438279999999997E-2</v>
      </c>
      <c r="BZ66" s="252">
        <f t="shared" si="46"/>
        <v>1</v>
      </c>
      <c r="CA66" s="253">
        <f t="shared" si="47"/>
        <v>1</v>
      </c>
      <c r="CC66" s="250">
        <v>0</v>
      </c>
      <c r="CD66" s="250">
        <f>$E66-CC66</f>
        <v>0</v>
      </c>
    </row>
    <row r="67" spans="2:82" hidden="1" outlineLevel="1" x14ac:dyDescent="0.35">
      <c r="B67" s="255" t="s">
        <v>220</v>
      </c>
      <c r="C67" s="255" t="s">
        <v>221</v>
      </c>
      <c r="D67"/>
      <c r="E67" s="250">
        <v>0</v>
      </c>
      <c r="F67" s="250">
        <v>4.2000000000000003E-2</v>
      </c>
      <c r="G67" s="251">
        <f>$E67-F67</f>
        <v>-4.2000000000000003E-2</v>
      </c>
      <c r="H67" s="252">
        <f>IFERROR($E67/F67-1,0)</f>
        <v>-1</v>
      </c>
      <c r="I67" s="253">
        <f>H67</f>
        <v>-1</v>
      </c>
      <c r="J67"/>
      <c r="K67" s="250">
        <v>0</v>
      </c>
      <c r="L67" s="251">
        <f>$E67-K67</f>
        <v>0</v>
      </c>
      <c r="M67" s="263">
        <f>IFERROR($E67/K67-1,0)</f>
        <v>0</v>
      </c>
      <c r="N67" s="253">
        <f>M67</f>
        <v>0</v>
      </c>
      <c r="O67"/>
      <c r="P67" s="250">
        <v>0</v>
      </c>
      <c r="Q67" s="251">
        <f>$E67-P67</f>
        <v>0</v>
      </c>
      <c r="R67" s="263">
        <f>IFERROR($E67/P67-1,0)</f>
        <v>0</v>
      </c>
      <c r="S67" s="253">
        <f>R67</f>
        <v>0</v>
      </c>
      <c r="T67"/>
      <c r="U67" s="250">
        <v>-6.3866000000000216E-4</v>
      </c>
      <c r="V67" s="252">
        <f>IFERROR(U67/$E67,0)</f>
        <v>0</v>
      </c>
      <c r="W67" s="250">
        <v>-0.24013554586921634</v>
      </c>
      <c r="X67" s="252">
        <f>IFERROR(W67/$F67,0)</f>
        <v>-5.7175129968861027</v>
      </c>
      <c r="Y67" s="251">
        <f>$U67-W67</f>
        <v>0.23949688586921633</v>
      </c>
      <c r="Z67" s="252">
        <f>IFERROR($U67/W67-1,0)</f>
        <v>-0.99734041873022905</v>
      </c>
      <c r="AA67" s="253">
        <f>Z67</f>
        <v>-0.99734041873022905</v>
      </c>
      <c r="AB67"/>
      <c r="AC67" s="250">
        <v>-0.30227313585771914</v>
      </c>
      <c r="AD67" s="252">
        <f>IFERROR(AC67/$P67,0)</f>
        <v>0</v>
      </c>
      <c r="AE67" s="251">
        <f>$U67-AC67</f>
        <v>0.30163447585771913</v>
      </c>
      <c r="AF67" s="252">
        <f>IFERROR($U67/AC67-1,0)</f>
        <v>-0.99788714270559387</v>
      </c>
      <c r="AG67" s="253">
        <f>AF67</f>
        <v>-0.99788714270559387</v>
      </c>
      <c r="AH67"/>
      <c r="AI67" s="250">
        <v>-7.0928999999999784E-3</v>
      </c>
      <c r="AJ67" s="252">
        <f>IFERROR(AI67/$P67,0)</f>
        <v>0</v>
      </c>
      <c r="AK67" s="251">
        <f>$U67-AI67</f>
        <v>6.4542399999999766E-3</v>
      </c>
      <c r="AL67" s="252">
        <f>IFERROR($U67/AI67-1,0)</f>
        <v>-0.90995784516911216</v>
      </c>
      <c r="AM67" s="253">
        <f>AL67</f>
        <v>-0.90995784516911216</v>
      </c>
      <c r="AN67"/>
      <c r="AO67" s="250">
        <v>-5.7829410000000005E-2</v>
      </c>
      <c r="AP67" s="252">
        <f>IFERROR(AO67/$E67,0)</f>
        <v>0</v>
      </c>
      <c r="AQ67" s="250">
        <v>0</v>
      </c>
      <c r="AR67" s="252">
        <f>IFERROR(AQ67/$F67,0)</f>
        <v>0</v>
      </c>
      <c r="AS67" s="251">
        <f>$AO67-AQ67</f>
        <v>-5.7829410000000005E-2</v>
      </c>
      <c r="AT67" s="252">
        <f>IFERROR($AO67/AQ67-1,0)</f>
        <v>0</v>
      </c>
      <c r="AU67" s="253">
        <f>AT67</f>
        <v>0</v>
      </c>
      <c r="AV67"/>
      <c r="AW67" s="250">
        <v>0</v>
      </c>
      <c r="AX67" s="252">
        <f>IFERROR(AW67/$P67,0)</f>
        <v>0</v>
      </c>
      <c r="AY67" s="251">
        <f>$AO67-AW67</f>
        <v>-5.7829410000000005E-2</v>
      </c>
      <c r="AZ67" s="252">
        <f>IFERROR($AO67/AW67-1,0)</f>
        <v>0</v>
      </c>
      <c r="BA67" s="253">
        <f>AZ67</f>
        <v>0</v>
      </c>
      <c r="BB67"/>
      <c r="BC67" s="250">
        <v>-0.27708725000000001</v>
      </c>
      <c r="BD67" s="252">
        <f>IFERROR(BC67/$P67,0)</f>
        <v>0</v>
      </c>
      <c r="BE67" s="251">
        <f>$AO67-BC67</f>
        <v>0.21925784000000001</v>
      </c>
      <c r="BF67" s="252">
        <f>IFERROR($AO67/BC67-1,0)</f>
        <v>-0.79129530499869627</v>
      </c>
      <c r="BG67" s="253">
        <f>BF67</f>
        <v>-0.79129530499869627</v>
      </c>
      <c r="BH67"/>
      <c r="BI67" s="250">
        <f>SUM(U67,AO67)</f>
        <v>-5.8468070000000004E-2</v>
      </c>
      <c r="BJ67" s="252">
        <f>IFERROR(BI67/$E67,0)</f>
        <v>0</v>
      </c>
      <c r="BK67" s="250">
        <f>SUM(W67,AQ67)</f>
        <v>-0.24013554586921634</v>
      </c>
      <c r="BL67" s="252">
        <f>IFERROR(BK67/$F67,0)</f>
        <v>-5.7175129968861027</v>
      </c>
      <c r="BM67" s="251">
        <f>$BI67-BK67</f>
        <v>0.18166747586921633</v>
      </c>
      <c r="BN67" s="252">
        <f>BM67/ABS(BK67)</f>
        <v>0.7565205526388703</v>
      </c>
      <c r="BO67" s="253">
        <f>BN67</f>
        <v>0.7565205526388703</v>
      </c>
      <c r="BP67"/>
      <c r="BQ67" s="250">
        <f>SUM(AC67,AW67)</f>
        <v>-0.30227313585771914</v>
      </c>
      <c r="BR67" s="252">
        <f t="shared" si="91"/>
        <v>0</v>
      </c>
      <c r="BS67" s="251">
        <f t="shared" si="92"/>
        <v>0.24380506585771913</v>
      </c>
      <c r="BT67" s="252">
        <f t="shared" si="93"/>
        <v>0.80657205995467263</v>
      </c>
      <c r="BU67" s="253">
        <f t="shared" si="94"/>
        <v>0.80657205995467263</v>
      </c>
      <c r="BV67"/>
      <c r="BW67" s="250">
        <f>SUM(AI67,BC67)</f>
        <v>-0.28418014999999996</v>
      </c>
      <c r="BX67" s="252">
        <f t="shared" si="44"/>
        <v>0</v>
      </c>
      <c r="BY67" s="251">
        <f t="shared" si="45"/>
        <v>0.22571207999999995</v>
      </c>
      <c r="BZ67" s="252">
        <f t="shared" si="46"/>
        <v>0.79425702322980685</v>
      </c>
      <c r="CA67" s="253">
        <f t="shared" si="47"/>
        <v>0.79425702322980685</v>
      </c>
      <c r="CC67" s="250">
        <v>0</v>
      </c>
      <c r="CD67" s="250">
        <f>$E67-CC67</f>
        <v>0</v>
      </c>
    </row>
    <row r="68" spans="2:82" collapsed="1" x14ac:dyDescent="0.35">
      <c r="B68" s="256" t="s">
        <v>222</v>
      </c>
      <c r="C68" s="256" t="s">
        <v>223</v>
      </c>
      <c r="D68"/>
      <c r="E68" s="257">
        <f>SUM(E69:E71)</f>
        <v>4.4999177786979692</v>
      </c>
      <c r="F68" s="257">
        <f>SUM(F69:F71)</f>
        <v>4.8297130758457918</v>
      </c>
      <c r="G68" s="258">
        <f>$E68-F68</f>
        <v>-0.32979529714782263</v>
      </c>
      <c r="H68" s="259">
        <f>IFERROR($E68/F68-1,0)</f>
        <v>-6.8284656245354292E-2</v>
      </c>
      <c r="I68" s="260">
        <f>H68</f>
        <v>-6.8284656245354292E-2</v>
      </c>
      <c r="J68"/>
      <c r="K68" s="257">
        <f>SUM(K69:K71)</f>
        <v>4.5339763843202352</v>
      </c>
      <c r="L68" s="262">
        <f>$E68-K68</f>
        <v>-3.4058605622266036E-2</v>
      </c>
      <c r="M68" s="259">
        <f>IFERROR($E68/K68-1,0)</f>
        <v>-7.5118621570351429E-3</v>
      </c>
      <c r="N68" s="260">
        <f>M68</f>
        <v>-7.5118621570351429E-3</v>
      </c>
      <c r="O68"/>
      <c r="P68" s="257">
        <f>SUM(P69:P71)</f>
        <v>4.4538960100000002</v>
      </c>
      <c r="Q68" s="262">
        <f>$E68-P68</f>
        <v>4.6021768697968923E-2</v>
      </c>
      <c r="R68" s="259">
        <f>IFERROR($E68/P68-1,0)</f>
        <v>1.0332923937747873E-2</v>
      </c>
      <c r="S68" s="260">
        <f>R68</f>
        <v>1.0332923937747873E-2</v>
      </c>
      <c r="T68"/>
      <c r="U68" s="257">
        <f>SUM(U69:U71)</f>
        <v>1.0396648301395268</v>
      </c>
      <c r="V68" s="259">
        <f>IFERROR(U68/$E68,0)</f>
        <v>0.23104085035979238</v>
      </c>
      <c r="W68" s="257">
        <f>SUM(W69:W71)</f>
        <v>1.3531152002339488</v>
      </c>
      <c r="X68" s="259">
        <f>IFERROR(W68/$F68,0)</f>
        <v>0.28016471765188405</v>
      </c>
      <c r="Y68" s="258">
        <f>$U68-W68</f>
        <v>-0.313450370094422</v>
      </c>
      <c r="Z68" s="259">
        <f>IFERROR($U68/W68-1,0)</f>
        <v>-0.23165091194026022</v>
      </c>
      <c r="AA68" s="260">
        <f>Z68</f>
        <v>-0.23165091194026022</v>
      </c>
      <c r="AB68"/>
      <c r="AC68" s="257">
        <f>SUM(AC69:AC71)</f>
        <v>1.1293669255670682</v>
      </c>
      <c r="AD68" s="259">
        <f>IFERROR(AC68/$P68,0)</f>
        <v>0.25356831929425044</v>
      </c>
      <c r="AE68" s="258">
        <f>$U68-AC68</f>
        <v>-8.9702095427541373E-2</v>
      </c>
      <c r="AF68" s="259">
        <f>IFERROR($U68/AC68-1,0)</f>
        <v>-7.9426883678660021E-2</v>
      </c>
      <c r="AG68" s="260">
        <f>AF68</f>
        <v>-7.9426883678660021E-2</v>
      </c>
      <c r="AH68"/>
      <c r="AI68" s="257">
        <f>SUM(AI69:AI71)</f>
        <v>0.89725946000000012</v>
      </c>
      <c r="AJ68" s="259">
        <f>IFERROR(AI68/$P68,0)</f>
        <v>0.20145496392045312</v>
      </c>
      <c r="AK68" s="258">
        <f>$U68-AI68</f>
        <v>0.1424053701395267</v>
      </c>
      <c r="AL68" s="259">
        <f>IFERROR($U68/AI68-1,0)</f>
        <v>0.15871147253162055</v>
      </c>
      <c r="AM68" s="260">
        <f>AL68</f>
        <v>0.15871147253162055</v>
      </c>
      <c r="AN68"/>
      <c r="AO68" s="257">
        <f>SUM(AO69:AO71)</f>
        <v>0</v>
      </c>
      <c r="AP68" s="259">
        <f>IFERROR(AO68/$E68,0)</f>
        <v>0</v>
      </c>
      <c r="AQ68" s="257">
        <f>SUM(AQ69:AQ71)</f>
        <v>0</v>
      </c>
      <c r="AR68" s="259">
        <f>IFERROR(AQ68/$F68,0)</f>
        <v>0</v>
      </c>
      <c r="AS68" s="258">
        <f>$AO68-AQ68</f>
        <v>0</v>
      </c>
      <c r="AT68" s="259">
        <f>IFERROR($AO68/AQ68-1,0)</f>
        <v>0</v>
      </c>
      <c r="AU68" s="260">
        <f>AT68</f>
        <v>0</v>
      </c>
      <c r="AV68"/>
      <c r="AW68" s="257">
        <f>SUM(AW69:AW71)</f>
        <v>3.5527136788005008E-21</v>
      </c>
      <c r="AX68" s="259">
        <f>IFERROR(AW68/$P68,0)</f>
        <v>7.9766426311343105E-22</v>
      </c>
      <c r="AY68" s="257">
        <f>$AO68-AW68</f>
        <v>-3.5527136788005008E-21</v>
      </c>
      <c r="AZ68" s="259">
        <f>IFERROR($AO68/AW68-1,0)</f>
        <v>-1</v>
      </c>
      <c r="BA68" s="260">
        <f>AZ68</f>
        <v>-1</v>
      </c>
      <c r="BB68"/>
      <c r="BC68" s="257">
        <f>SUM(BC69:BC71)</f>
        <v>-2.069000000000001E-3</v>
      </c>
      <c r="BD68" s="259">
        <f>IFERROR(BC68/$P68,0)</f>
        <v>-4.6453711432746292E-4</v>
      </c>
      <c r="BE68" s="257">
        <f>$AO68-BC68</f>
        <v>2.069000000000001E-3</v>
      </c>
      <c r="BF68" s="259">
        <f>IFERROR($AO68/BC68-1,0)</f>
        <v>-1</v>
      </c>
      <c r="BG68" s="260">
        <f>BF68</f>
        <v>-1</v>
      </c>
      <c r="BH68"/>
      <c r="BI68" s="257">
        <f>SUM(BI69:BI71)</f>
        <v>1.0396648301395268</v>
      </c>
      <c r="BJ68" s="259">
        <f>IFERROR(BI68/$E68,0)</f>
        <v>0.23104085035979238</v>
      </c>
      <c r="BK68" s="257">
        <f>SUM(BK69:BK71)</f>
        <v>1.3531152002339488</v>
      </c>
      <c r="BL68" s="259">
        <f>IFERROR(BK68/$F68,0)</f>
        <v>0.28016471765188405</v>
      </c>
      <c r="BM68" s="258">
        <f>$BI68-BK68</f>
        <v>-0.313450370094422</v>
      </c>
      <c r="BN68" s="259">
        <f>BM68/ABS(BK68)</f>
        <v>-0.23165091194026019</v>
      </c>
      <c r="BO68" s="260">
        <f>BN68</f>
        <v>-0.23165091194026019</v>
      </c>
      <c r="BP68"/>
      <c r="BQ68" s="257">
        <f>SUM(BQ69:BQ71)</f>
        <v>1.1293669255670682</v>
      </c>
      <c r="BR68" s="259">
        <f t="shared" si="91"/>
        <v>0.25356831929425044</v>
      </c>
      <c r="BS68" s="258">
        <f t="shared" si="92"/>
        <v>-8.9702095427541373E-2</v>
      </c>
      <c r="BT68" s="259">
        <f t="shared" si="93"/>
        <v>-7.9426883678659979E-2</v>
      </c>
      <c r="BU68" s="260">
        <f t="shared" si="94"/>
        <v>-7.9426883678659979E-2</v>
      </c>
      <c r="BV68"/>
      <c r="BW68" s="257">
        <f>SUM(BW69:BW71)</f>
        <v>0.89519046000000013</v>
      </c>
      <c r="BX68" s="259">
        <f t="shared" si="44"/>
        <v>0.20099042680612564</v>
      </c>
      <c r="BY68" s="258">
        <f t="shared" si="45"/>
        <v>0.14447437013952669</v>
      </c>
      <c r="BZ68" s="259">
        <f t="shared" si="46"/>
        <v>0.16138953283698607</v>
      </c>
      <c r="CA68" s="260">
        <f t="shared" si="47"/>
        <v>0.16138953283698607</v>
      </c>
      <c r="CC68" s="257">
        <f>SUM(CC69:CC71)</f>
        <v>4.4999177786979692</v>
      </c>
      <c r="CD68" s="257">
        <f t="shared" si="48"/>
        <v>0</v>
      </c>
    </row>
    <row r="69" spans="2:82" hidden="1" outlineLevel="1" x14ac:dyDescent="0.35">
      <c r="B69" s="255" t="s">
        <v>224</v>
      </c>
      <c r="C69" s="255" t="s">
        <v>225</v>
      </c>
      <c r="D69"/>
      <c r="E69" s="250">
        <v>2.6589272256907321</v>
      </c>
      <c r="F69" s="250">
        <v>2.6968144767150397</v>
      </c>
      <c r="G69" s="251">
        <f t="shared" si="0"/>
        <v>-3.7887251024307567E-2</v>
      </c>
      <c r="H69" s="252">
        <f t="shared" si="1"/>
        <v>-1.404889040437729E-2</v>
      </c>
      <c r="I69" s="253">
        <f t="shared" si="2"/>
        <v>-1.404889040437729E-2</v>
      </c>
      <c r="J69"/>
      <c r="K69" s="250">
        <v>2.7187415296562798</v>
      </c>
      <c r="L69" s="251">
        <f t="shared" ref="L69:L70" si="106">$E69-K69</f>
        <v>-5.9814303965547655E-2</v>
      </c>
      <c r="M69" s="252">
        <f t="shared" ref="M69:M70" si="107">IFERROR($E69/K69-1,0)</f>
        <v>-2.2000732071470464E-2</v>
      </c>
      <c r="N69" s="253">
        <f t="shared" ref="N69:N70" si="108">M69</f>
        <v>-2.2000732071470464E-2</v>
      </c>
      <c r="O69"/>
      <c r="P69" s="250">
        <v>2.4920595600000004</v>
      </c>
      <c r="Q69" s="251">
        <f t="shared" si="6"/>
        <v>0.16686766569073175</v>
      </c>
      <c r="R69" s="252">
        <f t="shared" si="7"/>
        <v>6.6959742202442163E-2</v>
      </c>
      <c r="S69" s="253">
        <f t="shared" si="8"/>
        <v>6.6959742202442163E-2</v>
      </c>
      <c r="T69"/>
      <c r="U69" s="250">
        <v>0.66134940424082134</v>
      </c>
      <c r="V69" s="252">
        <f t="shared" si="9"/>
        <v>0.24872790719912125</v>
      </c>
      <c r="W69" s="250">
        <v>0.78900362764193077</v>
      </c>
      <c r="X69" s="252">
        <f t="shared" si="10"/>
        <v>0.29256874525644327</v>
      </c>
      <c r="Y69" s="251">
        <f t="shared" si="11"/>
        <v>-0.12765422340110943</v>
      </c>
      <c r="Z69" s="252">
        <f t="shared" si="12"/>
        <v>-0.16179168121523779</v>
      </c>
      <c r="AA69" s="253">
        <f t="shared" si="13"/>
        <v>-0.16179168121523779</v>
      </c>
      <c r="AB69"/>
      <c r="AC69" s="250">
        <v>0.69681457995663842</v>
      </c>
      <c r="AD69" s="252">
        <f t="shared" ref="AD69:AD70" si="109">IFERROR(AC69/$P69,0)</f>
        <v>0.27961393505243443</v>
      </c>
      <c r="AE69" s="251">
        <f t="shared" ref="AE69:AE70" si="110">$U69-AC69</f>
        <v>-3.5465175715817088E-2</v>
      </c>
      <c r="AF69" s="252">
        <f t="shared" ref="AF69:AF70" si="111">IFERROR($U69/AC69-1,0)</f>
        <v>-5.0896144736271243E-2</v>
      </c>
      <c r="AG69" s="253">
        <f t="shared" ref="AG69:AG70" si="112">AF69</f>
        <v>-5.0896144736271243E-2</v>
      </c>
      <c r="AH69"/>
      <c r="AI69" s="250">
        <v>0.67232725999999987</v>
      </c>
      <c r="AJ69" s="252">
        <f t="shared" si="18"/>
        <v>0.2697877975275999</v>
      </c>
      <c r="AK69" s="251">
        <f t="shared" si="19"/>
        <v>-1.0977855759178534E-2</v>
      </c>
      <c r="AL69" s="252">
        <f t="shared" si="20"/>
        <v>-1.6328143171196907E-2</v>
      </c>
      <c r="AM69" s="253">
        <f t="shared" si="21"/>
        <v>-1.6328143171196907E-2</v>
      </c>
      <c r="AN69"/>
      <c r="AO69" s="250">
        <v>0</v>
      </c>
      <c r="AP69" s="252">
        <f t="shared" si="22"/>
        <v>0</v>
      </c>
      <c r="AQ69" s="250">
        <v>0</v>
      </c>
      <c r="AR69" s="252">
        <f t="shared" si="23"/>
        <v>0</v>
      </c>
      <c r="AS69" s="251">
        <f t="shared" si="24"/>
        <v>0</v>
      </c>
      <c r="AT69" s="252">
        <f t="shared" si="25"/>
        <v>0</v>
      </c>
      <c r="AU69" s="253">
        <f t="shared" si="26"/>
        <v>0</v>
      </c>
      <c r="AV69"/>
      <c r="AW69" s="250">
        <v>3.5527136788005008E-21</v>
      </c>
      <c r="AX69" s="252">
        <f t="shared" ref="AX69:AX70" si="113">IFERROR(AW69/$P69,0)</f>
        <v>1.4256134708114682E-21</v>
      </c>
      <c r="AY69" s="251">
        <f t="shared" ref="AY69:AY70" si="114">$AO69-AW69</f>
        <v>-3.5527136788005008E-21</v>
      </c>
      <c r="AZ69" s="252">
        <f t="shared" ref="AZ69:AZ70" si="115">IFERROR($AO69/AW69-1,0)</f>
        <v>-1</v>
      </c>
      <c r="BA69" s="253">
        <f t="shared" ref="BA69:BA70" si="116">AZ69</f>
        <v>-1</v>
      </c>
      <c r="BB69"/>
      <c r="BC69" s="250">
        <v>-1.3699999999999999E-3</v>
      </c>
      <c r="BD69" s="252">
        <f t="shared" si="31"/>
        <v>-5.4974609033822599E-4</v>
      </c>
      <c r="BE69" s="251">
        <f t="shared" si="32"/>
        <v>1.3699999999999999E-3</v>
      </c>
      <c r="BF69" s="252">
        <f t="shared" si="33"/>
        <v>-1</v>
      </c>
      <c r="BG69" s="253">
        <f t="shared" si="34"/>
        <v>-1</v>
      </c>
      <c r="BH69"/>
      <c r="BI69" s="250">
        <f t="shared" si="102"/>
        <v>0.66134940424082134</v>
      </c>
      <c r="BJ69" s="252">
        <f t="shared" si="35"/>
        <v>0.24872790719912125</v>
      </c>
      <c r="BK69" s="250">
        <f t="shared" si="103"/>
        <v>0.78900362764193077</v>
      </c>
      <c r="BL69" s="252">
        <f t="shared" si="36"/>
        <v>0.29256874525644327</v>
      </c>
      <c r="BM69" s="251">
        <f t="shared" si="37"/>
        <v>-0.12765422340110943</v>
      </c>
      <c r="BN69" s="252">
        <f t="shared" si="99"/>
        <v>-0.16179168121523779</v>
      </c>
      <c r="BO69" s="253">
        <f t="shared" si="39"/>
        <v>-0.16179168121523779</v>
      </c>
      <c r="BP69"/>
      <c r="BQ69" s="250">
        <f t="shared" ref="BQ69:BQ70" si="117">SUM(AC69,AW69)</f>
        <v>0.69681457995663842</v>
      </c>
      <c r="BR69" s="252">
        <f t="shared" si="91"/>
        <v>0.27961393505243443</v>
      </c>
      <c r="BS69" s="251">
        <f t="shared" si="92"/>
        <v>-3.5465175715817088E-2</v>
      </c>
      <c r="BT69" s="252">
        <f t="shared" si="93"/>
        <v>-5.0896144736271194E-2</v>
      </c>
      <c r="BU69" s="253">
        <f t="shared" si="94"/>
        <v>-5.0896144736271194E-2</v>
      </c>
      <c r="BV69"/>
      <c r="BW69" s="250">
        <f t="shared" ref="BW69:BW70" si="118">SUM(AI69,BC69)</f>
        <v>0.67095725999999989</v>
      </c>
      <c r="BX69" s="252">
        <f t="shared" si="44"/>
        <v>0.26923805143726171</v>
      </c>
      <c r="BY69" s="251">
        <f t="shared" si="45"/>
        <v>-9.6078557591785518E-3</v>
      </c>
      <c r="BZ69" s="252">
        <f t="shared" si="46"/>
        <v>-1.431962411313435E-2</v>
      </c>
      <c r="CA69" s="253">
        <f t="shared" si="47"/>
        <v>-1.431962411313435E-2</v>
      </c>
      <c r="CC69" s="250">
        <v>2.6589272256907321</v>
      </c>
      <c r="CD69" s="250">
        <f t="shared" si="48"/>
        <v>0</v>
      </c>
    </row>
    <row r="70" spans="2:82" hidden="1" outlineLevel="1" x14ac:dyDescent="0.35">
      <c r="B70" s="255" t="s">
        <v>226</v>
      </c>
      <c r="C70" s="255" t="s">
        <v>227</v>
      </c>
      <c r="D70"/>
      <c r="E70" s="250">
        <v>0.96448918353949653</v>
      </c>
      <c r="F70" s="250">
        <v>1.0435929624539739</v>
      </c>
      <c r="G70" s="251">
        <f t="shared" si="0"/>
        <v>-7.9103778914477396E-2</v>
      </c>
      <c r="H70" s="252">
        <f t="shared" si="1"/>
        <v>-7.5799456071903304E-2</v>
      </c>
      <c r="I70" s="253">
        <f t="shared" si="2"/>
        <v>-7.5799456071903304E-2</v>
      </c>
      <c r="J70"/>
      <c r="K70" s="250">
        <v>0.84977748430906597</v>
      </c>
      <c r="L70" s="251">
        <f t="shared" si="106"/>
        <v>0.11471169923043056</v>
      </c>
      <c r="M70" s="252">
        <f t="shared" si="107"/>
        <v>0.13499027845354128</v>
      </c>
      <c r="N70" s="253">
        <f t="shared" si="108"/>
        <v>0.13499027845354128</v>
      </c>
      <c r="O70"/>
      <c r="P70" s="250">
        <v>1.1345422100000002</v>
      </c>
      <c r="Q70" s="251">
        <f t="shared" si="6"/>
        <v>-0.17005302646050369</v>
      </c>
      <c r="R70" s="252">
        <f t="shared" si="7"/>
        <v>-0.14988691029882761</v>
      </c>
      <c r="S70" s="253">
        <f t="shared" si="8"/>
        <v>-0.14988691029882761</v>
      </c>
      <c r="T70"/>
      <c r="U70" s="250">
        <v>-6.9784877578556006E-3</v>
      </c>
      <c r="V70" s="252">
        <f t="shared" si="9"/>
        <v>-7.2354235557581309E-3</v>
      </c>
      <c r="W70" s="250">
        <v>1.9994866621076943E-2</v>
      </c>
      <c r="X70" s="252">
        <f t="shared" si="10"/>
        <v>1.9159641105723522E-2</v>
      </c>
      <c r="Y70" s="251">
        <f t="shared" si="11"/>
        <v>-2.6973354378932543E-2</v>
      </c>
      <c r="Z70" s="252">
        <f t="shared" si="12"/>
        <v>-1.3490139689403806</v>
      </c>
      <c r="AA70" s="253">
        <f t="shared" si="13"/>
        <v>-1.3490139689403806</v>
      </c>
      <c r="AB70"/>
      <c r="AC70" s="250">
        <v>-4.4778574293793526E-2</v>
      </c>
      <c r="AD70" s="252">
        <f t="shared" si="109"/>
        <v>-3.9468407520768675E-2</v>
      </c>
      <c r="AE70" s="251">
        <f t="shared" si="110"/>
        <v>3.7800086535937923E-2</v>
      </c>
      <c r="AF70" s="252">
        <f t="shared" si="111"/>
        <v>-0.84415565104709367</v>
      </c>
      <c r="AG70" s="253">
        <f t="shared" si="112"/>
        <v>-0.84415565104709367</v>
      </c>
      <c r="AH70"/>
      <c r="AI70" s="250">
        <v>-1.7463679999999728E-2</v>
      </c>
      <c r="AJ70" s="252">
        <f t="shared" si="18"/>
        <v>-1.5392710686365494E-2</v>
      </c>
      <c r="AK70" s="251">
        <f t="shared" si="19"/>
        <v>1.0485192242144128E-2</v>
      </c>
      <c r="AL70" s="252">
        <f t="shared" si="20"/>
        <v>-0.60039992957637167</v>
      </c>
      <c r="AM70" s="253">
        <f t="shared" si="21"/>
        <v>-0.60039992957637167</v>
      </c>
      <c r="AN70"/>
      <c r="AO70" s="250">
        <v>0</v>
      </c>
      <c r="AP70" s="252">
        <f t="shared" si="22"/>
        <v>0</v>
      </c>
      <c r="AQ70" s="250">
        <v>0</v>
      </c>
      <c r="AR70" s="252">
        <f t="shared" si="23"/>
        <v>0</v>
      </c>
      <c r="AS70" s="251">
        <f t="shared" si="24"/>
        <v>0</v>
      </c>
      <c r="AT70" s="252">
        <f t="shared" si="25"/>
        <v>0</v>
      </c>
      <c r="AU70" s="253">
        <f t="shared" si="26"/>
        <v>0</v>
      </c>
      <c r="AV70"/>
      <c r="AW70" s="250">
        <v>0</v>
      </c>
      <c r="AX70" s="252">
        <f t="shared" si="113"/>
        <v>0</v>
      </c>
      <c r="AY70" s="251">
        <f t="shared" si="114"/>
        <v>0</v>
      </c>
      <c r="AZ70" s="252">
        <f t="shared" si="115"/>
        <v>0</v>
      </c>
      <c r="BA70" s="253">
        <f t="shared" si="116"/>
        <v>0</v>
      </c>
      <c r="BB70"/>
      <c r="BC70" s="250">
        <v>0</v>
      </c>
      <c r="BD70" s="252">
        <f t="shared" si="31"/>
        <v>0</v>
      </c>
      <c r="BE70" s="251">
        <f t="shared" si="32"/>
        <v>0</v>
      </c>
      <c r="BF70" s="252">
        <f t="shared" si="33"/>
        <v>0</v>
      </c>
      <c r="BG70" s="253">
        <f t="shared" si="34"/>
        <v>0</v>
      </c>
      <c r="BH70"/>
      <c r="BI70" s="250">
        <f t="shared" si="102"/>
        <v>-6.9784877578556006E-3</v>
      </c>
      <c r="BJ70" s="252">
        <f t="shared" si="35"/>
        <v>-7.2354235557581309E-3</v>
      </c>
      <c r="BK70" s="250">
        <f t="shared" si="103"/>
        <v>1.9994866621076943E-2</v>
      </c>
      <c r="BL70" s="252">
        <f t="shared" si="36"/>
        <v>1.9159641105723522E-2</v>
      </c>
      <c r="BM70" s="251">
        <f t="shared" si="37"/>
        <v>-2.6973354378932543E-2</v>
      </c>
      <c r="BN70" s="252">
        <f t="shared" si="99"/>
        <v>-1.3490139689403806</v>
      </c>
      <c r="BO70" s="253">
        <f t="shared" si="39"/>
        <v>-1.3490139689403806</v>
      </c>
      <c r="BP70"/>
      <c r="BQ70" s="250">
        <f t="shared" si="117"/>
        <v>-4.4778574293793526E-2</v>
      </c>
      <c r="BR70" s="252">
        <f t="shared" si="91"/>
        <v>-3.9468407520768675E-2</v>
      </c>
      <c r="BS70" s="251">
        <f t="shared" si="92"/>
        <v>3.7800086535937923E-2</v>
      </c>
      <c r="BT70" s="252">
        <f t="shared" si="93"/>
        <v>0.84415565104709356</v>
      </c>
      <c r="BU70" s="253">
        <f t="shared" si="94"/>
        <v>0.84415565104709356</v>
      </c>
      <c r="BV70"/>
      <c r="BW70" s="250">
        <f t="shared" si="118"/>
        <v>-1.7463679999999728E-2</v>
      </c>
      <c r="BX70" s="252">
        <f t="shared" si="44"/>
        <v>-1.5392710686365494E-2</v>
      </c>
      <c r="BY70" s="251">
        <f t="shared" si="45"/>
        <v>1.0485192242144128E-2</v>
      </c>
      <c r="BZ70" s="252">
        <f t="shared" si="46"/>
        <v>0.60039992957637178</v>
      </c>
      <c r="CA70" s="253">
        <f t="shared" si="47"/>
        <v>0.60039992957637178</v>
      </c>
      <c r="CC70" s="250">
        <v>0.96448918353949653</v>
      </c>
      <c r="CD70" s="250">
        <f t="shared" si="48"/>
        <v>0</v>
      </c>
    </row>
    <row r="71" spans="2:82" hidden="1" outlineLevel="1" x14ac:dyDescent="0.35">
      <c r="B71" s="255" t="s">
        <v>228</v>
      </c>
      <c r="C71" s="255" t="s">
        <v>229</v>
      </c>
      <c r="D71"/>
      <c r="E71" s="250">
        <v>0.87650136946774071</v>
      </c>
      <c r="F71" s="250">
        <v>1.0893056366767784</v>
      </c>
      <c r="G71" s="251">
        <f>$E71-F71</f>
        <v>-0.21280426720903767</v>
      </c>
      <c r="H71" s="252">
        <f>IFERROR($E71/F71-1,0)</f>
        <v>-0.19535772150987363</v>
      </c>
      <c r="I71" s="253">
        <f>H71</f>
        <v>-0.19535772150987363</v>
      </c>
      <c r="J71"/>
      <c r="K71" s="250">
        <v>0.96545737035488999</v>
      </c>
      <c r="L71" s="251">
        <f>$E71-K71</f>
        <v>-8.8956000887149278E-2</v>
      </c>
      <c r="M71" s="252">
        <f>IFERROR($E71/K71-1,0)</f>
        <v>-9.2138714373737884E-2</v>
      </c>
      <c r="N71" s="253">
        <f>M71</f>
        <v>-9.2138714373737884E-2</v>
      </c>
      <c r="O71"/>
      <c r="P71" s="250">
        <v>0.82729423999999985</v>
      </c>
      <c r="Q71" s="251">
        <f>$E71-P71</f>
        <v>4.9207129467740862E-2</v>
      </c>
      <c r="R71" s="252">
        <f>IFERROR($E71/P71-1,0)</f>
        <v>5.947959877943898E-2</v>
      </c>
      <c r="S71" s="253">
        <f>R71</f>
        <v>5.947959877943898E-2</v>
      </c>
      <c r="T71"/>
      <c r="U71" s="250">
        <v>0.38529391365656102</v>
      </c>
      <c r="V71" s="252">
        <f>IFERROR(U71/$E71,0)</f>
        <v>0.43958164479598294</v>
      </c>
      <c r="W71" s="250">
        <v>0.54411670597094119</v>
      </c>
      <c r="X71" s="252">
        <f>IFERROR(W71/$F71,0)</f>
        <v>0.49950784027053824</v>
      </c>
      <c r="Y71" s="251">
        <f>$U71-W71</f>
        <v>-0.15882279231438018</v>
      </c>
      <c r="Z71" s="252">
        <f>IFERROR($U71/W71-1,0)</f>
        <v>-0.29189104207151872</v>
      </c>
      <c r="AA71" s="253">
        <f>Z71</f>
        <v>-0.29189104207151872</v>
      </c>
      <c r="AB71"/>
      <c r="AC71" s="250">
        <v>0.47733091990422322</v>
      </c>
      <c r="AD71" s="252">
        <f>IFERROR(AC71/$P71,0)</f>
        <v>0.57697841568946895</v>
      </c>
      <c r="AE71" s="251">
        <f>$U71-AC71</f>
        <v>-9.2037006247662201E-2</v>
      </c>
      <c r="AF71" s="252">
        <f>IFERROR($U71/AC71-1,0)</f>
        <v>-0.19281593211294479</v>
      </c>
      <c r="AG71" s="253">
        <f>AF71</f>
        <v>-0.19281593211294479</v>
      </c>
      <c r="AH71"/>
      <c r="AI71" s="250">
        <v>0.24239588000000004</v>
      </c>
      <c r="AJ71" s="252">
        <f>IFERROR(AI71/$P71,0)</f>
        <v>0.29299838954517571</v>
      </c>
      <c r="AK71" s="251">
        <f>$U71-AI71</f>
        <v>0.14289803365656098</v>
      </c>
      <c r="AL71" s="252">
        <f>IFERROR($U71/AI71-1,0)</f>
        <v>0.589523360118831</v>
      </c>
      <c r="AM71" s="253">
        <f>AL71</f>
        <v>0.589523360118831</v>
      </c>
      <c r="AN71"/>
      <c r="AO71" s="250">
        <v>0</v>
      </c>
      <c r="AP71" s="252">
        <f>IFERROR(AO71/$E71,0)</f>
        <v>0</v>
      </c>
      <c r="AQ71" s="250">
        <v>0</v>
      </c>
      <c r="AR71" s="252">
        <f>IFERROR(AQ71/$F71,0)</f>
        <v>0</v>
      </c>
      <c r="AS71" s="251">
        <f>$AO71-AQ71</f>
        <v>0</v>
      </c>
      <c r="AT71" s="252">
        <f>IFERROR($AO71/AQ71-1,0)</f>
        <v>0</v>
      </c>
      <c r="AU71" s="253">
        <f>AT71</f>
        <v>0</v>
      </c>
      <c r="AV71"/>
      <c r="AW71" s="250">
        <v>0</v>
      </c>
      <c r="AX71" s="252">
        <f>IFERROR(AW71/$P71,0)</f>
        <v>0</v>
      </c>
      <c r="AY71" s="251">
        <f>$AO71-AW71</f>
        <v>0</v>
      </c>
      <c r="AZ71" s="252">
        <f>IFERROR($AO71/AW71-1,0)</f>
        <v>0</v>
      </c>
      <c r="BA71" s="253">
        <f>AZ71</f>
        <v>0</v>
      </c>
      <c r="BB71"/>
      <c r="BC71" s="250">
        <v>-6.9900000000000094E-4</v>
      </c>
      <c r="BD71" s="252">
        <f>IFERROR(BC71/$P71,0)</f>
        <v>-8.4492308323094463E-4</v>
      </c>
      <c r="BE71" s="251">
        <f>$AO71-BC71</f>
        <v>6.9900000000000094E-4</v>
      </c>
      <c r="BF71" s="252">
        <f>IFERROR($AO71/BC71-1,0)</f>
        <v>-1</v>
      </c>
      <c r="BG71" s="253">
        <f>BF71</f>
        <v>-1</v>
      </c>
      <c r="BH71"/>
      <c r="BI71" s="250">
        <f>SUM(U71,AO71)</f>
        <v>0.38529391365656102</v>
      </c>
      <c r="BJ71" s="252">
        <f>IFERROR(BI71/$E71,0)</f>
        <v>0.43958164479598294</v>
      </c>
      <c r="BK71" s="250">
        <f>SUM(W71,AQ71)</f>
        <v>0.54411670597094119</v>
      </c>
      <c r="BL71" s="252">
        <f>IFERROR(BK71/$F71,0)</f>
        <v>0.49950784027053824</v>
      </c>
      <c r="BM71" s="251">
        <f>$BI71-BK71</f>
        <v>-0.15882279231438018</v>
      </c>
      <c r="BN71" s="252">
        <f>BM71/ABS(BK71)</f>
        <v>-0.29189104207151872</v>
      </c>
      <c r="BO71" s="253">
        <f>BN71</f>
        <v>-0.29189104207151872</v>
      </c>
      <c r="BP71"/>
      <c r="BQ71" s="250">
        <f>SUM(AC71,AW71)</f>
        <v>0.47733091990422322</v>
      </c>
      <c r="BR71" s="252">
        <f t="shared" si="91"/>
        <v>0.57697841568946895</v>
      </c>
      <c r="BS71" s="251">
        <f t="shared" si="92"/>
        <v>-9.2037006247662201E-2</v>
      </c>
      <c r="BT71" s="252">
        <f t="shared" si="93"/>
        <v>-0.19281593211294482</v>
      </c>
      <c r="BU71" s="253">
        <f t="shared" si="94"/>
        <v>-0.19281593211294482</v>
      </c>
      <c r="BV71"/>
      <c r="BW71" s="250">
        <f>SUM(AI71,BC71)</f>
        <v>0.24169688000000003</v>
      </c>
      <c r="BX71" s="252">
        <f t="shared" si="44"/>
        <v>0.29215346646194473</v>
      </c>
      <c r="BY71" s="251">
        <f t="shared" si="45"/>
        <v>0.14359703365656099</v>
      </c>
      <c r="BZ71" s="252">
        <f t="shared" si="46"/>
        <v>0.59412034469191732</v>
      </c>
      <c r="CA71" s="253">
        <f t="shared" si="47"/>
        <v>0.59412034469191732</v>
      </c>
      <c r="CC71" s="250">
        <v>0.87650136946774093</v>
      </c>
      <c r="CD71" s="250">
        <f>$E71-CC71</f>
        <v>0</v>
      </c>
    </row>
    <row r="72" spans="2:82" collapsed="1" x14ac:dyDescent="0.35">
      <c r="B72" s="244" t="s">
        <v>230</v>
      </c>
      <c r="C72" s="244" t="s">
        <v>231</v>
      </c>
      <c r="D72"/>
      <c r="E72" s="245">
        <v>4.7940460073759734</v>
      </c>
      <c r="F72" s="245">
        <v>5.6527470870358316</v>
      </c>
      <c r="G72" s="246">
        <f>$E72-F72</f>
        <v>-0.8587010796598582</v>
      </c>
      <c r="H72" s="264">
        <f>IFERROR($E72/F72-1,0)</f>
        <v>-0.15190863246459885</v>
      </c>
      <c r="I72" s="265">
        <f>H72</f>
        <v>-0.15190863246459885</v>
      </c>
      <c r="J72"/>
      <c r="K72" s="245">
        <v>4.8850801012696499</v>
      </c>
      <c r="L72" s="246">
        <f>$E72-K72</f>
        <v>-9.1034093893676449E-2</v>
      </c>
      <c r="M72" s="264">
        <f>IFERROR($E72/K72-1,0)</f>
        <v>-1.8635128187563632E-2</v>
      </c>
      <c r="N72" s="265">
        <f>M72</f>
        <v>-1.8635128187563632E-2</v>
      </c>
      <c r="O72"/>
      <c r="P72" s="245">
        <v>3.8841165600000003</v>
      </c>
      <c r="Q72" s="246">
        <f>$E72-P72</f>
        <v>0.90992944737597314</v>
      </c>
      <c r="R72" s="264">
        <f>IFERROR($E72/P72-1,0)</f>
        <v>0.23426934627728402</v>
      </c>
      <c r="S72" s="265">
        <f>R72</f>
        <v>0.23426934627728402</v>
      </c>
      <c r="T72"/>
      <c r="U72" s="245">
        <v>-1.8737671763810966</v>
      </c>
      <c r="V72" s="264">
        <f>IFERROR(U72/$E72,0)</f>
        <v>-0.39085298169816796</v>
      </c>
      <c r="W72" s="245">
        <v>-0.82563681751519347</v>
      </c>
      <c r="X72" s="264">
        <f>IFERROR(W72/$F72,0)</f>
        <v>-0.14605939462756648</v>
      </c>
      <c r="Y72" s="246">
        <f>$U72-W72</f>
        <v>-1.0481303588659032</v>
      </c>
      <c r="Z72" s="264">
        <f>IFERROR($U72/W72-1,0)</f>
        <v>1.2694811285430778</v>
      </c>
      <c r="AA72" s="265">
        <f>Z72</f>
        <v>1.2694811285430778</v>
      </c>
      <c r="AB72"/>
      <c r="AC72" s="245">
        <v>-1.6101659168193936</v>
      </c>
      <c r="AD72" s="264">
        <f>IFERROR(AC72/$P72,0)</f>
        <v>-0.41455138947204856</v>
      </c>
      <c r="AE72" s="246">
        <f>$U72-AC72</f>
        <v>-0.26360125956170299</v>
      </c>
      <c r="AF72" s="264">
        <f>IFERROR($U72/AC72-1,0)</f>
        <v>0.16371061938908893</v>
      </c>
      <c r="AG72" s="265">
        <f>AF72</f>
        <v>0.16371061938908893</v>
      </c>
      <c r="AH72"/>
      <c r="AI72" s="245">
        <v>-1.0992521600000003</v>
      </c>
      <c r="AJ72" s="264">
        <f>IFERROR(AI72/$P72,0)</f>
        <v>-0.28301214523798951</v>
      </c>
      <c r="AK72" s="246">
        <f>$U72-AI72</f>
        <v>-0.77451501638109632</v>
      </c>
      <c r="AL72" s="264">
        <f>IFERROR($U72/AI72-1,0)</f>
        <v>0.70458357469235833</v>
      </c>
      <c r="AM72" s="265">
        <f>AL72</f>
        <v>0.70458357469235833</v>
      </c>
      <c r="AN72"/>
      <c r="AO72" s="245">
        <v>-0.14151078000000003</v>
      </c>
      <c r="AP72" s="264">
        <f>IFERROR(AO72/$E72,0)</f>
        <v>-2.9518027107431979E-2</v>
      </c>
      <c r="AQ72" s="245">
        <v>0</v>
      </c>
      <c r="AR72" s="264">
        <f>IFERROR(AQ72/$F72,0)</f>
        <v>0</v>
      </c>
      <c r="AS72" s="246">
        <f>$AO72-AQ72</f>
        <v>-0.14151078000000003</v>
      </c>
      <c r="AT72" s="264">
        <f>IFERROR($AO72/AQ72-1,0)</f>
        <v>0</v>
      </c>
      <c r="AU72" s="265">
        <f>AT72</f>
        <v>0</v>
      </c>
      <c r="AV72"/>
      <c r="AW72" s="245">
        <v>-0.20781352</v>
      </c>
      <c r="AX72" s="264">
        <f>IFERROR(AW72/$P72,0)</f>
        <v>-5.3503420093036547E-2</v>
      </c>
      <c r="AY72" s="246">
        <f>$AO72-AW72</f>
        <v>6.6302739999999971E-2</v>
      </c>
      <c r="AZ72" s="264">
        <f>IFERROR($AO72/AW72-1,0)</f>
        <v>-0.3190492129674718</v>
      </c>
      <c r="BA72" s="265">
        <f>AZ72</f>
        <v>-0.3190492129674718</v>
      </c>
      <c r="BB72"/>
      <c r="BC72" s="245">
        <v>-0.17602781000000006</v>
      </c>
      <c r="BD72" s="264">
        <f>IFERROR(BC72/$P72,0)</f>
        <v>-4.5319909245977945E-2</v>
      </c>
      <c r="BE72" s="246">
        <f>$AO72-BC72</f>
        <v>3.4517030000000032E-2</v>
      </c>
      <c r="BF72" s="264">
        <f>IFERROR($AO72/BC72-1,0)</f>
        <v>-0.19608850442438619</v>
      </c>
      <c r="BG72" s="265">
        <f>BF72</f>
        <v>-0.19608850442438619</v>
      </c>
      <c r="BH72"/>
      <c r="BI72" s="245">
        <f>SUM(U72,AO72)</f>
        <v>-2.0152779563810967</v>
      </c>
      <c r="BJ72" s="264">
        <f>IFERROR(BI72/$E72,0)</f>
        <v>-0.42037100880559997</v>
      </c>
      <c r="BK72" s="245">
        <f>SUM(W72,AQ72)</f>
        <v>-0.82563681751519347</v>
      </c>
      <c r="BL72" s="264">
        <f>IFERROR(BK72/$F72,0)</f>
        <v>-0.14605939462756648</v>
      </c>
      <c r="BM72" s="246">
        <f>$BI72-BK72</f>
        <v>-1.1896411388659032</v>
      </c>
      <c r="BN72" s="264">
        <f>BM72/ABS(BK72)</f>
        <v>-1.4408770462128904</v>
      </c>
      <c r="BO72" s="265">
        <f>BN72</f>
        <v>-1.4408770462128904</v>
      </c>
      <c r="BP72"/>
      <c r="BQ72" s="245">
        <f>SUM(AC72,AW72)</f>
        <v>-1.8179794368193936</v>
      </c>
      <c r="BR72" s="264">
        <f t="shared" si="91"/>
        <v>-0.46805480956508511</v>
      </c>
      <c r="BS72" s="246">
        <f t="shared" si="92"/>
        <v>-0.19729851956170319</v>
      </c>
      <c r="BT72" s="264">
        <f t="shared" si="93"/>
        <v>-0.10852626579037798</v>
      </c>
      <c r="BU72" s="265">
        <f t="shared" si="94"/>
        <v>-0.10852626579037798</v>
      </c>
      <c r="BV72"/>
      <c r="BW72" s="245">
        <f>SUM(AI72,BC72)</f>
        <v>-1.2752799700000004</v>
      </c>
      <c r="BX72" s="264">
        <f t="shared" si="44"/>
        <v>-0.32833205448396746</v>
      </c>
      <c r="BY72" s="246">
        <f t="shared" si="45"/>
        <v>-0.73999798638109637</v>
      </c>
      <c r="BZ72" s="264">
        <f t="shared" si="46"/>
        <v>-0.58026316086584195</v>
      </c>
      <c r="CA72" s="265">
        <f t="shared" si="47"/>
        <v>-0.58026316086584195</v>
      </c>
      <c r="CC72" s="245">
        <v>4.7940460073759787</v>
      </c>
      <c r="CD72" s="245">
        <f>$E72-CC72</f>
        <v>0</v>
      </c>
    </row>
    <row r="73" spans="2:82" x14ac:dyDescent="0.35">
      <c r="B73" s="244" t="s">
        <v>232</v>
      </c>
      <c r="C73" s="244" t="s">
        <v>233</v>
      </c>
      <c r="D73"/>
      <c r="E73" s="245">
        <v>1.0195065500000002</v>
      </c>
      <c r="F73" s="245">
        <v>1.1739768682728313</v>
      </c>
      <c r="G73" s="246">
        <f t="shared" si="0"/>
        <v>-0.15447031827283109</v>
      </c>
      <c r="H73" s="264">
        <f t="shared" si="1"/>
        <v>-0.1315786728405387</v>
      </c>
      <c r="I73" s="265">
        <f t="shared" si="2"/>
        <v>-0.1315786728405387</v>
      </c>
      <c r="J73"/>
      <c r="K73" s="245">
        <v>0.93485954890544498</v>
      </c>
      <c r="L73" s="246">
        <f t="shared" ref="L73:L75" si="119">$E73-K73</f>
        <v>8.4647001094555252E-2</v>
      </c>
      <c r="M73" s="264">
        <f t="shared" ref="M73:M75" si="120">IFERROR($E73/K73-1,0)</f>
        <v>9.0545153219713015E-2</v>
      </c>
      <c r="N73" s="265">
        <f t="shared" ref="N73:N75" si="121">M73</f>
        <v>9.0545153219713015E-2</v>
      </c>
      <c r="O73"/>
      <c r="P73" s="245">
        <v>0.94083104999999978</v>
      </c>
      <c r="Q73" s="246">
        <f t="shared" si="6"/>
        <v>7.8675500000000453E-2</v>
      </c>
      <c r="R73" s="264">
        <f t="shared" si="7"/>
        <v>8.362340932519241E-2</v>
      </c>
      <c r="S73" s="265">
        <f t="shared" si="8"/>
        <v>8.362340932519241E-2</v>
      </c>
      <c r="T73"/>
      <c r="U73" s="245">
        <v>-0.24344002068999965</v>
      </c>
      <c r="V73" s="264">
        <f t="shared" si="9"/>
        <v>-0.23878220369452222</v>
      </c>
      <c r="W73" s="245">
        <v>-0.53144037428030011</v>
      </c>
      <c r="X73" s="264">
        <f t="shared" si="10"/>
        <v>-0.45268385488903329</v>
      </c>
      <c r="Y73" s="246">
        <f t="shared" si="11"/>
        <v>0.28800035359030046</v>
      </c>
      <c r="Z73" s="264">
        <f t="shared" si="12"/>
        <v>-0.54192411327483958</v>
      </c>
      <c r="AA73" s="265">
        <f t="shared" si="13"/>
        <v>-0.54192411327483958</v>
      </c>
      <c r="AB73"/>
      <c r="AC73" s="245">
        <v>-0.14615197598444485</v>
      </c>
      <c r="AD73" s="264">
        <f t="shared" ref="AD73:AD75" si="122">IFERROR(AC73/$P73,0)</f>
        <v>-0.1553434869995467</v>
      </c>
      <c r="AE73" s="246">
        <f t="shared" ref="AE73:AE75" si="123">$U73-AC73</f>
        <v>-9.7288044705554799E-2</v>
      </c>
      <c r="AF73" s="264">
        <f t="shared" ref="AF73:AF75" si="124">IFERROR($U73/AC73-1,0)</f>
        <v>0.6656635604838439</v>
      </c>
      <c r="AG73" s="265">
        <f t="shared" ref="AG73:AG75" si="125">AF73</f>
        <v>0.6656635604838439</v>
      </c>
      <c r="AH73"/>
      <c r="AI73" s="245">
        <v>-0.3310745300000002</v>
      </c>
      <c r="AJ73" s="264">
        <f t="shared" si="18"/>
        <v>-0.35189583719627482</v>
      </c>
      <c r="AK73" s="246">
        <f t="shared" si="19"/>
        <v>8.7634509310000552E-2</v>
      </c>
      <c r="AL73" s="264">
        <f t="shared" si="20"/>
        <v>-0.26469722485145719</v>
      </c>
      <c r="AM73" s="265">
        <f t="shared" si="21"/>
        <v>-0.26469722485145719</v>
      </c>
      <c r="AN73"/>
      <c r="AO73" s="245">
        <v>0</v>
      </c>
      <c r="AP73" s="264">
        <f t="shared" si="22"/>
        <v>0</v>
      </c>
      <c r="AQ73" s="245">
        <v>0</v>
      </c>
      <c r="AR73" s="264">
        <f t="shared" si="23"/>
        <v>0</v>
      </c>
      <c r="AS73" s="246">
        <f t="shared" si="24"/>
        <v>0</v>
      </c>
      <c r="AT73" s="264">
        <f t="shared" si="25"/>
        <v>0</v>
      </c>
      <c r="AU73" s="265">
        <f t="shared" si="26"/>
        <v>0</v>
      </c>
      <c r="AV73"/>
      <c r="AW73" s="245">
        <v>0</v>
      </c>
      <c r="AX73" s="264">
        <f t="shared" ref="AX73:AX75" si="126">IFERROR(AW73/$P73,0)</f>
        <v>0</v>
      </c>
      <c r="AY73" s="246">
        <f t="shared" ref="AY73:AY75" si="127">$AO73-AW73</f>
        <v>0</v>
      </c>
      <c r="AZ73" s="264">
        <f t="shared" ref="AZ73:AZ75" si="128">IFERROR($AO73/AW73-1,0)</f>
        <v>0</v>
      </c>
      <c r="BA73" s="265">
        <f t="shared" ref="BA73:BA75" si="129">AZ73</f>
        <v>0</v>
      </c>
      <c r="BB73"/>
      <c r="BC73" s="245">
        <v>0</v>
      </c>
      <c r="BD73" s="264">
        <f t="shared" si="31"/>
        <v>0</v>
      </c>
      <c r="BE73" s="246">
        <f t="shared" si="32"/>
        <v>0</v>
      </c>
      <c r="BF73" s="264">
        <f t="shared" si="33"/>
        <v>0</v>
      </c>
      <c r="BG73" s="265">
        <f t="shared" si="34"/>
        <v>0</v>
      </c>
      <c r="BH73"/>
      <c r="BI73" s="245">
        <f t="shared" si="102"/>
        <v>-0.24344002068999965</v>
      </c>
      <c r="BJ73" s="264">
        <f t="shared" si="35"/>
        <v>-0.23878220369452222</v>
      </c>
      <c r="BK73" s="245">
        <f t="shared" si="103"/>
        <v>-0.53144037428030011</v>
      </c>
      <c r="BL73" s="264">
        <f t="shared" si="36"/>
        <v>-0.45268385488903329</v>
      </c>
      <c r="BM73" s="246">
        <f t="shared" si="37"/>
        <v>0.28800035359030046</v>
      </c>
      <c r="BN73" s="264">
        <f t="shared" si="99"/>
        <v>0.54192411327483947</v>
      </c>
      <c r="BO73" s="265">
        <f t="shared" si="39"/>
        <v>0.54192411327483947</v>
      </c>
      <c r="BP73"/>
      <c r="BQ73" s="245">
        <f t="shared" ref="BQ73:BQ76" si="130">SUM(AC73,AW73)</f>
        <v>-0.14615197598444485</v>
      </c>
      <c r="BR73" s="264">
        <f t="shared" si="91"/>
        <v>-0.1553434869995467</v>
      </c>
      <c r="BS73" s="246">
        <f t="shared" si="92"/>
        <v>-9.7288044705554799E-2</v>
      </c>
      <c r="BT73" s="264">
        <f t="shared" si="93"/>
        <v>-0.6656635604838439</v>
      </c>
      <c r="BU73" s="265">
        <f t="shared" si="94"/>
        <v>-0.6656635604838439</v>
      </c>
      <c r="BV73"/>
      <c r="BW73" s="245">
        <f t="shared" ref="BW73:BW76" si="131">SUM(AI73,BC73)</f>
        <v>-0.3310745300000002</v>
      </c>
      <c r="BX73" s="264">
        <f t="shared" si="44"/>
        <v>-0.35189583719627482</v>
      </c>
      <c r="BY73" s="246">
        <f t="shared" si="45"/>
        <v>8.7634509310000552E-2</v>
      </c>
      <c r="BZ73" s="264">
        <f t="shared" si="46"/>
        <v>0.26469722485145714</v>
      </c>
      <c r="CA73" s="265">
        <f t="shared" si="47"/>
        <v>0.26469722485145714</v>
      </c>
      <c r="CC73" s="245">
        <v>1.0195065499999996</v>
      </c>
      <c r="CD73" s="245">
        <f t="shared" si="48"/>
        <v>0</v>
      </c>
    </row>
    <row r="74" spans="2:82" x14ac:dyDescent="0.35">
      <c r="B74" s="244" t="s">
        <v>234</v>
      </c>
      <c r="C74" s="244" t="s">
        <v>235</v>
      </c>
      <c r="D74"/>
      <c r="E74" s="245">
        <v>0.10082659696983849</v>
      </c>
      <c r="F74" s="245">
        <v>0.14240380420319784</v>
      </c>
      <c r="G74" s="246">
        <f t="shared" si="0"/>
        <v>-4.1577207233359351E-2</v>
      </c>
      <c r="H74" s="264">
        <f t="shared" si="1"/>
        <v>-0.29196697002583083</v>
      </c>
      <c r="I74" s="265">
        <f t="shared" si="2"/>
        <v>-0.29196697002583083</v>
      </c>
      <c r="J74"/>
      <c r="K74" s="245">
        <v>0.14702890284629599</v>
      </c>
      <c r="L74" s="246">
        <f t="shared" si="119"/>
        <v>-4.6202305876457503E-2</v>
      </c>
      <c r="M74" s="264">
        <f t="shared" si="120"/>
        <v>-0.3142396153547945</v>
      </c>
      <c r="N74" s="265">
        <f t="shared" si="121"/>
        <v>-0.3142396153547945</v>
      </c>
      <c r="O74"/>
      <c r="P74" s="245">
        <v>0.16969265000000003</v>
      </c>
      <c r="Q74" s="246">
        <f t="shared" si="6"/>
        <v>-6.8866053030161536E-2</v>
      </c>
      <c r="R74" s="264">
        <f t="shared" si="7"/>
        <v>-0.40582814299948478</v>
      </c>
      <c r="S74" s="265">
        <f t="shared" si="8"/>
        <v>-0.40582814299948478</v>
      </c>
      <c r="T74"/>
      <c r="U74" s="245">
        <v>8.6668497198383269E-3</v>
      </c>
      <c r="V74" s="264">
        <f t="shared" si="9"/>
        <v>8.5957971213001957E-2</v>
      </c>
      <c r="W74" s="245">
        <v>-0.47769243800102151</v>
      </c>
      <c r="X74" s="264">
        <f t="shared" si="10"/>
        <v>-3.3544921125800542</v>
      </c>
      <c r="Y74" s="246">
        <f t="shared" si="11"/>
        <v>0.48635928772085985</v>
      </c>
      <c r="Z74" s="264">
        <f t="shared" si="12"/>
        <v>-1.0181431587154826</v>
      </c>
      <c r="AA74" s="265">
        <f t="shared" si="13"/>
        <v>-1.0181431587154826</v>
      </c>
      <c r="AB74"/>
      <c r="AC74" s="245">
        <v>-0.14973231043201113</v>
      </c>
      <c r="AD74" s="264">
        <f t="shared" si="122"/>
        <v>-0.88237357618029477</v>
      </c>
      <c r="AE74" s="246">
        <f t="shared" si="123"/>
        <v>0.15839916015184946</v>
      </c>
      <c r="AF74" s="264">
        <f t="shared" si="124"/>
        <v>-1.0578822947086874</v>
      </c>
      <c r="AG74" s="265">
        <f t="shared" si="125"/>
        <v>-1.0578822947086874</v>
      </c>
      <c r="AH74"/>
      <c r="AI74" s="245">
        <v>4.8494810000000027E-2</v>
      </c>
      <c r="AJ74" s="264">
        <f t="shared" si="18"/>
        <v>0.28578026213863722</v>
      </c>
      <c r="AK74" s="246">
        <f t="shared" si="19"/>
        <v>-3.9827960280161702E-2</v>
      </c>
      <c r="AL74" s="264">
        <f t="shared" si="20"/>
        <v>-0.82128294306466354</v>
      </c>
      <c r="AM74" s="265">
        <f t="shared" si="21"/>
        <v>-0.82128294306466354</v>
      </c>
      <c r="AN74"/>
      <c r="AO74" s="245">
        <v>-0.28060562</v>
      </c>
      <c r="AP74" s="264">
        <f t="shared" si="22"/>
        <v>-2.7830515799709183</v>
      </c>
      <c r="AQ74" s="245">
        <v>0</v>
      </c>
      <c r="AR74" s="264">
        <f t="shared" si="23"/>
        <v>0</v>
      </c>
      <c r="AS74" s="246">
        <f t="shared" si="24"/>
        <v>-0.28060562</v>
      </c>
      <c r="AT74" s="264">
        <f t="shared" si="25"/>
        <v>0</v>
      </c>
      <c r="AU74" s="265">
        <f t="shared" si="26"/>
        <v>0</v>
      </c>
      <c r="AV74"/>
      <c r="AW74" s="245">
        <v>-0.27868210677888</v>
      </c>
      <c r="AX74" s="264">
        <f t="shared" si="126"/>
        <v>-1.6422756482315526</v>
      </c>
      <c r="AY74" s="246">
        <f t="shared" si="127"/>
        <v>-1.923513221119999E-3</v>
      </c>
      <c r="AZ74" s="264">
        <f t="shared" si="128"/>
        <v>6.9021769763144558E-3</v>
      </c>
      <c r="BA74" s="265">
        <f t="shared" si="129"/>
        <v>6.9021769763144558E-3</v>
      </c>
      <c r="BB74"/>
      <c r="BC74" s="245">
        <v>-0.4903262200000002</v>
      </c>
      <c r="BD74" s="264">
        <f t="shared" si="31"/>
        <v>-2.8894959210077755</v>
      </c>
      <c r="BE74" s="246">
        <f t="shared" si="32"/>
        <v>0.2097206000000002</v>
      </c>
      <c r="BF74" s="264">
        <f t="shared" si="33"/>
        <v>-0.4277164700676217</v>
      </c>
      <c r="BG74" s="265">
        <f t="shared" si="34"/>
        <v>-0.4277164700676217</v>
      </c>
      <c r="BH74"/>
      <c r="BI74" s="245">
        <f t="shared" si="102"/>
        <v>-0.27193877028016167</v>
      </c>
      <c r="BJ74" s="264">
        <f t="shared" si="35"/>
        <v>-2.6970936087579163</v>
      </c>
      <c r="BK74" s="245">
        <f t="shared" si="103"/>
        <v>-0.47769243800102151</v>
      </c>
      <c r="BL74" s="264">
        <f t="shared" si="36"/>
        <v>-3.3544921125800542</v>
      </c>
      <c r="BM74" s="246">
        <f t="shared" si="37"/>
        <v>0.20575366772085985</v>
      </c>
      <c r="BN74" s="264">
        <f t="shared" si="99"/>
        <v>0.43072414665358355</v>
      </c>
      <c r="BO74" s="265">
        <f t="shared" si="39"/>
        <v>0.43072414665358355</v>
      </c>
      <c r="BP74"/>
      <c r="BQ74" s="245">
        <f t="shared" si="130"/>
        <v>-0.42841441721089113</v>
      </c>
      <c r="BR74" s="264">
        <f t="shared" si="91"/>
        <v>-2.5246492244118475</v>
      </c>
      <c r="BS74" s="246">
        <f t="shared" si="92"/>
        <v>0.15647564693072946</v>
      </c>
      <c r="BT74" s="264">
        <f t="shared" si="93"/>
        <v>0.36524365344526399</v>
      </c>
      <c r="BU74" s="265">
        <f t="shared" si="94"/>
        <v>0.36524365344526399</v>
      </c>
      <c r="BV74"/>
      <c r="BW74" s="245">
        <f t="shared" si="131"/>
        <v>-0.44183141000000015</v>
      </c>
      <c r="BX74" s="264">
        <f t="shared" si="44"/>
        <v>-2.6037156588691381</v>
      </c>
      <c r="BY74" s="246">
        <f t="shared" si="45"/>
        <v>0.16989263971983848</v>
      </c>
      <c r="BZ74" s="264">
        <f t="shared" si="46"/>
        <v>0.38451915340251258</v>
      </c>
      <c r="CA74" s="265">
        <f t="shared" si="47"/>
        <v>0.38451915340251258</v>
      </c>
      <c r="CC74" s="245">
        <v>0.1048355064383733</v>
      </c>
      <c r="CD74" s="245">
        <f t="shared" si="48"/>
        <v>-4.0089094685348131E-3</v>
      </c>
    </row>
    <row r="75" spans="2:82" x14ac:dyDescent="0.35">
      <c r="B75" s="244" t="s">
        <v>236</v>
      </c>
      <c r="C75" s="244" t="s">
        <v>237</v>
      </c>
      <c r="D75"/>
      <c r="E75" s="245">
        <v>0.91083599000000004</v>
      </c>
      <c r="F75" s="245">
        <v>0.95013655069500003</v>
      </c>
      <c r="G75" s="246">
        <f t="shared" si="0"/>
        <v>-3.9300560694999986E-2</v>
      </c>
      <c r="H75" s="264">
        <f t="shared" si="1"/>
        <v>-4.1363065831171997E-2</v>
      </c>
      <c r="I75" s="265">
        <f t="shared" si="2"/>
        <v>-4.1363065831171997E-2</v>
      </c>
      <c r="J75"/>
      <c r="K75" s="245">
        <v>0.74785512917487407</v>
      </c>
      <c r="L75" s="246">
        <f t="shared" si="119"/>
        <v>0.16298086082512597</v>
      </c>
      <c r="M75" s="264">
        <f t="shared" si="120"/>
        <v>0.2179310597293711</v>
      </c>
      <c r="N75" s="265">
        <f t="shared" si="121"/>
        <v>0.2179310597293711</v>
      </c>
      <c r="O75"/>
      <c r="P75" s="245">
        <v>0</v>
      </c>
      <c r="Q75" s="246">
        <f t="shared" si="6"/>
        <v>0.91083599000000004</v>
      </c>
      <c r="R75" s="264">
        <f t="shared" si="7"/>
        <v>0</v>
      </c>
      <c r="S75" s="265">
        <f t="shared" si="8"/>
        <v>0</v>
      </c>
      <c r="T75"/>
      <c r="U75" s="245">
        <v>-0.25782182562713801</v>
      </c>
      <c r="V75" s="264">
        <f t="shared" si="9"/>
        <v>-0.28306064808345793</v>
      </c>
      <c r="W75" s="245">
        <v>-3.6789600849004636E-2</v>
      </c>
      <c r="X75" s="264">
        <f t="shared" si="10"/>
        <v>-3.872033006423551E-2</v>
      </c>
      <c r="Y75" s="246">
        <f t="shared" si="11"/>
        <v>-0.22103222477813339</v>
      </c>
      <c r="Z75" s="264">
        <f t="shared" si="12"/>
        <v>6.00800823268822</v>
      </c>
      <c r="AA75" s="265">
        <f t="shared" si="13"/>
        <v>6.00800823268822</v>
      </c>
      <c r="AB75"/>
      <c r="AC75" s="245">
        <v>-0.15837355083057109</v>
      </c>
      <c r="AD75" s="264">
        <f t="shared" si="122"/>
        <v>0</v>
      </c>
      <c r="AE75" s="246">
        <f t="shared" si="123"/>
        <v>-9.9448274796566927E-2</v>
      </c>
      <c r="AF75" s="264">
        <f t="shared" si="124"/>
        <v>0.62793486838567669</v>
      </c>
      <c r="AG75" s="265">
        <f t="shared" si="125"/>
        <v>0.62793486838567669</v>
      </c>
      <c r="AH75"/>
      <c r="AI75" s="245">
        <v>0</v>
      </c>
      <c r="AJ75" s="264">
        <f t="shared" si="18"/>
        <v>0</v>
      </c>
      <c r="AK75" s="246">
        <f t="shared" si="19"/>
        <v>-0.25782182562713801</v>
      </c>
      <c r="AL75" s="264">
        <f t="shared" si="20"/>
        <v>0</v>
      </c>
      <c r="AM75" s="265">
        <f t="shared" si="21"/>
        <v>0</v>
      </c>
      <c r="AN75"/>
      <c r="AO75" s="245">
        <v>3.0037149999999981E-2</v>
      </c>
      <c r="AP75" s="264">
        <f t="shared" si="22"/>
        <v>3.2977561635437767E-2</v>
      </c>
      <c r="AQ75" s="245">
        <v>0</v>
      </c>
      <c r="AR75" s="264">
        <f t="shared" si="23"/>
        <v>0</v>
      </c>
      <c r="AS75" s="246">
        <f t="shared" si="24"/>
        <v>3.0037149999999981E-2</v>
      </c>
      <c r="AT75" s="264">
        <f t="shared" si="25"/>
        <v>0</v>
      </c>
      <c r="AU75" s="265">
        <f t="shared" si="26"/>
        <v>0</v>
      </c>
      <c r="AV75"/>
      <c r="AW75" s="245">
        <v>0</v>
      </c>
      <c r="AX75" s="264">
        <f t="shared" si="126"/>
        <v>0</v>
      </c>
      <c r="AY75" s="246">
        <f t="shared" si="127"/>
        <v>3.0037149999999981E-2</v>
      </c>
      <c r="AZ75" s="264">
        <f t="shared" si="128"/>
        <v>0</v>
      </c>
      <c r="BA75" s="265">
        <f t="shared" si="129"/>
        <v>0</v>
      </c>
      <c r="BB75"/>
      <c r="BC75" s="245">
        <v>0</v>
      </c>
      <c r="BD75" s="264">
        <f t="shared" si="31"/>
        <v>0</v>
      </c>
      <c r="BE75" s="246">
        <f t="shared" si="32"/>
        <v>3.0037149999999981E-2</v>
      </c>
      <c r="BF75" s="264">
        <f t="shared" si="33"/>
        <v>0</v>
      </c>
      <c r="BG75" s="265">
        <f t="shared" si="34"/>
        <v>0</v>
      </c>
      <c r="BH75"/>
      <c r="BI75" s="245">
        <f t="shared" si="102"/>
        <v>-0.22778467562713803</v>
      </c>
      <c r="BJ75" s="264">
        <f t="shared" si="35"/>
        <v>-0.25008308644802013</v>
      </c>
      <c r="BK75" s="245">
        <f t="shared" si="103"/>
        <v>-3.6789600849004636E-2</v>
      </c>
      <c r="BL75" s="264">
        <f t="shared" si="36"/>
        <v>-3.872033006423551E-2</v>
      </c>
      <c r="BM75" s="246">
        <f t="shared" si="37"/>
        <v>-0.19099507477813338</v>
      </c>
      <c r="BN75" s="264">
        <f t="shared" si="99"/>
        <v>-5.191550611327191</v>
      </c>
      <c r="BO75" s="265">
        <f t="shared" si="39"/>
        <v>-5.191550611327191</v>
      </c>
      <c r="BP75"/>
      <c r="BQ75" s="245">
        <f t="shared" si="130"/>
        <v>-0.15837355083057109</v>
      </c>
      <c r="BR75" s="264">
        <f t="shared" si="91"/>
        <v>0</v>
      </c>
      <c r="BS75" s="246">
        <f t="shared" si="92"/>
        <v>-6.9411124796566942E-2</v>
      </c>
      <c r="BT75" s="264">
        <f t="shared" si="93"/>
        <v>-0.43827472726694972</v>
      </c>
      <c r="BU75" s="265">
        <f t="shared" si="94"/>
        <v>-0.43827472726694972</v>
      </c>
      <c r="BV75"/>
      <c r="BW75" s="245">
        <f t="shared" si="131"/>
        <v>0</v>
      </c>
      <c r="BX75" s="264">
        <f t="shared" si="44"/>
        <v>0</v>
      </c>
      <c r="BY75" s="246">
        <f t="shared" si="45"/>
        <v>-0.22778467562713803</v>
      </c>
      <c r="BZ75" s="264" t="str">
        <f t="shared" si="46"/>
        <v/>
      </c>
      <c r="CA75" s="265" t="str">
        <f t="shared" si="47"/>
        <v/>
      </c>
      <c r="CC75" s="245">
        <v>0.91083598999999993</v>
      </c>
      <c r="CD75" s="245">
        <f t="shared" si="48"/>
        <v>0</v>
      </c>
    </row>
    <row r="76" spans="2:82" x14ac:dyDescent="0.35">
      <c r="B76" s="244" t="s">
        <v>238</v>
      </c>
      <c r="C76" s="244" t="s">
        <v>239</v>
      </c>
      <c r="D76"/>
      <c r="E76" s="245">
        <v>0</v>
      </c>
      <c r="F76" s="245">
        <v>0</v>
      </c>
      <c r="G76" s="246">
        <f>$E76-F76</f>
        <v>0</v>
      </c>
      <c r="H76" s="264">
        <f>IFERROR($E76/F76-1,0)</f>
        <v>0</v>
      </c>
      <c r="I76" s="265">
        <f>H76</f>
        <v>0</v>
      </c>
      <c r="J76"/>
      <c r="K76" s="245">
        <v>0</v>
      </c>
      <c r="L76" s="246">
        <f>$E76-K76</f>
        <v>0</v>
      </c>
      <c r="M76" s="264">
        <f>IFERROR($E76/K76-1,0)</f>
        <v>0</v>
      </c>
      <c r="N76" s="265">
        <f>M76</f>
        <v>0</v>
      </c>
      <c r="O76"/>
      <c r="P76" s="245">
        <v>0</v>
      </c>
      <c r="Q76" s="246">
        <f>$E76-P76</f>
        <v>0</v>
      </c>
      <c r="R76" s="264">
        <f>IFERROR($E76/P76-1,0)</f>
        <v>0</v>
      </c>
      <c r="S76" s="265">
        <f>R76</f>
        <v>0</v>
      </c>
      <c r="T76"/>
      <c r="U76" s="245">
        <v>0</v>
      </c>
      <c r="V76" s="264">
        <f>IFERROR(U76/$E76,0)</f>
        <v>0</v>
      </c>
      <c r="W76" s="245">
        <v>-0.56396682675146848</v>
      </c>
      <c r="X76" s="264">
        <f>IFERROR(W76/$F76,0)</f>
        <v>0</v>
      </c>
      <c r="Y76" s="246">
        <f>$U76-W76</f>
        <v>0.56396682675146848</v>
      </c>
      <c r="Z76" s="264">
        <f>IFERROR($U76/W76-1,0)</f>
        <v>-1</v>
      </c>
      <c r="AA76" s="265">
        <f>Z76</f>
        <v>-1</v>
      </c>
      <c r="AB76"/>
      <c r="AC76" s="245">
        <v>0</v>
      </c>
      <c r="AD76" s="264">
        <f>IFERROR(AC76/$P76,0)</f>
        <v>0</v>
      </c>
      <c r="AE76" s="246">
        <f>$U76-AC76</f>
        <v>0</v>
      </c>
      <c r="AF76" s="264">
        <f>IFERROR($U76/AC76-1,0)</f>
        <v>0</v>
      </c>
      <c r="AG76" s="265">
        <f>AF76</f>
        <v>0</v>
      </c>
      <c r="AH76"/>
      <c r="AI76" s="245">
        <v>0</v>
      </c>
      <c r="AJ76" s="264">
        <f>IFERROR(AI76/$P76,0)</f>
        <v>0</v>
      </c>
      <c r="AK76" s="246">
        <f>$U76-AI76</f>
        <v>0</v>
      </c>
      <c r="AL76" s="264">
        <f>IFERROR($U76/AI76-1,0)</f>
        <v>0</v>
      </c>
      <c r="AM76" s="265">
        <f>AL76</f>
        <v>0</v>
      </c>
      <c r="AN76"/>
      <c r="AO76" s="245">
        <v>0</v>
      </c>
      <c r="AP76" s="264">
        <f>IFERROR(AO76/$E76,0)</f>
        <v>0</v>
      </c>
      <c r="AQ76" s="245">
        <v>0</v>
      </c>
      <c r="AR76" s="264">
        <f>IFERROR(AQ76/$F76,0)</f>
        <v>0</v>
      </c>
      <c r="AS76" s="246">
        <f>$AO76-AQ76</f>
        <v>0</v>
      </c>
      <c r="AT76" s="264">
        <f>IFERROR($AO76/AQ76-1,0)</f>
        <v>0</v>
      </c>
      <c r="AU76" s="265">
        <f>AT76</f>
        <v>0</v>
      </c>
      <c r="AV76"/>
      <c r="AW76" s="245">
        <v>0</v>
      </c>
      <c r="AX76" s="264">
        <f>IFERROR(AW76/$P76,0)</f>
        <v>0</v>
      </c>
      <c r="AY76" s="246">
        <f>$AO76-AW76</f>
        <v>0</v>
      </c>
      <c r="AZ76" s="264">
        <f>IFERROR($AO76/AW76-1,0)</f>
        <v>0</v>
      </c>
      <c r="BA76" s="265">
        <f>AZ76</f>
        <v>0</v>
      </c>
      <c r="BB76"/>
      <c r="BC76" s="245">
        <v>0</v>
      </c>
      <c r="BD76" s="264">
        <f>IFERROR(BC76/$P76,0)</f>
        <v>0</v>
      </c>
      <c r="BE76" s="246">
        <f>$AO76-BC76</f>
        <v>0</v>
      </c>
      <c r="BF76" s="264">
        <f>IFERROR($AO76/BC76-1,0)</f>
        <v>0</v>
      </c>
      <c r="BG76" s="265">
        <f>BF76</f>
        <v>0</v>
      </c>
      <c r="BH76"/>
      <c r="BI76" s="245">
        <f t="shared" si="102"/>
        <v>0</v>
      </c>
      <c r="BJ76" s="264">
        <f>IFERROR(BI76/$E76,0)</f>
        <v>0</v>
      </c>
      <c r="BK76" s="245">
        <f t="shared" si="103"/>
        <v>-0.56396682675146848</v>
      </c>
      <c r="BL76" s="264">
        <f>IFERROR(BK76/$F76,0)</f>
        <v>0</v>
      </c>
      <c r="BM76" s="246">
        <f>$BI76-BK76</f>
        <v>0.56396682675146848</v>
      </c>
      <c r="BN76" s="264">
        <f>IFERROR($BI76/BK76-1,0)</f>
        <v>-1</v>
      </c>
      <c r="BO76" s="265">
        <f>BN76</f>
        <v>-1</v>
      </c>
      <c r="BP76"/>
      <c r="BQ76" s="245">
        <f t="shared" si="130"/>
        <v>0</v>
      </c>
      <c r="BR76" s="264">
        <f t="shared" si="91"/>
        <v>0</v>
      </c>
      <c r="BS76" s="246">
        <f t="shared" si="92"/>
        <v>0</v>
      </c>
      <c r="BT76" s="264" t="str">
        <f t="shared" si="93"/>
        <v/>
      </c>
      <c r="BU76" s="265" t="str">
        <f t="shared" si="94"/>
        <v/>
      </c>
      <c r="BV76"/>
      <c r="BW76" s="245">
        <f t="shared" si="131"/>
        <v>0</v>
      </c>
      <c r="BX76" s="264">
        <f t="shared" si="44"/>
        <v>0</v>
      </c>
      <c r="BY76" s="246">
        <f t="shared" si="45"/>
        <v>0</v>
      </c>
      <c r="BZ76" s="264" t="str">
        <f t="shared" si="46"/>
        <v/>
      </c>
      <c r="CA76" s="265" t="str">
        <f t="shared" si="47"/>
        <v/>
      </c>
      <c r="CC76" s="245">
        <v>0</v>
      </c>
      <c r="CD76" s="245">
        <f>$E76-CC76</f>
        <v>0</v>
      </c>
    </row>
    <row r="77" spans="2:82" x14ac:dyDescent="0.35">
      <c r="B77" s="239" t="s">
        <v>240</v>
      </c>
      <c r="C77" s="239" t="s">
        <v>241</v>
      </c>
      <c r="D77"/>
      <c r="E77" s="240">
        <f>SUM(E78:E79)</f>
        <v>5.0082569899999978</v>
      </c>
      <c r="F77" s="240">
        <f>SUM(F78:F79)</f>
        <v>4.7529504644291345</v>
      </c>
      <c r="G77" s="241">
        <f t="shared" si="0"/>
        <v>0.25530652557086331</v>
      </c>
      <c r="H77" s="242">
        <f t="shared" si="1"/>
        <v>5.3715376897269573E-2</v>
      </c>
      <c r="I77" s="243">
        <f t="shared" si="2"/>
        <v>5.3715376897269573E-2</v>
      </c>
      <c r="J77"/>
      <c r="K77" s="240">
        <f>SUM(K78:K79)</f>
        <v>4.9212843108622604</v>
      </c>
      <c r="L77" s="241">
        <f t="shared" ref="L77:L83" si="132">$E77-K77</f>
        <v>8.697267913773743E-2</v>
      </c>
      <c r="M77" s="242">
        <f t="shared" ref="M77:M83" si="133">IFERROR($E77/K77-1,0)</f>
        <v>1.7672760532402298E-2</v>
      </c>
      <c r="N77" s="243">
        <f t="shared" ref="N77:N83" si="134">M77</f>
        <v>1.7672760532402298E-2</v>
      </c>
      <c r="O77"/>
      <c r="P77" s="240">
        <f>SUM(P78:P79)</f>
        <v>4.7526840200000038</v>
      </c>
      <c r="Q77" s="241">
        <f t="shared" si="6"/>
        <v>0.25557296999999402</v>
      </c>
      <c r="R77" s="242">
        <f t="shared" si="7"/>
        <v>5.3774450168474264E-2</v>
      </c>
      <c r="S77" s="243">
        <f t="shared" si="8"/>
        <v>5.3774450168474264E-2</v>
      </c>
      <c r="T77"/>
      <c r="U77" s="240">
        <f>SUM(U78:U79)</f>
        <v>2.6721735801634745</v>
      </c>
      <c r="V77" s="242">
        <f t="shared" si="9"/>
        <v>0.5335536066737413</v>
      </c>
      <c r="W77" s="240">
        <f>SUM(W78:W79)</f>
        <v>1.8673785480743217</v>
      </c>
      <c r="X77" s="242">
        <f t="shared" si="10"/>
        <v>0.39288828319371261</v>
      </c>
      <c r="Y77" s="241">
        <f t="shared" si="11"/>
        <v>0.80479503208915282</v>
      </c>
      <c r="Z77" s="242">
        <f t="shared" si="12"/>
        <v>0.43097583664494477</v>
      </c>
      <c r="AA77" s="243">
        <f t="shared" si="13"/>
        <v>0.43097583664494477</v>
      </c>
      <c r="AB77"/>
      <c r="AC77" s="240">
        <f>SUM(AC78:AC79)</f>
        <v>2.3394782625289277</v>
      </c>
      <c r="AD77" s="242">
        <f t="shared" ref="AD77:AD83" si="135">IFERROR(AC77/$P77,0)</f>
        <v>0.49224359386907562</v>
      </c>
      <c r="AE77" s="241">
        <f t="shared" ref="AE77:AE83" si="136">$U77-AC77</f>
        <v>0.33269531763454685</v>
      </c>
      <c r="AF77" s="242">
        <f t="shared" ref="AF77:AF83" si="137">IFERROR($U77/AC77-1,0)</f>
        <v>0.14220919380328412</v>
      </c>
      <c r="AG77" s="243">
        <f t="shared" ref="AG77:AG83" si="138">AF77</f>
        <v>0.14220919380328412</v>
      </c>
      <c r="AH77"/>
      <c r="AI77" s="240">
        <f>SUM(AI78:AI79)</f>
        <v>2.0908882900000032</v>
      </c>
      <c r="AJ77" s="242">
        <f t="shared" si="18"/>
        <v>0.43993841820773971</v>
      </c>
      <c r="AK77" s="241">
        <f t="shared" si="19"/>
        <v>0.5812852901634713</v>
      </c>
      <c r="AL77" s="242">
        <f t="shared" si="20"/>
        <v>0.27800877404285917</v>
      </c>
      <c r="AM77" s="243">
        <f t="shared" si="21"/>
        <v>0.27800877404285917</v>
      </c>
      <c r="AN77"/>
      <c r="AO77" s="240">
        <f>SUM(AO78:AO79)</f>
        <v>-0.22787652999999999</v>
      </c>
      <c r="AP77" s="242">
        <f t="shared" si="22"/>
        <v>-4.55001671150266E-2</v>
      </c>
      <c r="AQ77" s="240">
        <f>SUM(AQ78:AQ79)</f>
        <v>0</v>
      </c>
      <c r="AR77" s="242">
        <f t="shared" si="23"/>
        <v>0</v>
      </c>
      <c r="AS77" s="241">
        <f t="shared" si="24"/>
        <v>-0.22787652999999999</v>
      </c>
      <c r="AT77" s="242">
        <f t="shared" si="25"/>
        <v>0</v>
      </c>
      <c r="AU77" s="243">
        <f t="shared" si="26"/>
        <v>0</v>
      </c>
      <c r="AV77"/>
      <c r="AW77" s="240">
        <f>SUM(AW78:AW79)</f>
        <v>-0.2647266670647393</v>
      </c>
      <c r="AX77" s="242">
        <f t="shared" ref="AX77:AX83" si="139">IFERROR(AW77/$P77,0)</f>
        <v>-5.5700455984603638E-2</v>
      </c>
      <c r="AY77" s="241">
        <f t="shared" ref="AY77:AY83" si="140">$AO77-AW77</f>
        <v>3.6850137064739302E-2</v>
      </c>
      <c r="AZ77" s="242">
        <f t="shared" ref="AZ77:AZ83" si="141">IFERROR($AO77/AW77-1,0)</f>
        <v>-0.13920069886925124</v>
      </c>
      <c r="BA77" s="243">
        <f t="shared" ref="BA77:BA83" si="142">AZ77</f>
        <v>-0.13920069886925124</v>
      </c>
      <c r="BB77"/>
      <c r="BC77" s="240">
        <f>SUM(BC78:BC79)</f>
        <v>-0.14400157</v>
      </c>
      <c r="BD77" s="242">
        <f t="shared" si="31"/>
        <v>-3.0298999343112205E-2</v>
      </c>
      <c r="BE77" s="241">
        <f t="shared" si="32"/>
        <v>-8.3874959999999998E-2</v>
      </c>
      <c r="BF77" s="242">
        <f t="shared" si="33"/>
        <v>0.58245864958277882</v>
      </c>
      <c r="BG77" s="243">
        <f t="shared" si="34"/>
        <v>0.58245864958277882</v>
      </c>
      <c r="BH77"/>
      <c r="BI77" s="240">
        <f>SUM(BI78:BI79)</f>
        <v>2.4442970501634744</v>
      </c>
      <c r="BJ77" s="242">
        <f t="shared" si="35"/>
        <v>0.48805343955871472</v>
      </c>
      <c r="BK77" s="240">
        <f>SUM(BK78:BK79)</f>
        <v>1.8673785480743217</v>
      </c>
      <c r="BL77" s="242">
        <f t="shared" si="36"/>
        <v>0.39288828319371261</v>
      </c>
      <c r="BM77" s="241">
        <f t="shared" si="37"/>
        <v>0.57691850208915274</v>
      </c>
      <c r="BN77" s="242">
        <f t="shared" si="99"/>
        <v>0.30894566218728531</v>
      </c>
      <c r="BO77" s="243">
        <f t="shared" si="39"/>
        <v>0.30894566218728531</v>
      </c>
      <c r="BP77"/>
      <c r="BQ77" s="240">
        <f>SUM(BQ78:BQ79)</f>
        <v>2.0747515954641882</v>
      </c>
      <c r="BR77" s="242">
        <f t="shared" si="91"/>
        <v>0.43654313788447197</v>
      </c>
      <c r="BS77" s="241">
        <f t="shared" si="92"/>
        <v>0.36954545469928624</v>
      </c>
      <c r="BT77" s="242">
        <f t="shared" si="93"/>
        <v>0.17811551778400109</v>
      </c>
      <c r="BU77" s="243">
        <f t="shared" si="94"/>
        <v>0.17811551778400109</v>
      </c>
      <c r="BV77"/>
      <c r="BW77" s="240">
        <f>SUM(BW78:BW79)</f>
        <v>1.9468867200000033</v>
      </c>
      <c r="BX77" s="242">
        <f t="shared" si="44"/>
        <v>0.40963941886462751</v>
      </c>
      <c r="BY77" s="241">
        <f t="shared" si="45"/>
        <v>0.49741033016347114</v>
      </c>
      <c r="BZ77" s="242">
        <f t="shared" si="46"/>
        <v>0.25549012433731649</v>
      </c>
      <c r="CA77" s="243">
        <f t="shared" si="47"/>
        <v>0.25549012433731649</v>
      </c>
      <c r="CC77" s="240">
        <f>SUM(CC78:CC79)</f>
        <v>5.0082569899999969</v>
      </c>
      <c r="CD77" s="240">
        <f t="shared" si="48"/>
        <v>0</v>
      </c>
    </row>
    <row r="78" spans="2:82" hidden="1" outlineLevel="1" x14ac:dyDescent="0.35">
      <c r="B78" s="255" t="s">
        <v>242</v>
      </c>
      <c r="C78" s="255" t="s">
        <v>243</v>
      </c>
      <c r="D78"/>
      <c r="E78" s="250">
        <v>5.0082569899999978</v>
      </c>
      <c r="F78" s="250">
        <v>4.7529504644291345</v>
      </c>
      <c r="G78" s="251">
        <f t="shared" si="0"/>
        <v>0.25530652557086331</v>
      </c>
      <c r="H78" s="252">
        <f t="shared" si="1"/>
        <v>5.3715376897269573E-2</v>
      </c>
      <c r="I78" s="253">
        <f t="shared" si="2"/>
        <v>5.3715376897269573E-2</v>
      </c>
      <c r="J78"/>
      <c r="K78" s="250">
        <v>4.9212843108622604</v>
      </c>
      <c r="L78" s="251">
        <f t="shared" si="132"/>
        <v>8.697267913773743E-2</v>
      </c>
      <c r="M78" s="252">
        <f t="shared" si="133"/>
        <v>1.7672760532402298E-2</v>
      </c>
      <c r="N78" s="253">
        <f t="shared" si="134"/>
        <v>1.7672760532402298E-2</v>
      </c>
      <c r="O78"/>
      <c r="P78" s="250">
        <v>4.7526840200000038</v>
      </c>
      <c r="Q78" s="251">
        <f t="shared" si="6"/>
        <v>0.25557296999999402</v>
      </c>
      <c r="R78" s="252">
        <f t="shared" si="7"/>
        <v>5.3774450168474264E-2</v>
      </c>
      <c r="S78" s="253">
        <f t="shared" si="8"/>
        <v>5.3774450168474264E-2</v>
      </c>
      <c r="T78"/>
      <c r="U78" s="250">
        <v>3.0050224801634746</v>
      </c>
      <c r="V78" s="252">
        <f t="shared" si="9"/>
        <v>0.60001363471635183</v>
      </c>
      <c r="W78" s="250">
        <v>1.8673785480743217</v>
      </c>
      <c r="X78" s="252">
        <f t="shared" si="10"/>
        <v>0.39288828319371261</v>
      </c>
      <c r="Y78" s="251">
        <f t="shared" si="11"/>
        <v>1.1376439320891529</v>
      </c>
      <c r="Z78" s="252">
        <f t="shared" si="12"/>
        <v>0.60921977135397332</v>
      </c>
      <c r="AA78" s="253">
        <f t="shared" si="13"/>
        <v>0.60921977135397332</v>
      </c>
      <c r="AB78"/>
      <c r="AC78" s="250">
        <v>2.3394782625289277</v>
      </c>
      <c r="AD78" s="252">
        <f t="shared" si="135"/>
        <v>0.49224359386907562</v>
      </c>
      <c r="AE78" s="251">
        <f t="shared" si="136"/>
        <v>0.66554421763454696</v>
      </c>
      <c r="AF78" s="252">
        <f t="shared" si="137"/>
        <v>0.28448403573329517</v>
      </c>
      <c r="AG78" s="253">
        <f t="shared" si="138"/>
        <v>0.28448403573329517</v>
      </c>
      <c r="AH78"/>
      <c r="AI78" s="250">
        <v>2.5382917900000033</v>
      </c>
      <c r="AJ78" s="252">
        <f t="shared" si="18"/>
        <v>0.53407543596807461</v>
      </c>
      <c r="AK78" s="251">
        <f t="shared" si="19"/>
        <v>0.46673069016347135</v>
      </c>
      <c r="AL78" s="252">
        <f t="shared" si="20"/>
        <v>0.18387590110885976</v>
      </c>
      <c r="AM78" s="253">
        <f t="shared" si="21"/>
        <v>0.18387590110885976</v>
      </c>
      <c r="AN78"/>
      <c r="AO78" s="250">
        <v>-0.22787652999999999</v>
      </c>
      <c r="AP78" s="252">
        <f t="shared" si="22"/>
        <v>-4.55001671150266E-2</v>
      </c>
      <c r="AQ78" s="250">
        <v>0</v>
      </c>
      <c r="AR78" s="252">
        <f t="shared" si="23"/>
        <v>0</v>
      </c>
      <c r="AS78" s="251">
        <f t="shared" si="24"/>
        <v>-0.22787652999999999</v>
      </c>
      <c r="AT78" s="252">
        <f t="shared" si="25"/>
        <v>0</v>
      </c>
      <c r="AU78" s="253">
        <f t="shared" si="26"/>
        <v>0</v>
      </c>
      <c r="AV78"/>
      <c r="AW78" s="250">
        <v>-0.2647266670647393</v>
      </c>
      <c r="AX78" s="252">
        <f t="shared" si="139"/>
        <v>-5.5700455984603638E-2</v>
      </c>
      <c r="AY78" s="251">
        <f t="shared" si="140"/>
        <v>3.6850137064739302E-2</v>
      </c>
      <c r="AZ78" s="252">
        <f t="shared" si="141"/>
        <v>-0.13920069886925124</v>
      </c>
      <c r="BA78" s="253">
        <f t="shared" si="142"/>
        <v>-0.13920069886925124</v>
      </c>
      <c r="BB78"/>
      <c r="BC78" s="250">
        <v>-0.14400157</v>
      </c>
      <c r="BD78" s="252">
        <f t="shared" si="31"/>
        <v>-3.0298999343112205E-2</v>
      </c>
      <c r="BE78" s="251">
        <f t="shared" si="32"/>
        <v>-8.3874959999999998E-2</v>
      </c>
      <c r="BF78" s="252">
        <f t="shared" si="33"/>
        <v>0.58245864958277882</v>
      </c>
      <c r="BG78" s="253">
        <f t="shared" si="34"/>
        <v>0.58245864958277882</v>
      </c>
      <c r="BH78"/>
      <c r="BI78" s="250">
        <f t="shared" ref="BI78:BI79" si="143">SUM(U78,AO78)</f>
        <v>2.7771459501634745</v>
      </c>
      <c r="BJ78" s="252">
        <f t="shared" si="35"/>
        <v>0.55451346760132525</v>
      </c>
      <c r="BK78" s="250">
        <f t="shared" ref="BK78:BK79" si="144">SUM(W78,AQ78)</f>
        <v>1.8673785480743217</v>
      </c>
      <c r="BL78" s="252">
        <f t="shared" si="36"/>
        <v>0.39288828319371261</v>
      </c>
      <c r="BM78" s="251">
        <f t="shared" si="37"/>
        <v>0.90976740208915285</v>
      </c>
      <c r="BN78" s="252">
        <f t="shared" si="99"/>
        <v>0.48718959689631397</v>
      </c>
      <c r="BO78" s="253">
        <f t="shared" si="39"/>
        <v>0.48718959689631397</v>
      </c>
      <c r="BP78"/>
      <c r="BQ78" s="250">
        <f t="shared" ref="BQ78:BQ79" si="145">SUM(AC78,AW78)</f>
        <v>2.0747515954641882</v>
      </c>
      <c r="BR78" s="252">
        <f t="shared" si="91"/>
        <v>0.43654313788447197</v>
      </c>
      <c r="BS78" s="251">
        <f t="shared" si="92"/>
        <v>0.70239435469928635</v>
      </c>
      <c r="BT78" s="252">
        <f t="shared" si="93"/>
        <v>0.33854383157716683</v>
      </c>
      <c r="BU78" s="253">
        <f t="shared" si="94"/>
        <v>0.33854383157716683</v>
      </c>
      <c r="BV78"/>
      <c r="BW78" s="250">
        <f t="shared" ref="BW78:BW79" si="146">SUM(AI78,BC78)</f>
        <v>2.3942902200000034</v>
      </c>
      <c r="BX78" s="252">
        <f t="shared" si="44"/>
        <v>0.50377643662496241</v>
      </c>
      <c r="BY78" s="251">
        <f t="shared" si="45"/>
        <v>0.38285573016347119</v>
      </c>
      <c r="BZ78" s="252">
        <f t="shared" si="46"/>
        <v>0.15990364366249246</v>
      </c>
      <c r="CA78" s="253">
        <f t="shared" si="47"/>
        <v>0.15990364366249246</v>
      </c>
      <c r="CC78" s="250">
        <v>5.0082569899999969</v>
      </c>
      <c r="CD78" s="250">
        <f t="shared" si="48"/>
        <v>0</v>
      </c>
    </row>
    <row r="79" spans="2:82" hidden="1" outlineLevel="1" x14ac:dyDescent="0.35">
      <c r="B79" s="255" t="s">
        <v>244</v>
      </c>
      <c r="C79" s="255" t="s">
        <v>245</v>
      </c>
      <c r="D79"/>
      <c r="E79" s="250">
        <v>0</v>
      </c>
      <c r="F79" s="250">
        <v>0</v>
      </c>
      <c r="G79" s="251">
        <f t="shared" si="0"/>
        <v>0</v>
      </c>
      <c r="H79" s="252">
        <f t="shared" si="1"/>
        <v>0</v>
      </c>
      <c r="I79" s="253">
        <f t="shared" si="2"/>
        <v>0</v>
      </c>
      <c r="J79"/>
      <c r="K79" s="250">
        <v>0</v>
      </c>
      <c r="L79" s="251">
        <f t="shared" si="132"/>
        <v>0</v>
      </c>
      <c r="M79" s="252">
        <f t="shared" si="133"/>
        <v>0</v>
      </c>
      <c r="N79" s="253">
        <f t="shared" si="134"/>
        <v>0</v>
      </c>
      <c r="O79"/>
      <c r="P79" s="250">
        <v>0</v>
      </c>
      <c r="Q79" s="251">
        <f t="shared" si="6"/>
        <v>0</v>
      </c>
      <c r="R79" s="252">
        <f t="shared" si="7"/>
        <v>0</v>
      </c>
      <c r="S79" s="253">
        <f t="shared" si="8"/>
        <v>0</v>
      </c>
      <c r="T79"/>
      <c r="U79" s="250">
        <v>-0.3328489</v>
      </c>
      <c r="V79" s="252">
        <f t="shared" si="9"/>
        <v>0</v>
      </c>
      <c r="W79" s="250">
        <v>0</v>
      </c>
      <c r="X79" s="252">
        <f t="shared" si="10"/>
        <v>0</v>
      </c>
      <c r="Y79" s="251">
        <f t="shared" si="11"/>
        <v>-0.3328489</v>
      </c>
      <c r="Z79" s="252">
        <f t="shared" si="12"/>
        <v>0</v>
      </c>
      <c r="AA79" s="253">
        <f t="shared" si="13"/>
        <v>0</v>
      </c>
      <c r="AB79"/>
      <c r="AC79" s="250">
        <v>0</v>
      </c>
      <c r="AD79" s="252">
        <f t="shared" si="135"/>
        <v>0</v>
      </c>
      <c r="AE79" s="251">
        <f t="shared" si="136"/>
        <v>-0.3328489</v>
      </c>
      <c r="AF79" s="252">
        <f t="shared" si="137"/>
        <v>0</v>
      </c>
      <c r="AG79" s="253">
        <f t="shared" si="138"/>
        <v>0</v>
      </c>
      <c r="AH79"/>
      <c r="AI79" s="250">
        <v>-0.44740349999999995</v>
      </c>
      <c r="AJ79" s="252">
        <f t="shared" si="18"/>
        <v>0</v>
      </c>
      <c r="AK79" s="251">
        <f t="shared" si="19"/>
        <v>0.11455459999999995</v>
      </c>
      <c r="AL79" s="252">
        <f t="shared" si="20"/>
        <v>-0.2560431467344354</v>
      </c>
      <c r="AM79" s="253">
        <f t="shared" si="21"/>
        <v>-0.2560431467344354</v>
      </c>
      <c r="AN79"/>
      <c r="AO79" s="250">
        <v>0</v>
      </c>
      <c r="AP79" s="252">
        <f t="shared" si="22"/>
        <v>0</v>
      </c>
      <c r="AQ79" s="250">
        <v>0</v>
      </c>
      <c r="AR79" s="252">
        <f t="shared" si="23"/>
        <v>0</v>
      </c>
      <c r="AS79" s="251">
        <f t="shared" si="24"/>
        <v>0</v>
      </c>
      <c r="AT79" s="252">
        <f t="shared" si="25"/>
        <v>0</v>
      </c>
      <c r="AU79" s="253">
        <f t="shared" si="26"/>
        <v>0</v>
      </c>
      <c r="AV79"/>
      <c r="AW79" s="250">
        <v>0</v>
      </c>
      <c r="AX79" s="252">
        <f t="shared" si="139"/>
        <v>0</v>
      </c>
      <c r="AY79" s="251">
        <f t="shared" si="140"/>
        <v>0</v>
      </c>
      <c r="AZ79" s="252">
        <f t="shared" si="141"/>
        <v>0</v>
      </c>
      <c r="BA79" s="253">
        <f t="shared" si="142"/>
        <v>0</v>
      </c>
      <c r="BB79"/>
      <c r="BC79" s="250">
        <v>0</v>
      </c>
      <c r="BD79" s="252">
        <f t="shared" si="31"/>
        <v>0</v>
      </c>
      <c r="BE79" s="251">
        <f t="shared" si="32"/>
        <v>0</v>
      </c>
      <c r="BF79" s="252">
        <f t="shared" si="33"/>
        <v>0</v>
      </c>
      <c r="BG79" s="253">
        <f t="shared" si="34"/>
        <v>0</v>
      </c>
      <c r="BH79"/>
      <c r="BI79" s="250">
        <f t="shared" si="143"/>
        <v>-0.3328489</v>
      </c>
      <c r="BJ79" s="252">
        <f t="shared" si="35"/>
        <v>0</v>
      </c>
      <c r="BK79" s="250">
        <f t="shared" si="144"/>
        <v>0</v>
      </c>
      <c r="BL79" s="252">
        <f t="shared" si="36"/>
        <v>0</v>
      </c>
      <c r="BM79" s="251">
        <f t="shared" si="37"/>
        <v>-0.3328489</v>
      </c>
      <c r="BN79" s="252">
        <f>IFERROR(BM79/ABS(BK79),0)</f>
        <v>0</v>
      </c>
      <c r="BO79" s="253">
        <f t="shared" si="39"/>
        <v>0</v>
      </c>
      <c r="BP79"/>
      <c r="BQ79" s="250">
        <f t="shared" si="145"/>
        <v>0</v>
      </c>
      <c r="BR79" s="252">
        <f t="shared" si="91"/>
        <v>0</v>
      </c>
      <c r="BS79" s="251">
        <f t="shared" si="92"/>
        <v>-0.3328489</v>
      </c>
      <c r="BT79" s="252" t="str">
        <f t="shared" si="93"/>
        <v/>
      </c>
      <c r="BU79" s="253" t="str">
        <f t="shared" si="94"/>
        <v/>
      </c>
      <c r="BV79"/>
      <c r="BW79" s="250">
        <f t="shared" si="146"/>
        <v>-0.44740349999999995</v>
      </c>
      <c r="BX79" s="252">
        <f t="shared" si="44"/>
        <v>0</v>
      </c>
      <c r="BY79" s="251">
        <f t="shared" si="45"/>
        <v>0.11455459999999995</v>
      </c>
      <c r="BZ79" s="252">
        <f t="shared" si="46"/>
        <v>0.2560431467344354</v>
      </c>
      <c r="CA79" s="253">
        <f t="shared" si="47"/>
        <v>0.2560431467344354</v>
      </c>
      <c r="CC79" s="250">
        <v>0</v>
      </c>
      <c r="CD79" s="250">
        <f t="shared" si="48"/>
        <v>0</v>
      </c>
    </row>
    <row r="80" spans="2:82" collapsed="1" x14ac:dyDescent="0.35">
      <c r="B80" s="239" t="s">
        <v>246</v>
      </c>
      <c r="C80" s="239" t="s">
        <v>247</v>
      </c>
      <c r="D80"/>
      <c r="E80" s="240">
        <f>SUM(E81:E82)</f>
        <v>0.15692264999999939</v>
      </c>
      <c r="F80" s="240">
        <f>SUM(F81:F82)</f>
        <v>0.29509057691388835</v>
      </c>
      <c r="G80" s="241">
        <f t="shared" si="0"/>
        <v>-0.13816792691388896</v>
      </c>
      <c r="H80" s="242">
        <f t="shared" si="1"/>
        <v>-0.46822209085384769</v>
      </c>
      <c r="I80" s="243">
        <f t="shared" si="2"/>
        <v>-0.46822209085384769</v>
      </c>
      <c r="J80"/>
      <c r="K80" s="240">
        <f>SUM(K81:K82)</f>
        <v>0.134130552825</v>
      </c>
      <c r="L80" s="241">
        <f t="shared" si="132"/>
        <v>2.2792097174999387E-2</v>
      </c>
      <c r="M80" s="242">
        <f t="shared" si="133"/>
        <v>0.16992472404655046</v>
      </c>
      <c r="N80" s="243">
        <f t="shared" si="134"/>
        <v>0.16992472404655046</v>
      </c>
      <c r="O80"/>
      <c r="P80" s="240">
        <f>SUM(P81:P82)</f>
        <v>0.23981232</v>
      </c>
      <c r="Q80" s="241">
        <f t="shared" si="6"/>
        <v>-8.2889670000000609E-2</v>
      </c>
      <c r="R80" s="242">
        <f t="shared" si="7"/>
        <v>-0.34564391854430421</v>
      </c>
      <c r="S80" s="243">
        <f t="shared" si="8"/>
        <v>-0.34564391854430421</v>
      </c>
      <c r="T80"/>
      <c r="U80" s="240">
        <f>SUM(U81:U82)</f>
        <v>2.7459499999993586E-3</v>
      </c>
      <c r="V80" s="242">
        <f t="shared" si="9"/>
        <v>1.7498748587277676E-2</v>
      </c>
      <c r="W80" s="240">
        <f>SUM(W81:W82)</f>
        <v>-0.2889282471361117</v>
      </c>
      <c r="X80" s="242">
        <f t="shared" si="10"/>
        <v>-0.97911715839176083</v>
      </c>
      <c r="Y80" s="241">
        <f t="shared" si="11"/>
        <v>0.29167419713611109</v>
      </c>
      <c r="Z80" s="242">
        <f t="shared" si="12"/>
        <v>-1.0095039167240223</v>
      </c>
      <c r="AA80" s="243">
        <f t="shared" si="13"/>
        <v>-1.0095039167240223</v>
      </c>
      <c r="AB80"/>
      <c r="AC80" s="240">
        <f>SUM(AC81:AC82)</f>
        <v>-0.36691102122500002</v>
      </c>
      <c r="AD80" s="242">
        <f t="shared" si="135"/>
        <v>-1.5299923758087159</v>
      </c>
      <c r="AE80" s="241">
        <f t="shared" si="136"/>
        <v>0.36965697122499941</v>
      </c>
      <c r="AF80" s="242">
        <f t="shared" si="137"/>
        <v>-1.0074839670687228</v>
      </c>
      <c r="AG80" s="243">
        <f t="shared" si="138"/>
        <v>-1.0074839670687228</v>
      </c>
      <c r="AH80"/>
      <c r="AI80" s="240">
        <f>SUM(AI81:AI82)</f>
        <v>-9.0221250000000031E-2</v>
      </c>
      <c r="AJ80" s="242">
        <f t="shared" si="18"/>
        <v>-0.37621607597140977</v>
      </c>
      <c r="AK80" s="241">
        <f t="shared" si="19"/>
        <v>9.2967199999999389E-2</v>
      </c>
      <c r="AL80" s="242">
        <f t="shared" si="20"/>
        <v>-1.0304357343752093</v>
      </c>
      <c r="AM80" s="243">
        <f t="shared" si="21"/>
        <v>-1.0304357343752093</v>
      </c>
      <c r="AN80"/>
      <c r="AO80" s="240">
        <f>SUM(AO81:AO82)</f>
        <v>0</v>
      </c>
      <c r="AP80" s="242">
        <f t="shared" si="22"/>
        <v>0</v>
      </c>
      <c r="AQ80" s="240">
        <f>SUM(AQ81:AQ82)</f>
        <v>0</v>
      </c>
      <c r="AR80" s="242">
        <f t="shared" si="23"/>
        <v>0</v>
      </c>
      <c r="AS80" s="241">
        <f t="shared" si="24"/>
        <v>0</v>
      </c>
      <c r="AT80" s="242">
        <f t="shared" si="25"/>
        <v>0</v>
      </c>
      <c r="AU80" s="243">
        <f t="shared" si="26"/>
        <v>0</v>
      </c>
      <c r="AV80"/>
      <c r="AW80" s="240">
        <f>SUM(AW81:AW82)</f>
        <v>0</v>
      </c>
      <c r="AX80" s="242">
        <f t="shared" si="139"/>
        <v>0</v>
      </c>
      <c r="AY80" s="241">
        <f t="shared" si="140"/>
        <v>0</v>
      </c>
      <c r="AZ80" s="242">
        <f t="shared" si="141"/>
        <v>0</v>
      </c>
      <c r="BA80" s="243">
        <f t="shared" si="142"/>
        <v>0</v>
      </c>
      <c r="BB80"/>
      <c r="BC80" s="240">
        <f>SUM(BC81:BC82)</f>
        <v>0</v>
      </c>
      <c r="BD80" s="242">
        <f t="shared" si="31"/>
        <v>0</v>
      </c>
      <c r="BE80" s="241">
        <f t="shared" si="32"/>
        <v>0</v>
      </c>
      <c r="BF80" s="242">
        <f t="shared" si="33"/>
        <v>0</v>
      </c>
      <c r="BG80" s="243">
        <f t="shared" si="34"/>
        <v>0</v>
      </c>
      <c r="BH80"/>
      <c r="BI80" s="240">
        <f>SUM(BI81:BI82)</f>
        <v>2.7459499999993586E-3</v>
      </c>
      <c r="BJ80" s="242">
        <f t="shared" si="35"/>
        <v>1.7498748587277676E-2</v>
      </c>
      <c r="BK80" s="240">
        <f>SUM(BK81:BK82)</f>
        <v>-0.2889282471361117</v>
      </c>
      <c r="BL80" s="242">
        <f t="shared" si="36"/>
        <v>-0.97911715839176083</v>
      </c>
      <c r="BM80" s="241">
        <f t="shared" si="37"/>
        <v>0.29167419713611109</v>
      </c>
      <c r="BN80" s="242">
        <f t="shared" si="99"/>
        <v>1.0095039167240225</v>
      </c>
      <c r="BO80" s="243">
        <f t="shared" si="39"/>
        <v>1.0095039167240225</v>
      </c>
      <c r="BP80"/>
      <c r="BQ80" s="240">
        <f>SUM(BQ81:BQ82)</f>
        <v>-0.36691102122500002</v>
      </c>
      <c r="BR80" s="242">
        <f t="shared" si="91"/>
        <v>-1.5299923758087159</v>
      </c>
      <c r="BS80" s="241">
        <f t="shared" si="92"/>
        <v>0.36965697122499941</v>
      </c>
      <c r="BT80" s="242">
        <f t="shared" si="93"/>
        <v>1.0074839670687228</v>
      </c>
      <c r="BU80" s="243">
        <f t="shared" si="94"/>
        <v>1.0074839670687228</v>
      </c>
      <c r="BV80"/>
      <c r="BW80" s="240">
        <f>SUM(BW81:BW82)</f>
        <v>-9.0221250000000031E-2</v>
      </c>
      <c r="BX80" s="242">
        <f t="shared" ref="BX80:BX88" si="147">IFERROR(BW80/$P80,0)</f>
        <v>-0.37621607597140977</v>
      </c>
      <c r="BY80" s="241">
        <f t="shared" ref="BY80:BY88" si="148">$BI80-BW80</f>
        <v>9.2967199999999389E-2</v>
      </c>
      <c r="BZ80" s="242">
        <f t="shared" ref="BZ80:BZ88" si="149">IFERROR(BY80/ABS(BW80),"")</f>
        <v>1.0304357343752093</v>
      </c>
      <c r="CA80" s="243">
        <f t="shared" ref="CA80:CA88" si="150">BZ80</f>
        <v>1.0304357343752093</v>
      </c>
      <c r="CC80" s="240">
        <f>SUM(CC81:CC82)</f>
        <v>0.15692264999999955</v>
      </c>
      <c r="CD80" s="240">
        <f t="shared" si="48"/>
        <v>0</v>
      </c>
    </row>
    <row r="81" spans="2:82" hidden="1" outlineLevel="1" x14ac:dyDescent="0.35">
      <c r="B81" s="255" t="s">
        <v>248</v>
      </c>
      <c r="C81" s="255" t="s">
        <v>249</v>
      </c>
      <c r="D81"/>
      <c r="E81" s="266">
        <v>0.15692264999999939</v>
      </c>
      <c r="F81" s="250">
        <v>0.29509057691388835</v>
      </c>
      <c r="G81" s="251">
        <f t="shared" si="0"/>
        <v>-0.13816792691388896</v>
      </c>
      <c r="H81" s="252">
        <f t="shared" si="1"/>
        <v>-0.46822209085384769</v>
      </c>
      <c r="I81" s="253">
        <f t="shared" si="2"/>
        <v>-0.46822209085384769</v>
      </c>
      <c r="J81"/>
      <c r="K81" s="266">
        <v>0.134130552825</v>
      </c>
      <c r="L81" s="251">
        <f t="shared" si="132"/>
        <v>2.2792097174999387E-2</v>
      </c>
      <c r="M81" s="252">
        <f t="shared" si="133"/>
        <v>0.16992472404655046</v>
      </c>
      <c r="N81" s="253">
        <f t="shared" si="134"/>
        <v>0.16992472404655046</v>
      </c>
      <c r="O81"/>
      <c r="P81" s="266">
        <v>0.23981232</v>
      </c>
      <c r="Q81" s="251">
        <f t="shared" si="6"/>
        <v>-8.2889670000000609E-2</v>
      </c>
      <c r="R81" s="252">
        <f t="shared" si="7"/>
        <v>-0.34564391854430421</v>
      </c>
      <c r="S81" s="253">
        <f t="shared" si="8"/>
        <v>-0.34564391854430421</v>
      </c>
      <c r="T81"/>
      <c r="U81" s="266">
        <v>-7.1651980000000629E-2</v>
      </c>
      <c r="V81" s="252">
        <f t="shared" si="9"/>
        <v>-0.45660699714159114</v>
      </c>
      <c r="W81" s="250">
        <v>-0.2889282471361117</v>
      </c>
      <c r="X81" s="252">
        <f t="shared" si="10"/>
        <v>-0.97911715839176083</v>
      </c>
      <c r="Y81" s="251">
        <f t="shared" si="11"/>
        <v>0.21727626713611109</v>
      </c>
      <c r="Z81" s="252">
        <f t="shared" si="12"/>
        <v>-0.75200770187677091</v>
      </c>
      <c r="AA81" s="253">
        <f t="shared" si="13"/>
        <v>-0.75200770187677091</v>
      </c>
      <c r="AB81"/>
      <c r="AC81" s="250">
        <v>-0.36691102122500002</v>
      </c>
      <c r="AD81" s="252">
        <f t="shared" si="135"/>
        <v>-1.5299923758087159</v>
      </c>
      <c r="AE81" s="251">
        <f t="shared" si="136"/>
        <v>0.29525904122499941</v>
      </c>
      <c r="AF81" s="252">
        <f t="shared" si="137"/>
        <v>-0.80471565078427654</v>
      </c>
      <c r="AG81" s="253">
        <f t="shared" si="138"/>
        <v>-0.80471565078427654</v>
      </c>
      <c r="AH81"/>
      <c r="AI81" s="266">
        <v>6.4587699999999601E-3</v>
      </c>
      <c r="AJ81" s="252">
        <f t="shared" si="18"/>
        <v>2.6932602962182927E-2</v>
      </c>
      <c r="AK81" s="251">
        <f t="shared" si="19"/>
        <v>-7.8110750000000589E-2</v>
      </c>
      <c r="AL81" s="252">
        <f t="shared" si="20"/>
        <v>-12.093750048383992</v>
      </c>
      <c r="AM81" s="253">
        <f t="shared" si="21"/>
        <v>-12.093750048383992</v>
      </c>
      <c r="AN81"/>
      <c r="AO81" s="266">
        <v>0</v>
      </c>
      <c r="AP81" s="252">
        <f t="shared" si="22"/>
        <v>0</v>
      </c>
      <c r="AQ81" s="250">
        <v>0</v>
      </c>
      <c r="AR81" s="252">
        <f t="shared" si="23"/>
        <v>0</v>
      </c>
      <c r="AS81" s="251">
        <f t="shared" si="24"/>
        <v>0</v>
      </c>
      <c r="AT81" s="252">
        <f t="shared" si="25"/>
        <v>0</v>
      </c>
      <c r="AU81" s="253">
        <f t="shared" si="26"/>
        <v>0</v>
      </c>
      <c r="AV81"/>
      <c r="AW81" s="266">
        <v>0</v>
      </c>
      <c r="AX81" s="252">
        <f t="shared" si="139"/>
        <v>0</v>
      </c>
      <c r="AY81" s="251">
        <f t="shared" si="140"/>
        <v>0</v>
      </c>
      <c r="AZ81" s="252">
        <f t="shared" si="141"/>
        <v>0</v>
      </c>
      <c r="BA81" s="253">
        <f t="shared" si="142"/>
        <v>0</v>
      </c>
      <c r="BB81"/>
      <c r="BC81" s="266">
        <v>0</v>
      </c>
      <c r="BD81" s="252">
        <f t="shared" si="31"/>
        <v>0</v>
      </c>
      <c r="BE81" s="251">
        <f t="shared" si="32"/>
        <v>0</v>
      </c>
      <c r="BF81" s="252">
        <f t="shared" si="33"/>
        <v>0</v>
      </c>
      <c r="BG81" s="253">
        <f t="shared" si="34"/>
        <v>0</v>
      </c>
      <c r="BH81"/>
      <c r="BI81" s="266">
        <f t="shared" ref="BI81:BI83" si="151">SUM(U81,AO81)</f>
        <v>-7.1651980000000629E-2</v>
      </c>
      <c r="BJ81" s="252">
        <f t="shared" si="35"/>
        <v>-0.45660699714159114</v>
      </c>
      <c r="BK81" s="266">
        <f t="shared" ref="BK81:BK83" si="152">SUM(W81,AQ81)</f>
        <v>-0.2889282471361117</v>
      </c>
      <c r="BL81" s="252">
        <f t="shared" si="36"/>
        <v>-0.97911715839176083</v>
      </c>
      <c r="BM81" s="251">
        <f t="shared" si="37"/>
        <v>0.21727626713611109</v>
      </c>
      <c r="BN81" s="252">
        <f t="shared" si="99"/>
        <v>0.75200770187677091</v>
      </c>
      <c r="BO81" s="253">
        <f t="shared" si="39"/>
        <v>0.75200770187677091</v>
      </c>
      <c r="BP81"/>
      <c r="BQ81" s="266">
        <f t="shared" ref="BQ81:BQ83" si="153">SUM(AC81,AW81)</f>
        <v>-0.36691102122500002</v>
      </c>
      <c r="BR81" s="252">
        <f t="shared" si="91"/>
        <v>-1.5299923758087159</v>
      </c>
      <c r="BS81" s="251">
        <f t="shared" si="92"/>
        <v>0.29525904122499941</v>
      </c>
      <c r="BT81" s="252">
        <f t="shared" si="93"/>
        <v>0.80471565078427654</v>
      </c>
      <c r="BU81" s="253">
        <f t="shared" si="94"/>
        <v>0.80471565078427654</v>
      </c>
      <c r="BV81"/>
      <c r="BW81" s="266">
        <f t="shared" ref="BW81:BW83" si="154">SUM(AI81,BC81)</f>
        <v>6.4587699999999601E-3</v>
      </c>
      <c r="BX81" s="252">
        <f t="shared" si="147"/>
        <v>2.6932602962182927E-2</v>
      </c>
      <c r="BY81" s="251">
        <f t="shared" si="148"/>
        <v>-7.8110750000000589E-2</v>
      </c>
      <c r="BZ81" s="252">
        <f t="shared" si="149"/>
        <v>-12.093750048383992</v>
      </c>
      <c r="CA81" s="253">
        <f t="shared" si="150"/>
        <v>-12.093750048383992</v>
      </c>
      <c r="CC81" s="266">
        <v>0.15692264999999955</v>
      </c>
      <c r="CD81" s="266">
        <f t="shared" si="48"/>
        <v>0</v>
      </c>
    </row>
    <row r="82" spans="2:82" hidden="1" outlineLevel="1" x14ac:dyDescent="0.35">
      <c r="B82" s="255" t="s">
        <v>250</v>
      </c>
      <c r="C82" s="255" t="s">
        <v>251</v>
      </c>
      <c r="D82"/>
      <c r="E82" s="266">
        <v>0</v>
      </c>
      <c r="F82" s="250">
        <v>0</v>
      </c>
      <c r="G82" s="251">
        <f t="shared" si="0"/>
        <v>0</v>
      </c>
      <c r="H82" s="252">
        <f t="shared" si="1"/>
        <v>0</v>
      </c>
      <c r="I82" s="253">
        <f t="shared" si="2"/>
        <v>0</v>
      </c>
      <c r="J82"/>
      <c r="K82" s="266">
        <v>0</v>
      </c>
      <c r="L82" s="251">
        <f t="shared" si="132"/>
        <v>0</v>
      </c>
      <c r="M82" s="252">
        <f t="shared" si="133"/>
        <v>0</v>
      </c>
      <c r="N82" s="253">
        <f t="shared" si="134"/>
        <v>0</v>
      </c>
      <c r="O82"/>
      <c r="P82" s="266">
        <v>0</v>
      </c>
      <c r="Q82" s="251">
        <f t="shared" si="6"/>
        <v>0</v>
      </c>
      <c r="R82" s="252">
        <f t="shared" si="7"/>
        <v>0</v>
      </c>
      <c r="S82" s="253">
        <f t="shared" si="8"/>
        <v>0</v>
      </c>
      <c r="T82"/>
      <c r="U82" s="266">
        <v>7.4397929999999987E-2</v>
      </c>
      <c r="V82" s="252">
        <f t="shared" si="9"/>
        <v>0</v>
      </c>
      <c r="W82" s="250">
        <v>0</v>
      </c>
      <c r="X82" s="252">
        <f t="shared" si="10"/>
        <v>0</v>
      </c>
      <c r="Y82" s="251">
        <f t="shared" si="11"/>
        <v>7.4397929999999987E-2</v>
      </c>
      <c r="Z82" s="252">
        <f t="shared" si="12"/>
        <v>0</v>
      </c>
      <c r="AA82" s="253">
        <f t="shared" si="13"/>
        <v>0</v>
      </c>
      <c r="AB82"/>
      <c r="AC82" s="250">
        <v>0</v>
      </c>
      <c r="AD82" s="252">
        <f t="shared" si="135"/>
        <v>0</v>
      </c>
      <c r="AE82" s="251">
        <f t="shared" si="136"/>
        <v>7.4397929999999987E-2</v>
      </c>
      <c r="AF82" s="252">
        <f t="shared" si="137"/>
        <v>0</v>
      </c>
      <c r="AG82" s="253">
        <f t="shared" si="138"/>
        <v>0</v>
      </c>
      <c r="AH82"/>
      <c r="AI82" s="266">
        <v>-9.6680019999999992E-2</v>
      </c>
      <c r="AJ82" s="252">
        <f t="shared" si="18"/>
        <v>0</v>
      </c>
      <c r="AK82" s="251">
        <f t="shared" si="19"/>
        <v>0.17107794999999998</v>
      </c>
      <c r="AL82" s="252">
        <f t="shared" si="20"/>
        <v>-1.7695274576898101</v>
      </c>
      <c r="AM82" s="253">
        <f t="shared" si="21"/>
        <v>-1.7695274576898101</v>
      </c>
      <c r="AN82"/>
      <c r="AO82" s="266">
        <v>0</v>
      </c>
      <c r="AP82" s="252">
        <f t="shared" si="22"/>
        <v>0</v>
      </c>
      <c r="AQ82" s="250">
        <v>0</v>
      </c>
      <c r="AR82" s="252">
        <f t="shared" si="23"/>
        <v>0</v>
      </c>
      <c r="AS82" s="251">
        <f t="shared" si="24"/>
        <v>0</v>
      </c>
      <c r="AT82" s="252">
        <f t="shared" si="25"/>
        <v>0</v>
      </c>
      <c r="AU82" s="253">
        <f t="shared" si="26"/>
        <v>0</v>
      </c>
      <c r="AV82"/>
      <c r="AW82" s="266">
        <v>0</v>
      </c>
      <c r="AX82" s="252">
        <f t="shared" si="139"/>
        <v>0</v>
      </c>
      <c r="AY82" s="251">
        <f t="shared" si="140"/>
        <v>0</v>
      </c>
      <c r="AZ82" s="252">
        <f t="shared" si="141"/>
        <v>0</v>
      </c>
      <c r="BA82" s="253">
        <f t="shared" si="142"/>
        <v>0</v>
      </c>
      <c r="BB82"/>
      <c r="BC82" s="266">
        <v>0</v>
      </c>
      <c r="BD82" s="252">
        <f t="shared" si="31"/>
        <v>0</v>
      </c>
      <c r="BE82" s="251">
        <f t="shared" si="32"/>
        <v>0</v>
      </c>
      <c r="BF82" s="252">
        <f t="shared" si="33"/>
        <v>0</v>
      </c>
      <c r="BG82" s="253">
        <f t="shared" si="34"/>
        <v>0</v>
      </c>
      <c r="BH82"/>
      <c r="BI82" s="266">
        <f t="shared" si="151"/>
        <v>7.4397929999999987E-2</v>
      </c>
      <c r="BJ82" s="252">
        <f t="shared" si="35"/>
        <v>0</v>
      </c>
      <c r="BK82" s="266">
        <f t="shared" si="152"/>
        <v>0</v>
      </c>
      <c r="BL82" s="252">
        <f t="shared" si="36"/>
        <v>0</v>
      </c>
      <c r="BM82" s="251">
        <f t="shared" si="37"/>
        <v>7.4397929999999987E-2</v>
      </c>
      <c r="BN82" s="252">
        <f>IFERROR(BM82/ABS(BK82),0)</f>
        <v>0</v>
      </c>
      <c r="BO82" s="253">
        <f t="shared" si="39"/>
        <v>0</v>
      </c>
      <c r="BP82"/>
      <c r="BQ82" s="266">
        <f t="shared" si="153"/>
        <v>0</v>
      </c>
      <c r="BR82" s="252">
        <f t="shared" si="91"/>
        <v>0</v>
      </c>
      <c r="BS82" s="251">
        <f t="shared" si="92"/>
        <v>7.4397929999999987E-2</v>
      </c>
      <c r="BT82" s="252" t="str">
        <f t="shared" si="93"/>
        <v/>
      </c>
      <c r="BU82" s="253" t="str">
        <f t="shared" si="94"/>
        <v/>
      </c>
      <c r="BV82"/>
      <c r="BW82" s="266">
        <f t="shared" si="154"/>
        <v>-9.6680019999999992E-2</v>
      </c>
      <c r="BX82" s="252">
        <f t="shared" si="147"/>
        <v>0</v>
      </c>
      <c r="BY82" s="251">
        <f t="shared" si="148"/>
        <v>0.17107794999999998</v>
      </c>
      <c r="BZ82" s="252">
        <f t="shared" si="149"/>
        <v>1.7695274576898101</v>
      </c>
      <c r="CA82" s="253">
        <f t="shared" si="150"/>
        <v>1.7695274576898101</v>
      </c>
      <c r="CC82" s="266">
        <v>0</v>
      </c>
      <c r="CD82" s="266">
        <f t="shared" si="48"/>
        <v>0</v>
      </c>
    </row>
    <row r="83" spans="2:82" collapsed="1" x14ac:dyDescent="0.35">
      <c r="B83" s="239" t="s">
        <v>252</v>
      </c>
      <c r="C83" s="239" t="s">
        <v>253</v>
      </c>
      <c r="D83"/>
      <c r="E83" s="240">
        <v>0</v>
      </c>
      <c r="F83" s="240">
        <v>0</v>
      </c>
      <c r="G83" s="241">
        <f t="shared" ref="G83:G88" si="155">$E83-F83</f>
        <v>0</v>
      </c>
      <c r="H83" s="242">
        <f t="shared" ref="H83:H88" si="156">IFERROR($E83/F83-1,0)</f>
        <v>0</v>
      </c>
      <c r="I83" s="243">
        <f t="shared" ref="I83:I88" si="157">H83</f>
        <v>0</v>
      </c>
      <c r="J83"/>
      <c r="K83" s="240">
        <v>0</v>
      </c>
      <c r="L83" s="241">
        <f t="shared" si="132"/>
        <v>0</v>
      </c>
      <c r="M83" s="242">
        <f t="shared" si="133"/>
        <v>0</v>
      </c>
      <c r="N83" s="243">
        <f t="shared" si="134"/>
        <v>0</v>
      </c>
      <c r="O83"/>
      <c r="P83" s="240">
        <v>0</v>
      </c>
      <c r="Q83" s="241">
        <f t="shared" ref="Q83:Q88" si="158">$E83-P83</f>
        <v>0</v>
      </c>
      <c r="R83" s="242">
        <f t="shared" ref="R83:R88" si="159">IFERROR($E83/P83-1,0)</f>
        <v>0</v>
      </c>
      <c r="S83" s="243">
        <f t="shared" ref="S83:S88" si="160">R83</f>
        <v>0</v>
      </c>
      <c r="T83"/>
      <c r="U83" s="240">
        <v>-1.7195010499999999</v>
      </c>
      <c r="V83" s="242">
        <f t="shared" ref="V83:V88" si="161">IFERROR(U83/$E83,0)</f>
        <v>0</v>
      </c>
      <c r="W83" s="240">
        <v>-1.5993331772447545</v>
      </c>
      <c r="X83" s="242">
        <f t="shared" ref="X83:X88" si="162">IFERROR(W83/$F83,0)</f>
        <v>0</v>
      </c>
      <c r="Y83" s="241">
        <f t="shared" ref="Y83:Y88" si="163">$U83-W83</f>
        <v>-0.12016787275524532</v>
      </c>
      <c r="Z83" s="242">
        <f t="shared" ref="Z83:Z88" si="164">IFERROR($U83/W83-1,0)</f>
        <v>7.5136234566373528E-2</v>
      </c>
      <c r="AA83" s="243">
        <f t="shared" ref="AA83:AA88" si="165">Z83</f>
        <v>7.5136234566373528E-2</v>
      </c>
      <c r="AB83"/>
      <c r="AC83" s="240">
        <v>-1.5993331772447543</v>
      </c>
      <c r="AD83" s="242">
        <f t="shared" si="135"/>
        <v>0</v>
      </c>
      <c r="AE83" s="241">
        <f t="shared" si="136"/>
        <v>-0.12016787275524554</v>
      </c>
      <c r="AF83" s="242">
        <f t="shared" si="137"/>
        <v>7.513623456637375E-2</v>
      </c>
      <c r="AG83" s="243">
        <f t="shared" si="138"/>
        <v>7.513623456637375E-2</v>
      </c>
      <c r="AH83"/>
      <c r="AI83" s="240">
        <v>-1.0333380999999997</v>
      </c>
      <c r="AJ83" s="242">
        <f t="shared" ref="AJ83:AJ88" si="166">IFERROR(AI83/$P83,0)</f>
        <v>0</v>
      </c>
      <c r="AK83" s="241">
        <f t="shared" ref="AK83:AK88" si="167">$U83-AI83</f>
        <v>-0.68616295000000016</v>
      </c>
      <c r="AL83" s="242">
        <f t="shared" ref="AL83:AL88" si="168">IFERROR($U83/AI83-1,0)</f>
        <v>0.66402559820449891</v>
      </c>
      <c r="AM83" s="243">
        <f t="shared" ref="AM83:AM88" si="169">AL83</f>
        <v>0.66402559820449891</v>
      </c>
      <c r="AN83"/>
      <c r="AO83" s="240">
        <v>0</v>
      </c>
      <c r="AP83" s="242">
        <f t="shared" ref="AP83:AP88" si="170">IFERROR(AO83/$E83,0)</f>
        <v>0</v>
      </c>
      <c r="AQ83" s="240">
        <v>0</v>
      </c>
      <c r="AR83" s="242">
        <f t="shared" ref="AR83:AR88" si="171">IFERROR(AQ83/$F83,0)</f>
        <v>0</v>
      </c>
      <c r="AS83" s="241">
        <f t="shared" ref="AS83:AS88" si="172">$AO83-AQ83</f>
        <v>0</v>
      </c>
      <c r="AT83" s="242">
        <f t="shared" ref="AT83:AT88" si="173">IFERROR($AO83/AQ83-1,0)</f>
        <v>0</v>
      </c>
      <c r="AU83" s="243">
        <f t="shared" ref="AU83:AU88" si="174">AT83</f>
        <v>0</v>
      </c>
      <c r="AV83"/>
      <c r="AW83" s="240">
        <v>0</v>
      </c>
      <c r="AX83" s="242">
        <f t="shared" si="139"/>
        <v>0</v>
      </c>
      <c r="AY83" s="241">
        <f t="shared" si="140"/>
        <v>0</v>
      </c>
      <c r="AZ83" s="242">
        <f t="shared" si="141"/>
        <v>0</v>
      </c>
      <c r="BA83" s="243">
        <f t="shared" si="142"/>
        <v>0</v>
      </c>
      <c r="BB83"/>
      <c r="BC83" s="240">
        <v>0</v>
      </c>
      <c r="BD83" s="242">
        <f t="shared" ref="BD83:BD88" si="175">IFERROR(BC83/$P83,0)</f>
        <v>0</v>
      </c>
      <c r="BE83" s="241">
        <f t="shared" ref="BE83:BE88" si="176">$AO83-BC83</f>
        <v>0</v>
      </c>
      <c r="BF83" s="242">
        <f t="shared" ref="BF83:BF88" si="177">IFERROR($AO83/BC83-1,0)</f>
        <v>0</v>
      </c>
      <c r="BG83" s="243">
        <f t="shared" ref="BG83:BG88" si="178">BF83</f>
        <v>0</v>
      </c>
      <c r="BH83"/>
      <c r="BI83" s="240">
        <f t="shared" si="151"/>
        <v>-1.7195010499999999</v>
      </c>
      <c r="BJ83" s="242">
        <f t="shared" ref="BJ83:BJ88" si="179">IFERROR(BI83/$E83,0)</f>
        <v>0</v>
      </c>
      <c r="BK83" s="240">
        <f t="shared" si="152"/>
        <v>-1.5993331772447545</v>
      </c>
      <c r="BL83" s="242">
        <f t="shared" ref="BL83:BL88" si="180">IFERROR(BK83/$F83,0)</f>
        <v>0</v>
      </c>
      <c r="BM83" s="241">
        <f t="shared" ref="BM83:BM88" si="181">$BI83-BK83</f>
        <v>-0.12016787275524532</v>
      </c>
      <c r="BN83" s="242">
        <f t="shared" si="99"/>
        <v>-7.5136234566373528E-2</v>
      </c>
      <c r="BO83" s="243">
        <f t="shared" ref="BO83:BO88" si="182">BN83</f>
        <v>-7.5136234566373528E-2</v>
      </c>
      <c r="BP83"/>
      <c r="BQ83" s="240">
        <f t="shared" si="153"/>
        <v>-1.5993331772447543</v>
      </c>
      <c r="BR83" s="242">
        <f t="shared" si="91"/>
        <v>0</v>
      </c>
      <c r="BS83" s="241">
        <f t="shared" si="92"/>
        <v>-0.12016787275524554</v>
      </c>
      <c r="BT83" s="242">
        <f t="shared" si="93"/>
        <v>-7.5136234566373666E-2</v>
      </c>
      <c r="BU83" s="243">
        <f t="shared" si="94"/>
        <v>-7.5136234566373666E-2</v>
      </c>
      <c r="BV83"/>
      <c r="BW83" s="240">
        <f t="shared" si="154"/>
        <v>-1.0333380999999997</v>
      </c>
      <c r="BX83" s="242">
        <f t="shared" si="147"/>
        <v>0</v>
      </c>
      <c r="BY83" s="241">
        <f t="shared" si="148"/>
        <v>-0.68616295000000016</v>
      </c>
      <c r="BZ83" s="242">
        <f t="shared" si="149"/>
        <v>-0.66402559820449891</v>
      </c>
      <c r="CA83" s="243">
        <f t="shared" si="150"/>
        <v>-0.66402559820449891</v>
      </c>
      <c r="CC83" s="240">
        <v>0</v>
      </c>
      <c r="CD83" s="240">
        <f t="shared" ref="CD83:CD88" si="183">$E83-CC83</f>
        <v>0</v>
      </c>
    </row>
    <row r="84" spans="2:82" ht="7.5" customHeight="1" x14ac:dyDescent="0.35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C84"/>
    </row>
    <row r="85" spans="2:82" hidden="1" outlineLevel="1" x14ac:dyDescent="0.35">
      <c r="B85" s="255" t="s">
        <v>254</v>
      </c>
      <c r="C85" s="255" t="s">
        <v>255</v>
      </c>
      <c r="D85"/>
      <c r="E85" s="266">
        <v>0</v>
      </c>
      <c r="F85" s="266">
        <v>0</v>
      </c>
      <c r="G85" s="251">
        <f t="shared" si="155"/>
        <v>0</v>
      </c>
      <c r="H85" s="252">
        <f t="shared" si="156"/>
        <v>0</v>
      </c>
      <c r="I85" s="253">
        <f t="shared" si="157"/>
        <v>0</v>
      </c>
      <c r="J85"/>
      <c r="K85" s="266">
        <v>0</v>
      </c>
      <c r="L85" s="251">
        <f t="shared" ref="L85:L88" si="184">$E85-K85</f>
        <v>0</v>
      </c>
      <c r="M85" s="252">
        <f t="shared" ref="M85:M88" si="185">IFERROR($E85/K85-1,0)</f>
        <v>0</v>
      </c>
      <c r="N85" s="253">
        <f t="shared" ref="N85:N88" si="186">M85</f>
        <v>0</v>
      </c>
      <c r="O85"/>
      <c r="P85" s="266">
        <v>0</v>
      </c>
      <c r="Q85" s="251">
        <f t="shared" si="158"/>
        <v>0</v>
      </c>
      <c r="R85" s="252">
        <f t="shared" si="159"/>
        <v>0</v>
      </c>
      <c r="S85" s="253">
        <f t="shared" si="160"/>
        <v>0</v>
      </c>
      <c r="T85"/>
      <c r="U85" s="266">
        <v>-3.7775880224089677</v>
      </c>
      <c r="V85" s="252">
        <f t="shared" si="161"/>
        <v>0</v>
      </c>
      <c r="W85" s="266">
        <v>-4.1201581455121561</v>
      </c>
      <c r="X85" s="252">
        <f t="shared" si="162"/>
        <v>0</v>
      </c>
      <c r="Y85" s="251">
        <f t="shared" si="163"/>
        <v>0.34257012310318835</v>
      </c>
      <c r="Z85" s="252">
        <f t="shared" si="164"/>
        <v>-8.3144896628865927E-2</v>
      </c>
      <c r="AA85" s="253">
        <f t="shared" si="165"/>
        <v>-8.3144896628865927E-2</v>
      </c>
      <c r="AB85"/>
      <c r="AC85" s="266">
        <v>-3.3658298926708534</v>
      </c>
      <c r="AD85" s="252">
        <f t="shared" ref="AD85:AD88" si="187">IFERROR(AC85/$P85,0)</f>
        <v>0</v>
      </c>
      <c r="AE85" s="251">
        <f t="shared" ref="AE85:AE88" si="188">$U85-AC85</f>
        <v>-0.41175812973811432</v>
      </c>
      <c r="AF85" s="252">
        <f t="shared" ref="AF85:AF88" si="189">IFERROR($U85/AC85-1,0)</f>
        <v>0.12233480088661763</v>
      </c>
      <c r="AG85" s="253">
        <f t="shared" ref="AG85:AG88" si="190">AF85</f>
        <v>0.12233480088661763</v>
      </c>
      <c r="AH85"/>
      <c r="AI85" s="266">
        <v>-3.2560874799999993</v>
      </c>
      <c r="AJ85" s="252">
        <f t="shared" si="166"/>
        <v>0</v>
      </c>
      <c r="AK85" s="251">
        <f t="shared" si="167"/>
        <v>-0.52150054240896848</v>
      </c>
      <c r="AL85" s="252">
        <f t="shared" si="168"/>
        <v>0.16016171113712474</v>
      </c>
      <c r="AM85" s="253">
        <f t="shared" si="169"/>
        <v>0.16016171113712474</v>
      </c>
      <c r="AN85"/>
      <c r="AO85" s="266">
        <v>-3.4063490000000016E-2</v>
      </c>
      <c r="AP85" s="252">
        <f t="shared" si="170"/>
        <v>0</v>
      </c>
      <c r="AQ85" s="266">
        <v>0</v>
      </c>
      <c r="AR85" s="252">
        <f t="shared" si="171"/>
        <v>0</v>
      </c>
      <c r="AS85" s="251">
        <f t="shared" si="172"/>
        <v>-3.4063490000000016E-2</v>
      </c>
      <c r="AT85" s="252">
        <f t="shared" si="173"/>
        <v>0</v>
      </c>
      <c r="AU85" s="253">
        <f t="shared" si="174"/>
        <v>0</v>
      </c>
      <c r="AV85"/>
      <c r="AW85" s="266">
        <v>0</v>
      </c>
      <c r="AX85" s="252">
        <f t="shared" ref="AX85:AX88" si="191">IFERROR(AW85/$P85,0)</f>
        <v>0</v>
      </c>
      <c r="AY85" s="251">
        <f t="shared" ref="AY85:AY88" si="192">$AO85-AW85</f>
        <v>-3.4063490000000016E-2</v>
      </c>
      <c r="AZ85" s="252">
        <f t="shared" ref="AZ85:AZ88" si="193">IFERROR($AO85/AW85-1,0)</f>
        <v>0</v>
      </c>
      <c r="BA85" s="253">
        <f t="shared" ref="BA85:BA88" si="194">AZ85</f>
        <v>0</v>
      </c>
      <c r="BB85"/>
      <c r="BC85" s="266">
        <v>-0.39834943000000006</v>
      </c>
      <c r="BD85" s="252">
        <f t="shared" si="175"/>
        <v>0</v>
      </c>
      <c r="BE85" s="251">
        <f t="shared" si="176"/>
        <v>0.36428594000000003</v>
      </c>
      <c r="BF85" s="252">
        <f t="shared" si="177"/>
        <v>-0.91448841786970803</v>
      </c>
      <c r="BG85" s="253">
        <f t="shared" si="178"/>
        <v>-0.91448841786970803</v>
      </c>
      <c r="BH85"/>
      <c r="BI85" s="266">
        <f t="shared" ref="BI85:BI87" si="195">SUM(U85,AO85)</f>
        <v>-3.8116515124089676</v>
      </c>
      <c r="BJ85" s="252">
        <f t="shared" si="179"/>
        <v>0</v>
      </c>
      <c r="BK85" s="266">
        <f t="shared" ref="BK85:BK87" si="196">SUM(W85,AQ85)</f>
        <v>-4.1201581455121561</v>
      </c>
      <c r="BL85" s="252">
        <f t="shared" si="180"/>
        <v>0</v>
      </c>
      <c r="BM85" s="251">
        <f t="shared" si="181"/>
        <v>0.30850663310318849</v>
      </c>
      <c r="BN85" s="252">
        <f t="shared" ref="BN85:BN87" si="197">IFERROR($BI85/BK85-1,0)</f>
        <v>-7.4877376597601297E-2</v>
      </c>
      <c r="BO85" s="253">
        <f t="shared" si="182"/>
        <v>-7.4877376597601297E-2</v>
      </c>
      <c r="BP85"/>
      <c r="BQ85" s="266">
        <f t="shared" ref="BQ85:BQ87" si="198">SUM(AC85,AW85)</f>
        <v>-3.3658298926708534</v>
      </c>
      <c r="BR85" s="252">
        <f t="shared" ref="BR85:BR88" si="199">IFERROR(BQ85/$P85,0)</f>
        <v>0</v>
      </c>
      <c r="BS85" s="251">
        <f t="shared" ref="BS85:BS88" si="200">$BI85-BQ85</f>
        <v>-0.44582161973811418</v>
      </c>
      <c r="BT85" s="252">
        <f t="shared" ref="BT85:BT88" si="201">IFERROR(BS85/ABS(BQ85),"")</f>
        <v>-0.13245518459173997</v>
      </c>
      <c r="BU85" s="253">
        <f t="shared" ref="BU85:BU88" si="202">BT85</f>
        <v>-0.13245518459173997</v>
      </c>
      <c r="BV85"/>
      <c r="BW85" s="266">
        <f t="shared" ref="BW85:BW87" si="203">SUM(AI85,BC85)</f>
        <v>-3.6544369099999994</v>
      </c>
      <c r="BX85" s="252">
        <f t="shared" si="147"/>
        <v>0</v>
      </c>
      <c r="BY85" s="251">
        <f t="shared" si="148"/>
        <v>-0.15721460240896823</v>
      </c>
      <c r="BZ85" s="252">
        <f t="shared" si="149"/>
        <v>-4.3020198810592755E-2</v>
      </c>
      <c r="CA85" s="253">
        <f t="shared" si="150"/>
        <v>-4.3020198810592755E-2</v>
      </c>
      <c r="CC85" s="266">
        <v>0</v>
      </c>
      <c r="CD85" s="266">
        <f t="shared" si="183"/>
        <v>0</v>
      </c>
    </row>
    <row r="86" spans="2:82" hidden="1" outlineLevel="1" x14ac:dyDescent="0.35">
      <c r="B86" s="255" t="s">
        <v>256</v>
      </c>
      <c r="C86" s="255" t="s">
        <v>257</v>
      </c>
      <c r="D86"/>
      <c r="E86" s="266">
        <v>0</v>
      </c>
      <c r="F86" s="266">
        <v>0</v>
      </c>
      <c r="G86" s="251">
        <f t="shared" si="155"/>
        <v>0</v>
      </c>
      <c r="H86" s="252">
        <f t="shared" si="156"/>
        <v>0</v>
      </c>
      <c r="I86" s="253">
        <f t="shared" si="157"/>
        <v>0</v>
      </c>
      <c r="J86"/>
      <c r="K86" s="266">
        <v>0</v>
      </c>
      <c r="L86" s="251">
        <f t="shared" si="184"/>
        <v>0</v>
      </c>
      <c r="M86" s="252">
        <f t="shared" si="185"/>
        <v>0</v>
      </c>
      <c r="N86" s="253">
        <f t="shared" si="186"/>
        <v>0</v>
      </c>
      <c r="O86"/>
      <c r="P86" s="266">
        <v>0</v>
      </c>
      <c r="Q86" s="251">
        <f t="shared" si="158"/>
        <v>0</v>
      </c>
      <c r="R86" s="252">
        <f t="shared" si="159"/>
        <v>0</v>
      </c>
      <c r="S86" s="253">
        <f t="shared" si="160"/>
        <v>0</v>
      </c>
      <c r="T86"/>
      <c r="U86" s="266">
        <v>-2.3933160600000019</v>
      </c>
      <c r="V86" s="252">
        <f t="shared" si="161"/>
        <v>0</v>
      </c>
      <c r="W86" s="266">
        <v>-2.7991832320380521</v>
      </c>
      <c r="X86" s="252">
        <f t="shared" si="162"/>
        <v>0</v>
      </c>
      <c r="Y86" s="251">
        <f t="shared" si="163"/>
        <v>0.40586717203805023</v>
      </c>
      <c r="Z86" s="252">
        <f t="shared" si="164"/>
        <v>-0.14499485685420566</v>
      </c>
      <c r="AA86" s="253">
        <f t="shared" si="165"/>
        <v>-0.14499485685420566</v>
      </c>
      <c r="AB86"/>
      <c r="AC86" s="266">
        <v>-2.5146268695699416</v>
      </c>
      <c r="AD86" s="252">
        <f t="shared" si="187"/>
        <v>0</v>
      </c>
      <c r="AE86" s="251">
        <f t="shared" si="188"/>
        <v>0.12131080956993978</v>
      </c>
      <c r="AF86" s="252">
        <f t="shared" si="189"/>
        <v>-4.8242071632156991E-2</v>
      </c>
      <c r="AG86" s="253">
        <f t="shared" si="190"/>
        <v>-4.8242071632156991E-2</v>
      </c>
      <c r="AH86"/>
      <c r="AI86" s="266">
        <v>-2.9559879400000026</v>
      </c>
      <c r="AJ86" s="252">
        <f t="shared" si="166"/>
        <v>0</v>
      </c>
      <c r="AK86" s="251">
        <f t="shared" si="167"/>
        <v>0.56267188000000079</v>
      </c>
      <c r="AL86" s="252">
        <f t="shared" si="168"/>
        <v>-0.19034985643412339</v>
      </c>
      <c r="AM86" s="253">
        <f t="shared" si="169"/>
        <v>-0.19034985643412339</v>
      </c>
      <c r="AN86"/>
      <c r="AO86" s="266">
        <v>0</v>
      </c>
      <c r="AP86" s="252">
        <f t="shared" si="170"/>
        <v>0</v>
      </c>
      <c r="AQ86" s="266">
        <v>0</v>
      </c>
      <c r="AR86" s="252">
        <f t="shared" si="171"/>
        <v>0</v>
      </c>
      <c r="AS86" s="251">
        <f t="shared" si="172"/>
        <v>0</v>
      </c>
      <c r="AT86" s="252">
        <f t="shared" si="173"/>
        <v>0</v>
      </c>
      <c r="AU86" s="253">
        <f t="shared" si="174"/>
        <v>0</v>
      </c>
      <c r="AV86"/>
      <c r="AW86" s="266">
        <v>0</v>
      </c>
      <c r="AX86" s="252">
        <f t="shared" si="191"/>
        <v>0</v>
      </c>
      <c r="AY86" s="251">
        <f t="shared" si="192"/>
        <v>0</v>
      </c>
      <c r="AZ86" s="252">
        <f t="shared" si="193"/>
        <v>0</v>
      </c>
      <c r="BA86" s="253">
        <f t="shared" si="194"/>
        <v>0</v>
      </c>
      <c r="BB86"/>
      <c r="BC86" s="266">
        <v>0</v>
      </c>
      <c r="BD86" s="252">
        <f t="shared" si="175"/>
        <v>0</v>
      </c>
      <c r="BE86" s="251">
        <f t="shared" si="176"/>
        <v>0</v>
      </c>
      <c r="BF86" s="252">
        <f t="shared" si="177"/>
        <v>0</v>
      </c>
      <c r="BG86" s="253">
        <f t="shared" si="178"/>
        <v>0</v>
      </c>
      <c r="BH86"/>
      <c r="BI86" s="266">
        <f t="shared" si="195"/>
        <v>-2.3933160600000019</v>
      </c>
      <c r="BJ86" s="252">
        <f t="shared" si="179"/>
        <v>0</v>
      </c>
      <c r="BK86" s="266">
        <f t="shared" si="196"/>
        <v>-2.7991832320380521</v>
      </c>
      <c r="BL86" s="252">
        <f t="shared" si="180"/>
        <v>0</v>
      </c>
      <c r="BM86" s="251">
        <f t="shared" si="181"/>
        <v>0.40586717203805023</v>
      </c>
      <c r="BN86" s="252">
        <f t="shared" si="197"/>
        <v>-0.14499485685420566</v>
      </c>
      <c r="BO86" s="253">
        <f t="shared" si="182"/>
        <v>-0.14499485685420566</v>
      </c>
      <c r="BP86"/>
      <c r="BQ86" s="266">
        <f t="shared" si="198"/>
        <v>-2.5146268695699416</v>
      </c>
      <c r="BR86" s="252">
        <f t="shared" si="199"/>
        <v>0</v>
      </c>
      <c r="BS86" s="251">
        <f t="shared" si="200"/>
        <v>0.12131080956993978</v>
      </c>
      <c r="BT86" s="252">
        <f t="shared" si="201"/>
        <v>4.8242071632156977E-2</v>
      </c>
      <c r="BU86" s="253">
        <f t="shared" si="202"/>
        <v>4.8242071632156977E-2</v>
      </c>
      <c r="BV86"/>
      <c r="BW86" s="266">
        <f t="shared" si="203"/>
        <v>-2.9559879400000026</v>
      </c>
      <c r="BX86" s="252">
        <f t="shared" si="147"/>
        <v>0</v>
      </c>
      <c r="BY86" s="251">
        <f t="shared" si="148"/>
        <v>0.56267188000000079</v>
      </c>
      <c r="BZ86" s="252">
        <f t="shared" si="149"/>
        <v>0.19034985643412344</v>
      </c>
      <c r="CA86" s="253">
        <f t="shared" si="150"/>
        <v>0.19034985643412344</v>
      </c>
      <c r="CC86" s="266">
        <v>0</v>
      </c>
      <c r="CD86" s="266">
        <f t="shared" si="183"/>
        <v>0</v>
      </c>
    </row>
    <row r="87" spans="2:82" hidden="1" outlineLevel="1" x14ac:dyDescent="0.35">
      <c r="B87" s="255" t="s">
        <v>258</v>
      </c>
      <c r="C87" s="255" t="s">
        <v>259</v>
      </c>
      <c r="D87"/>
      <c r="E87" s="266">
        <v>0</v>
      </c>
      <c r="F87" s="266">
        <v>0</v>
      </c>
      <c r="G87" s="251">
        <f t="shared" si="155"/>
        <v>0</v>
      </c>
      <c r="H87" s="252">
        <f t="shared" si="156"/>
        <v>0</v>
      </c>
      <c r="I87" s="253">
        <f t="shared" si="157"/>
        <v>0</v>
      </c>
      <c r="J87"/>
      <c r="K87" s="266">
        <v>0</v>
      </c>
      <c r="L87" s="251">
        <f t="shared" si="184"/>
        <v>0</v>
      </c>
      <c r="M87" s="252">
        <f t="shared" si="185"/>
        <v>0</v>
      </c>
      <c r="N87" s="253">
        <f t="shared" si="186"/>
        <v>0</v>
      </c>
      <c r="O87"/>
      <c r="P87" s="266">
        <v>0</v>
      </c>
      <c r="Q87" s="251">
        <f t="shared" si="158"/>
        <v>0</v>
      </c>
      <c r="R87" s="252">
        <f t="shared" si="159"/>
        <v>0</v>
      </c>
      <c r="S87" s="253">
        <f t="shared" si="160"/>
        <v>0</v>
      </c>
      <c r="T87"/>
      <c r="U87" s="266">
        <v>-2.327592119999998</v>
      </c>
      <c r="V87" s="252">
        <f t="shared" si="161"/>
        <v>0</v>
      </c>
      <c r="W87" s="266">
        <v>-5.3734439740998177</v>
      </c>
      <c r="X87" s="252">
        <f t="shared" si="162"/>
        <v>0</v>
      </c>
      <c r="Y87" s="251">
        <f t="shared" si="163"/>
        <v>3.0458518540998196</v>
      </c>
      <c r="Z87" s="252">
        <f t="shared" si="164"/>
        <v>-0.5668342070338741</v>
      </c>
      <c r="AA87" s="253">
        <f t="shared" si="165"/>
        <v>-0.5668342070338741</v>
      </c>
      <c r="AB87"/>
      <c r="AC87" s="266">
        <v>-5.3211859015420719</v>
      </c>
      <c r="AD87" s="252">
        <f t="shared" si="187"/>
        <v>0</v>
      </c>
      <c r="AE87" s="251">
        <f t="shared" si="188"/>
        <v>2.9935937815420739</v>
      </c>
      <c r="AF87" s="252">
        <f t="shared" si="189"/>
        <v>-0.56258019113268243</v>
      </c>
      <c r="AG87" s="253">
        <f t="shared" si="190"/>
        <v>-0.56258019113268243</v>
      </c>
      <c r="AH87"/>
      <c r="AI87" s="266">
        <v>-1.4919082100000007</v>
      </c>
      <c r="AJ87" s="252">
        <f t="shared" si="166"/>
        <v>0</v>
      </c>
      <c r="AK87" s="251">
        <f t="shared" si="167"/>
        <v>-0.83568390999999731</v>
      </c>
      <c r="AL87" s="252">
        <f t="shared" si="168"/>
        <v>0.56014432013883542</v>
      </c>
      <c r="AM87" s="253">
        <f t="shared" si="169"/>
        <v>0.56014432013883542</v>
      </c>
      <c r="AN87"/>
      <c r="AO87" s="266">
        <v>-1.5446855900000003</v>
      </c>
      <c r="AP87" s="252">
        <f t="shared" si="170"/>
        <v>0</v>
      </c>
      <c r="AQ87" s="266">
        <v>-2.5000000000000001E-3</v>
      </c>
      <c r="AR87" s="252">
        <f t="shared" si="171"/>
        <v>0</v>
      </c>
      <c r="AS87" s="251">
        <f t="shared" si="172"/>
        <v>-1.5421855900000003</v>
      </c>
      <c r="AT87" s="252">
        <f t="shared" si="173"/>
        <v>616.87423600000011</v>
      </c>
      <c r="AU87" s="253">
        <f t="shared" si="174"/>
        <v>616.87423600000011</v>
      </c>
      <c r="AV87"/>
      <c r="AW87" s="266">
        <v>0</v>
      </c>
      <c r="AX87" s="252">
        <f t="shared" si="191"/>
        <v>0</v>
      </c>
      <c r="AY87" s="251">
        <f t="shared" si="192"/>
        <v>-1.5446855900000003</v>
      </c>
      <c r="AZ87" s="252">
        <f t="shared" si="193"/>
        <v>0</v>
      </c>
      <c r="BA87" s="253">
        <f t="shared" si="194"/>
        <v>0</v>
      </c>
      <c r="BB87"/>
      <c r="BC87" s="266">
        <v>0</v>
      </c>
      <c r="BD87" s="252">
        <f t="shared" si="175"/>
        <v>0</v>
      </c>
      <c r="BE87" s="251">
        <f t="shared" si="176"/>
        <v>-1.5446855900000003</v>
      </c>
      <c r="BF87" s="252">
        <f t="shared" si="177"/>
        <v>0</v>
      </c>
      <c r="BG87" s="253">
        <f t="shared" si="178"/>
        <v>0</v>
      </c>
      <c r="BH87"/>
      <c r="BI87" s="266">
        <f t="shared" si="195"/>
        <v>-3.8722777099999983</v>
      </c>
      <c r="BJ87" s="252">
        <f t="shared" si="179"/>
        <v>0</v>
      </c>
      <c r="BK87" s="266">
        <f t="shared" si="196"/>
        <v>-5.3759439740998181</v>
      </c>
      <c r="BL87" s="252">
        <f t="shared" si="180"/>
        <v>0</v>
      </c>
      <c r="BM87" s="251">
        <f t="shared" si="181"/>
        <v>1.5036662640998197</v>
      </c>
      <c r="BN87" s="252">
        <f t="shared" si="197"/>
        <v>-0.27970274082917745</v>
      </c>
      <c r="BO87" s="253">
        <f t="shared" si="182"/>
        <v>-0.27970274082917745</v>
      </c>
      <c r="BP87"/>
      <c r="BQ87" s="266">
        <f t="shared" si="198"/>
        <v>-5.3211859015420719</v>
      </c>
      <c r="BR87" s="252">
        <f t="shared" si="199"/>
        <v>0</v>
      </c>
      <c r="BS87" s="251">
        <f t="shared" si="200"/>
        <v>1.4489081915420736</v>
      </c>
      <c r="BT87" s="252">
        <f t="shared" si="201"/>
        <v>0.27229046651465083</v>
      </c>
      <c r="BU87" s="253">
        <f t="shared" si="202"/>
        <v>0.27229046651465083</v>
      </c>
      <c r="BV87"/>
      <c r="BW87" s="266">
        <f t="shared" si="203"/>
        <v>-1.4919082100000007</v>
      </c>
      <c r="BX87" s="252">
        <f t="shared" si="147"/>
        <v>0</v>
      </c>
      <c r="BY87" s="251">
        <f t="shared" si="148"/>
        <v>-2.3803694999999978</v>
      </c>
      <c r="BZ87" s="252">
        <f t="shared" si="149"/>
        <v>-1.595520075594997</v>
      </c>
      <c r="CA87" s="253">
        <f t="shared" si="150"/>
        <v>-1.595520075594997</v>
      </c>
      <c r="CC87" s="266">
        <v>0</v>
      </c>
      <c r="CD87" s="266">
        <f t="shared" si="183"/>
        <v>0</v>
      </c>
    </row>
    <row r="88" spans="2:82" collapsed="1" x14ac:dyDescent="0.35">
      <c r="B88" s="234">
        <v>3</v>
      </c>
      <c r="C88" s="234" t="s">
        <v>260</v>
      </c>
      <c r="D88"/>
      <c r="E88" s="235">
        <f>SUM(E85:E87)</f>
        <v>0</v>
      </c>
      <c r="F88" s="235">
        <f>SUM(F85:F87)</f>
        <v>0</v>
      </c>
      <c r="G88" s="236">
        <f t="shared" si="155"/>
        <v>0</v>
      </c>
      <c r="H88" s="237">
        <f t="shared" si="156"/>
        <v>0</v>
      </c>
      <c r="I88" s="238">
        <f t="shared" si="157"/>
        <v>0</v>
      </c>
      <c r="J88"/>
      <c r="K88" s="235">
        <f>SUM(K85:K87)</f>
        <v>0</v>
      </c>
      <c r="L88" s="236">
        <f t="shared" si="184"/>
        <v>0</v>
      </c>
      <c r="M88" s="237">
        <f t="shared" si="185"/>
        <v>0</v>
      </c>
      <c r="N88" s="238">
        <f t="shared" si="186"/>
        <v>0</v>
      </c>
      <c r="O88"/>
      <c r="P88" s="235">
        <f>SUM(P85:P87)</f>
        <v>0</v>
      </c>
      <c r="Q88" s="236">
        <f t="shared" si="158"/>
        <v>0</v>
      </c>
      <c r="R88" s="237">
        <f t="shared" si="159"/>
        <v>0</v>
      </c>
      <c r="S88" s="238">
        <f t="shared" si="160"/>
        <v>0</v>
      </c>
      <c r="T88"/>
      <c r="U88" s="235">
        <f>SUM(U85:U87)</f>
        <v>-8.4984962024089672</v>
      </c>
      <c r="V88" s="237">
        <f t="shared" si="161"/>
        <v>0</v>
      </c>
      <c r="W88" s="235">
        <f>SUM(W85:W87)</f>
        <v>-12.292785351650025</v>
      </c>
      <c r="X88" s="237">
        <f t="shared" si="162"/>
        <v>0</v>
      </c>
      <c r="Y88" s="236">
        <f t="shared" si="163"/>
        <v>3.7942891492410578</v>
      </c>
      <c r="Z88" s="237">
        <f t="shared" si="164"/>
        <v>-0.30865983914148154</v>
      </c>
      <c r="AA88" s="238">
        <f t="shared" si="165"/>
        <v>-0.30865983914148154</v>
      </c>
      <c r="AB88"/>
      <c r="AC88" s="235">
        <f>SUM(AC85:AC87)</f>
        <v>-11.201642663782867</v>
      </c>
      <c r="AD88" s="237">
        <f t="shared" si="187"/>
        <v>0</v>
      </c>
      <c r="AE88" s="236">
        <f t="shared" si="188"/>
        <v>2.7031464613738994</v>
      </c>
      <c r="AF88" s="237">
        <f t="shared" si="189"/>
        <v>-0.2413169695292734</v>
      </c>
      <c r="AG88" s="238">
        <f t="shared" si="190"/>
        <v>-0.2413169695292734</v>
      </c>
      <c r="AH88"/>
      <c r="AI88" s="235">
        <f>SUM(AI85:AI87)</f>
        <v>-7.7039836300000024</v>
      </c>
      <c r="AJ88" s="237">
        <f t="shared" si="166"/>
        <v>0</v>
      </c>
      <c r="AK88" s="236">
        <f t="shared" si="167"/>
        <v>-0.79451257240896478</v>
      </c>
      <c r="AL88" s="237">
        <f t="shared" si="168"/>
        <v>0.10313009613819291</v>
      </c>
      <c r="AM88" s="238">
        <f t="shared" si="169"/>
        <v>0.10313009613819291</v>
      </c>
      <c r="AN88"/>
      <c r="AO88" s="235">
        <f>SUM(AO85:AO87)</f>
        <v>-1.5787490800000004</v>
      </c>
      <c r="AP88" s="237">
        <f t="shared" si="170"/>
        <v>0</v>
      </c>
      <c r="AQ88" s="235">
        <f>SUM(AQ85:AQ87)</f>
        <v>-2.5000000000000001E-3</v>
      </c>
      <c r="AR88" s="237">
        <f t="shared" si="171"/>
        <v>0</v>
      </c>
      <c r="AS88" s="236">
        <f t="shared" si="172"/>
        <v>-1.5762490800000004</v>
      </c>
      <c r="AT88" s="237">
        <f t="shared" si="173"/>
        <v>630.49963200000013</v>
      </c>
      <c r="AU88" s="238">
        <f t="shared" si="174"/>
        <v>630.49963200000013</v>
      </c>
      <c r="AV88"/>
      <c r="AW88" s="235">
        <f>SUM(AW85:AW87)</f>
        <v>0</v>
      </c>
      <c r="AX88" s="237">
        <f t="shared" si="191"/>
        <v>0</v>
      </c>
      <c r="AY88" s="236">
        <f t="shared" si="192"/>
        <v>-1.5787490800000004</v>
      </c>
      <c r="AZ88" s="237">
        <f t="shared" si="193"/>
        <v>0</v>
      </c>
      <c r="BA88" s="238">
        <f t="shared" si="194"/>
        <v>0</v>
      </c>
      <c r="BB88"/>
      <c r="BC88" s="235">
        <f>SUM(BC85:BC87)</f>
        <v>-0.39834943000000006</v>
      </c>
      <c r="BD88" s="237">
        <f t="shared" si="175"/>
        <v>0</v>
      </c>
      <c r="BE88" s="236">
        <f t="shared" si="176"/>
        <v>-1.1803996500000002</v>
      </c>
      <c r="BF88" s="237">
        <f t="shared" si="177"/>
        <v>2.963226657560424</v>
      </c>
      <c r="BG88" s="238">
        <f t="shared" si="178"/>
        <v>2.963226657560424</v>
      </c>
      <c r="BH88"/>
      <c r="BI88" s="235">
        <f>SUM(BI85:BI87)</f>
        <v>-10.077245282408969</v>
      </c>
      <c r="BJ88" s="237">
        <f t="shared" si="179"/>
        <v>0</v>
      </c>
      <c r="BK88" s="235">
        <f>SUM(BK85:BK87)</f>
        <v>-12.295285351650026</v>
      </c>
      <c r="BL88" s="237">
        <f t="shared" si="180"/>
        <v>0</v>
      </c>
      <c r="BM88" s="236">
        <f t="shared" si="181"/>
        <v>2.2180400692410576</v>
      </c>
      <c r="BN88" s="237">
        <f>BM88/ABS(BK88)</f>
        <v>0.18039760817290806</v>
      </c>
      <c r="BO88" s="238">
        <f t="shared" si="182"/>
        <v>0.18039760817290806</v>
      </c>
      <c r="BP88"/>
      <c r="BQ88" s="235">
        <f>SUM(BQ85:BQ87)</f>
        <v>-11.201642663782867</v>
      </c>
      <c r="BR88" s="237">
        <f t="shared" si="199"/>
        <v>0</v>
      </c>
      <c r="BS88" s="236">
        <f t="shared" si="200"/>
        <v>1.1243973813738979</v>
      </c>
      <c r="BT88" s="237">
        <f t="shared" si="201"/>
        <v>0.10037790127061433</v>
      </c>
      <c r="BU88" s="238">
        <f t="shared" si="202"/>
        <v>0.10037790127061433</v>
      </c>
      <c r="BV88"/>
      <c r="BW88" s="235">
        <f>SUM(BW85:BW87)</f>
        <v>-8.102333060000003</v>
      </c>
      <c r="BX88" s="237">
        <f t="shared" si="147"/>
        <v>0</v>
      </c>
      <c r="BY88" s="236">
        <f t="shared" si="148"/>
        <v>-1.9749122224089657</v>
      </c>
      <c r="BZ88" s="237">
        <f t="shared" si="149"/>
        <v>-0.2437461170485338</v>
      </c>
      <c r="CA88" s="238">
        <f t="shared" si="150"/>
        <v>-0.2437461170485338</v>
      </c>
      <c r="CC88" s="235">
        <f>SUM(CC85:CC87)</f>
        <v>0</v>
      </c>
      <c r="CD88" s="235">
        <f t="shared" si="183"/>
        <v>0</v>
      </c>
    </row>
    <row r="90" spans="2:82" ht="15" customHeight="1" x14ac:dyDescent="0.35">
      <c r="B90" s="324" t="s">
        <v>303</v>
      </c>
      <c r="C90" s="267"/>
      <c r="D90" s="267"/>
      <c r="E90" s="268">
        <f>E11-'P&amp;L Contábil'!K9</f>
        <v>0</v>
      </c>
      <c r="F90" s="325">
        <f>F11-'P&amp;L Contábil'!N9</f>
        <v>0</v>
      </c>
      <c r="G90" s="268"/>
      <c r="H90" s="268"/>
      <c r="I90" s="268"/>
      <c r="J90" s="268"/>
      <c r="K90" s="268"/>
      <c r="L90" s="268"/>
      <c r="M90" s="268"/>
      <c r="N90" s="268"/>
      <c r="O90" s="268"/>
      <c r="P90" s="268">
        <f>P11-'P&amp;L Contábil'!AB9</f>
        <v>0</v>
      </c>
      <c r="Q90" s="268"/>
      <c r="R90" s="268"/>
      <c r="S90" s="268"/>
      <c r="T90" s="268"/>
      <c r="U90" s="268">
        <f>U11-'P&amp;L Contábil'!K19</f>
        <v>0</v>
      </c>
      <c r="V90" s="268"/>
      <c r="W90" s="268">
        <f>W11-'P&amp;L Contábil'!N19</f>
        <v>-9.1514190279688066</v>
      </c>
      <c r="X90" s="268"/>
      <c r="Y90" s="268"/>
      <c r="Z90" s="268"/>
      <c r="AA90" s="268"/>
      <c r="AB90" s="268"/>
      <c r="AC90" s="268"/>
      <c r="AD90" s="268"/>
      <c r="AE90" s="268"/>
      <c r="AF90" s="268"/>
      <c r="AG90" s="268"/>
      <c r="AH90" s="268"/>
      <c r="AI90" s="268">
        <f>AI11-'P&amp;L Contábil'!AB19</f>
        <v>1.0405913333258354E-2</v>
      </c>
      <c r="AJ90" s="268"/>
      <c r="AK90" s="268"/>
      <c r="AL90" s="268"/>
      <c r="AM90" s="268"/>
      <c r="AN90" s="268"/>
      <c r="AO90" s="268">
        <f>AO11-'P&amp;L Contábil'!K41</f>
        <v>0</v>
      </c>
      <c r="AP90" s="268"/>
      <c r="AQ90" s="268">
        <f>AQ11-'P&amp;L Contábil'!N41</f>
        <v>9.1514190279688261</v>
      </c>
      <c r="AR90" s="268"/>
      <c r="AS90" s="268"/>
      <c r="AT90" s="268"/>
      <c r="AU90" s="268"/>
      <c r="AV90" s="268"/>
      <c r="AW90" s="268"/>
      <c r="AX90" s="268"/>
      <c r="AY90" s="268"/>
      <c r="AZ90" s="268"/>
      <c r="BA90" s="268"/>
      <c r="BB90" s="268"/>
      <c r="BC90" s="268">
        <f>BC11-'P&amp;L Contábil'!AB41</f>
        <v>0</v>
      </c>
      <c r="BD90" s="268"/>
      <c r="BE90" s="268"/>
      <c r="BF90" s="268"/>
      <c r="BG90" s="268"/>
      <c r="BH90" s="268"/>
      <c r="BI90" s="268">
        <f>BI11-'P&amp;L Contábil'!K42</f>
        <v>0</v>
      </c>
      <c r="BJ90" s="268"/>
      <c r="BK90" s="268">
        <f>BK11-'P&amp;L Contábil'!N42</f>
        <v>0</v>
      </c>
      <c r="BL90" s="268"/>
      <c r="BM90" s="268"/>
      <c r="BN90" s="268"/>
      <c r="BO90" s="268"/>
      <c r="BP90" s="268"/>
      <c r="BQ90" s="325"/>
      <c r="BV90" s="268"/>
      <c r="BW90" s="325">
        <f>BW11-'P&amp;L Contábil'!AB42</f>
        <v>1.0405913333261907E-2</v>
      </c>
      <c r="CC90" s="268"/>
    </row>
    <row r="91" spans="2:82" x14ac:dyDescent="0.35">
      <c r="E91" s="269"/>
      <c r="F91" s="269"/>
      <c r="G91" s="269"/>
      <c r="H91" s="269"/>
      <c r="I91" s="269"/>
      <c r="J91" s="269"/>
      <c r="K91" s="269"/>
      <c r="L91" s="269"/>
      <c r="M91" s="269"/>
      <c r="N91" s="269"/>
      <c r="O91" s="269"/>
      <c r="P91" s="269"/>
      <c r="Q91" s="269"/>
      <c r="R91" s="269"/>
      <c r="S91" s="269"/>
      <c r="T91" s="269"/>
      <c r="U91" s="269"/>
      <c r="V91" s="269"/>
      <c r="W91" s="269"/>
      <c r="X91" s="269"/>
      <c r="Y91" s="269"/>
      <c r="Z91" s="269"/>
      <c r="AA91" s="269"/>
      <c r="AB91" s="269"/>
      <c r="AC91" s="326"/>
      <c r="AD91" s="269"/>
      <c r="AE91" s="269"/>
      <c r="AF91" s="269"/>
      <c r="AG91" s="269"/>
      <c r="AH91" s="269"/>
      <c r="AI91" s="326"/>
      <c r="AJ91" s="269"/>
      <c r="AK91" s="269"/>
      <c r="AL91" s="269"/>
      <c r="AM91" s="269"/>
      <c r="AN91" s="269"/>
      <c r="AO91" s="269"/>
      <c r="AP91" s="269"/>
      <c r="AQ91" s="269"/>
      <c r="AR91" s="269"/>
      <c r="AS91" s="269"/>
      <c r="AT91" s="269"/>
      <c r="AU91" s="269"/>
      <c r="AV91" s="269"/>
      <c r="AW91" s="269"/>
      <c r="AX91" s="269"/>
      <c r="AY91" s="269"/>
      <c r="AZ91" s="269"/>
      <c r="BA91" s="269"/>
      <c r="BB91" s="269"/>
      <c r="BC91" s="269"/>
      <c r="BD91" s="269"/>
      <c r="BE91" s="269"/>
      <c r="BF91" s="269"/>
      <c r="BG91" s="269"/>
      <c r="BH91" s="269"/>
      <c r="BI91" s="269"/>
      <c r="BQ91" s="327"/>
      <c r="BW91" s="327"/>
      <c r="CC91" s="269"/>
    </row>
    <row r="92" spans="2:82" x14ac:dyDescent="0.35">
      <c r="F92"/>
      <c r="U92" s="270"/>
    </row>
    <row r="93" spans="2:82" x14ac:dyDescent="0.35"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U93" s="270"/>
    </row>
    <row r="94" spans="2:82" x14ac:dyDescent="0.35">
      <c r="C94"/>
      <c r="F94"/>
      <c r="G94"/>
      <c r="H94"/>
      <c r="I94"/>
      <c r="J94"/>
      <c r="K94"/>
      <c r="L94"/>
      <c r="M94"/>
      <c r="N94"/>
      <c r="O94"/>
      <c r="P94"/>
      <c r="Q94"/>
      <c r="R94"/>
      <c r="S94"/>
    </row>
    <row r="95" spans="2:82" x14ac:dyDescent="0.35">
      <c r="F95"/>
      <c r="G95"/>
      <c r="H95"/>
      <c r="I95"/>
      <c r="J95"/>
      <c r="K95"/>
      <c r="L95"/>
      <c r="M95"/>
      <c r="N95"/>
      <c r="O95"/>
      <c r="P95"/>
      <c r="Q95"/>
      <c r="R95"/>
      <c r="S95"/>
    </row>
    <row r="96" spans="2:82" x14ac:dyDescent="0.35">
      <c r="G96"/>
      <c r="H96"/>
      <c r="I96"/>
      <c r="J96"/>
      <c r="K96"/>
      <c r="L96"/>
      <c r="M96"/>
      <c r="N96"/>
      <c r="O96"/>
      <c r="P96"/>
      <c r="Q96"/>
      <c r="R96"/>
      <c r="S96"/>
    </row>
    <row r="97" spans="7:22" x14ac:dyDescent="0.35">
      <c r="G97"/>
      <c r="H97"/>
      <c r="I97"/>
      <c r="J97"/>
      <c r="K97"/>
      <c r="L97"/>
      <c r="M97"/>
      <c r="N97"/>
      <c r="O97"/>
      <c r="P97"/>
      <c r="Q97"/>
      <c r="R97"/>
      <c r="S97"/>
      <c r="V97" s="271"/>
    </row>
    <row r="98" spans="7:22" x14ac:dyDescent="0.35">
      <c r="G98"/>
      <c r="H98"/>
      <c r="I98"/>
      <c r="J98"/>
      <c r="K98"/>
      <c r="L98"/>
      <c r="M98"/>
      <c r="N98"/>
      <c r="O98"/>
      <c r="P98"/>
      <c r="Q98"/>
      <c r="R98"/>
      <c r="S98"/>
    </row>
    <row r="99" spans="7:22" x14ac:dyDescent="0.35">
      <c r="G99"/>
      <c r="H99"/>
      <c r="I99"/>
      <c r="J99"/>
      <c r="K99"/>
      <c r="L99"/>
      <c r="M99"/>
      <c r="N99"/>
      <c r="O99"/>
      <c r="P99"/>
      <c r="Q99"/>
      <c r="R99"/>
      <c r="S99"/>
    </row>
    <row r="100" spans="7:22" x14ac:dyDescent="0.35">
      <c r="G100"/>
      <c r="H100"/>
      <c r="I100"/>
      <c r="J100"/>
      <c r="K100"/>
      <c r="L100"/>
      <c r="M100"/>
      <c r="N100"/>
      <c r="O100"/>
      <c r="P100"/>
      <c r="Q100"/>
      <c r="R100"/>
      <c r="S100"/>
    </row>
    <row r="101" spans="7:22" x14ac:dyDescent="0.35">
      <c r="G101"/>
      <c r="H101"/>
      <c r="I101"/>
      <c r="J101"/>
      <c r="K101"/>
      <c r="L101"/>
      <c r="M101"/>
      <c r="N101"/>
      <c r="O101"/>
      <c r="P101"/>
      <c r="Q101"/>
      <c r="R101"/>
      <c r="S101"/>
    </row>
    <row r="102" spans="7:22" x14ac:dyDescent="0.35">
      <c r="G102"/>
      <c r="H102"/>
      <c r="I102"/>
      <c r="J102"/>
      <c r="K102"/>
      <c r="L102"/>
      <c r="M102"/>
      <c r="N102"/>
      <c r="O102"/>
      <c r="P102"/>
      <c r="Q102"/>
      <c r="R102"/>
      <c r="S102"/>
    </row>
    <row r="103" spans="7:22" x14ac:dyDescent="0.35">
      <c r="G103"/>
      <c r="H103"/>
      <c r="I103"/>
      <c r="J103"/>
      <c r="K103"/>
      <c r="L103"/>
      <c r="M103"/>
      <c r="N103"/>
      <c r="O103"/>
      <c r="P103"/>
      <c r="Q103"/>
      <c r="R103"/>
      <c r="S103"/>
    </row>
    <row r="104" spans="7:22" x14ac:dyDescent="0.35">
      <c r="G104"/>
      <c r="H104"/>
      <c r="I104"/>
      <c r="J104"/>
      <c r="K104"/>
      <c r="L104"/>
      <c r="M104"/>
      <c r="N104"/>
      <c r="O104"/>
      <c r="P104"/>
      <c r="Q104"/>
      <c r="R104"/>
      <c r="S104"/>
    </row>
    <row r="105" spans="7:22" x14ac:dyDescent="0.35">
      <c r="G105"/>
      <c r="H105"/>
      <c r="I105"/>
      <c r="J105"/>
      <c r="K105"/>
      <c r="L105"/>
      <c r="M105"/>
      <c r="N105"/>
      <c r="O105"/>
      <c r="P105"/>
      <c r="Q105"/>
      <c r="R105"/>
      <c r="S105"/>
    </row>
  </sheetData>
  <conditionalFormatting sqref="I85:I88 I11 S11 S85:S88 I51:I83 S51:S83 N11 N85:N88 N51:N83 S13:S49 N13:N49 I13:I49">
    <cfRule type="iconSet" priority="1">
      <iconSet showValue="0">
        <cfvo type="percent" val="0"/>
        <cfvo type="num" val="-5.0000000000000001E-3"/>
        <cfvo type="num" val="5.0000000000000001E-3"/>
      </iconSet>
    </cfRule>
  </conditionalFormatting>
  <conditionalFormatting sqref="AA85:AA88 AA11 AM11 AM85:AM88 AA51:AA83 AM51:AM83 AG11 AG85:AG88 AG51:AG83 AM13:AM49 AG13:AG49 AA13:AA49">
    <cfRule type="iconSet" priority="2">
      <iconSet showValue="0">
        <cfvo type="percent" val="0"/>
        <cfvo type="num" val="-0.03"/>
        <cfvo type="num" val="0.03"/>
      </iconSet>
    </cfRule>
  </conditionalFormatting>
  <conditionalFormatting sqref="AU85:AU88 AU11 BG11 BG85:BG88 AU51:AU83 BG51:BG83 BA11 BA85:BA88 BA51:BA83 BG13:BG49 BA13:BA49 AU13:AU49">
    <cfRule type="iconSet" priority="3">
      <iconSet showValue="0">
        <cfvo type="percent" val="0"/>
        <cfvo type="num" val="-0.03"/>
        <cfvo type="num" val="0.03"/>
      </iconSet>
    </cfRule>
  </conditionalFormatting>
  <conditionalFormatting sqref="BO85:BO88 BO11 CA11 CA85:CA88 BO51:BO83 CA51:CA83 BU11 BU85:BU88 BU51:BU83 CA13:CA49 BU13:BU49 BO13:BO49">
    <cfRule type="iconSet" priority="4">
      <iconSet showValue="0">
        <cfvo type="percent" val="0"/>
        <cfvo type="num" val="-5.0000000000000001E-3"/>
        <cfvo type="num" val="5.0000000000000001E-3"/>
      </iconSet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D73F8-558F-4983-94E9-D5F4B5838C62}">
  <sheetPr>
    <tabColor theme="3"/>
  </sheetPr>
  <dimension ref="B2:CD105"/>
  <sheetViews>
    <sheetView showGridLines="0" tabSelected="1" zoomScaleNormal="100" workbookViewId="0">
      <pane xSplit="4" ySplit="11" topLeftCell="E38" activePane="bottomRight" state="frozen"/>
      <selection activeCell="M66" sqref="M66"/>
      <selection pane="topRight" activeCell="M66" sqref="M66"/>
      <selection pane="bottomLeft" activeCell="M66" sqref="M66"/>
      <selection pane="bottomRight" activeCell="BK93" sqref="BK93"/>
    </sheetView>
  </sheetViews>
  <sheetFormatPr defaultRowHeight="14.5" outlineLevelRow="2" outlineLevelCol="1" x14ac:dyDescent="0.35"/>
  <cols>
    <col min="1" max="1" width="1.54296875" customWidth="1"/>
    <col min="2" max="2" width="9.54296875" style="96" customWidth="1"/>
    <col min="3" max="3" width="24.54296875" style="96" customWidth="1"/>
    <col min="4" max="4" width="0.7265625" style="96" customWidth="1"/>
    <col min="5" max="6" width="8.81640625" style="96" customWidth="1"/>
    <col min="7" max="7" width="7.54296875" style="96" customWidth="1"/>
    <col min="8" max="8" width="9" style="96" customWidth="1"/>
    <col min="9" max="9" width="3.1796875" style="96" customWidth="1"/>
    <col min="10" max="10" width="0.7265625" style="96" customWidth="1"/>
    <col min="11" max="11" width="8.81640625" style="96" customWidth="1"/>
    <col min="12" max="12" width="7.54296875" style="96" customWidth="1"/>
    <col min="13" max="13" width="9" style="96" customWidth="1"/>
    <col min="14" max="14" width="3.1796875" style="96" customWidth="1"/>
    <col min="15" max="15" width="0.7265625" style="96" customWidth="1"/>
    <col min="16" max="16" width="8.81640625" style="96" customWidth="1"/>
    <col min="17" max="17" width="7.54296875" style="96" customWidth="1"/>
    <col min="18" max="18" width="9" style="96" customWidth="1"/>
    <col min="19" max="19" width="3.1796875" style="96" customWidth="1"/>
    <col min="20" max="20" width="0.7265625" style="96" hidden="1" customWidth="1" outlineLevel="1"/>
    <col min="21" max="21" width="8.81640625" style="96" hidden="1" customWidth="1" outlineLevel="1"/>
    <col min="22" max="22" width="9" style="96" hidden="1" customWidth="1" outlineLevel="1"/>
    <col min="23" max="23" width="8.81640625" style="96" hidden="1" customWidth="1" outlineLevel="1"/>
    <col min="24" max="24" width="9" style="96" hidden="1" customWidth="1" outlineLevel="1"/>
    <col min="25" max="25" width="7.54296875" style="96" hidden="1" customWidth="1" outlineLevel="1"/>
    <col min="26" max="26" width="9" style="96" hidden="1" customWidth="1" outlineLevel="1"/>
    <col min="27" max="27" width="3.1796875" style="96" hidden="1" customWidth="1" outlineLevel="1"/>
    <col min="28" max="28" width="0.7265625" style="96" hidden="1" customWidth="1" outlineLevel="1"/>
    <col min="29" max="29" width="8.81640625" style="96" hidden="1" customWidth="1" outlineLevel="1"/>
    <col min="30" max="30" width="9" style="96" hidden="1" customWidth="1" outlineLevel="1"/>
    <col min="31" max="31" width="7.54296875" style="96" hidden="1" customWidth="1" outlineLevel="1"/>
    <col min="32" max="32" width="9" style="96" hidden="1" customWidth="1" outlineLevel="1"/>
    <col min="33" max="33" width="3.1796875" style="96" hidden="1" customWidth="1" outlineLevel="1"/>
    <col min="34" max="34" width="0.7265625" style="96" hidden="1" customWidth="1" outlineLevel="1"/>
    <col min="35" max="35" width="8.81640625" style="96" hidden="1" customWidth="1" outlineLevel="1"/>
    <col min="36" max="36" width="9" style="96" hidden="1" customWidth="1" outlineLevel="1"/>
    <col min="37" max="37" width="7.54296875" style="96" hidden="1" customWidth="1" outlineLevel="1"/>
    <col min="38" max="38" width="9" style="96" hidden="1" customWidth="1" outlineLevel="1"/>
    <col min="39" max="39" width="3.1796875" style="96" hidden="1" customWidth="1" outlineLevel="1"/>
    <col min="40" max="40" width="0.7265625" style="96" hidden="1" customWidth="1" outlineLevel="1"/>
    <col min="41" max="41" width="8.81640625" style="96" hidden="1" customWidth="1" outlineLevel="1"/>
    <col min="42" max="42" width="9" style="96" hidden="1" customWidth="1" outlineLevel="1"/>
    <col min="43" max="43" width="8.81640625" style="96" hidden="1" customWidth="1" outlineLevel="1"/>
    <col min="44" max="44" width="9" style="96" hidden="1" customWidth="1" outlineLevel="1"/>
    <col min="45" max="45" width="7.54296875" style="96" hidden="1" customWidth="1" outlineLevel="1"/>
    <col min="46" max="46" width="9" style="96" hidden="1" customWidth="1" outlineLevel="1"/>
    <col min="47" max="47" width="3.1796875" style="96" hidden="1" customWidth="1" outlineLevel="1"/>
    <col min="48" max="48" width="0.7265625" style="96" hidden="1" customWidth="1" outlineLevel="1"/>
    <col min="49" max="49" width="8.81640625" style="96" hidden="1" customWidth="1" outlineLevel="1"/>
    <col min="50" max="50" width="9" style="96" hidden="1" customWidth="1" outlineLevel="1"/>
    <col min="51" max="51" width="7.54296875" style="96" hidden="1" customWidth="1" outlineLevel="1"/>
    <col min="52" max="52" width="9" style="96" hidden="1" customWidth="1" outlineLevel="1"/>
    <col min="53" max="53" width="3.1796875" style="96" hidden="1" customWidth="1" outlineLevel="1"/>
    <col min="54" max="54" width="0.7265625" style="96" hidden="1" customWidth="1" outlineLevel="1"/>
    <col min="55" max="55" width="8.81640625" style="96" hidden="1" customWidth="1" outlineLevel="1"/>
    <col min="56" max="56" width="9" style="96" hidden="1" customWidth="1" outlineLevel="1"/>
    <col min="57" max="57" width="7.54296875" style="96" hidden="1" customWidth="1" outlineLevel="1"/>
    <col min="58" max="58" width="9" style="96" hidden="1" customWidth="1" outlineLevel="1"/>
    <col min="59" max="59" width="3.1796875" style="96" hidden="1" customWidth="1" outlineLevel="1"/>
    <col min="60" max="60" width="0.7265625" style="96" customWidth="1" collapsed="1"/>
    <col min="61" max="61" width="8.81640625" style="96" customWidth="1"/>
    <col min="62" max="62" width="9" style="96" customWidth="1"/>
    <col min="63" max="63" width="8.81640625" style="96" customWidth="1"/>
    <col min="64" max="64" width="9" style="96" customWidth="1"/>
    <col min="65" max="65" width="7.54296875" style="96" customWidth="1"/>
    <col min="66" max="66" width="9" style="96" customWidth="1"/>
    <col min="67" max="67" width="3.1796875" style="96" customWidth="1"/>
    <col min="68" max="68" width="0.7265625" style="96" customWidth="1"/>
    <col min="69" max="69" width="8.81640625" style="96" customWidth="1"/>
    <col min="70" max="70" width="9" style="96" customWidth="1"/>
    <col min="71" max="71" width="7.54296875" style="96" customWidth="1"/>
    <col min="72" max="72" width="9" style="96" customWidth="1"/>
    <col min="73" max="73" width="3.1796875" style="96" customWidth="1"/>
    <col min="74" max="74" width="0.7265625" style="96" customWidth="1" outlineLevel="1"/>
    <col min="75" max="75" width="8.81640625" style="96" customWidth="1" outlineLevel="1"/>
    <col min="76" max="76" width="9" style="96" customWidth="1" outlineLevel="1"/>
    <col min="77" max="77" width="7.54296875" style="96" customWidth="1" outlineLevel="1"/>
    <col min="78" max="78" width="9" style="96" customWidth="1" outlineLevel="1"/>
    <col min="79" max="79" width="3.1796875" style="96" customWidth="1" outlineLevel="1"/>
  </cols>
  <sheetData>
    <row r="2" spans="2:79" hidden="1" outlineLevel="1" x14ac:dyDescent="0.35">
      <c r="C2" s="216">
        <v>1000000</v>
      </c>
    </row>
    <row r="3" spans="2:79" hidden="1" outlineLevel="1" x14ac:dyDescent="0.35">
      <c r="C3" s="218">
        <f>'P&amp;L Contábil'!$C$3</f>
        <v>46143</v>
      </c>
    </row>
    <row r="4" spans="2:79" collapsed="1" x14ac:dyDescent="0.35">
      <c r="B4" s="219"/>
      <c r="C4" s="220"/>
      <c r="D4" s="221"/>
      <c r="E4" s="222" t="s">
        <v>59</v>
      </c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1"/>
      <c r="U4" s="222" t="s">
        <v>107</v>
      </c>
      <c r="V4" s="222"/>
      <c r="W4" s="222"/>
      <c r="X4" s="222"/>
      <c r="Y4" s="222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1"/>
      <c r="AO4" s="222" t="s">
        <v>37</v>
      </c>
      <c r="AP4" s="222"/>
      <c r="AQ4" s="222"/>
      <c r="AR4" s="222"/>
      <c r="AS4" s="222"/>
      <c r="AT4" s="222"/>
      <c r="AU4" s="222"/>
      <c r="AV4" s="222"/>
      <c r="AW4" s="222"/>
      <c r="AX4" s="222"/>
      <c r="AY4" s="222"/>
      <c r="AZ4" s="222"/>
      <c r="BA4" s="222"/>
      <c r="BB4" s="222"/>
      <c r="BC4" s="222"/>
      <c r="BD4" s="222"/>
      <c r="BE4" s="222"/>
      <c r="BF4" s="222"/>
      <c r="BG4" s="222"/>
      <c r="BH4" s="221"/>
      <c r="BI4" s="222" t="s">
        <v>108</v>
      </c>
      <c r="BJ4" s="222"/>
      <c r="BK4" s="222"/>
      <c r="BL4" s="222"/>
      <c r="BM4" s="222"/>
      <c r="BN4" s="222"/>
      <c r="BO4" s="222"/>
      <c r="BP4" s="222"/>
      <c r="BQ4" s="222"/>
      <c r="BR4" s="222"/>
      <c r="BS4" s="222"/>
      <c r="BT4" s="222"/>
      <c r="BU4" s="222"/>
      <c r="BV4" s="222"/>
      <c r="BW4" s="222"/>
      <c r="BX4" s="222"/>
      <c r="BY4" s="222"/>
      <c r="BZ4" s="222"/>
      <c r="CA4" s="222"/>
    </row>
    <row r="5" spans="2:79" x14ac:dyDescent="0.35"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</row>
    <row r="6" spans="2:79" hidden="1" outlineLevel="1" x14ac:dyDescent="0.35">
      <c r="B6"/>
      <c r="C6"/>
      <c r="D6"/>
      <c r="E6" s="99" t="s">
        <v>109</v>
      </c>
      <c r="F6" s="99" t="s">
        <v>109</v>
      </c>
      <c r="G6"/>
      <c r="H6"/>
      <c r="I6"/>
      <c r="J6"/>
      <c r="K6" s="99"/>
      <c r="L6"/>
      <c r="M6"/>
      <c r="N6"/>
      <c r="O6"/>
      <c r="P6" s="99" t="s">
        <v>109</v>
      </c>
      <c r="Q6"/>
      <c r="R6"/>
      <c r="S6"/>
      <c r="T6"/>
      <c r="U6" s="99" t="s">
        <v>28</v>
      </c>
      <c r="V6"/>
      <c r="W6" s="99" t="s">
        <v>28</v>
      </c>
      <c r="X6"/>
      <c r="Y6"/>
      <c r="Z6"/>
      <c r="AA6"/>
      <c r="AB6" s="99"/>
      <c r="AC6" s="99"/>
      <c r="AD6"/>
      <c r="AE6"/>
      <c r="AF6"/>
      <c r="AG6"/>
      <c r="AH6" s="99"/>
      <c r="AI6" s="99" t="s">
        <v>28</v>
      </c>
      <c r="AJ6"/>
      <c r="AK6"/>
      <c r="AL6"/>
      <c r="AM6"/>
      <c r="AN6"/>
      <c r="AO6" s="99" t="s">
        <v>37</v>
      </c>
      <c r="AP6"/>
      <c r="AQ6" s="99" t="s">
        <v>37</v>
      </c>
      <c r="AR6"/>
      <c r="AS6"/>
      <c r="AT6"/>
      <c r="AU6"/>
      <c r="AV6" s="99"/>
      <c r="AW6" s="99"/>
      <c r="AX6"/>
      <c r="AY6"/>
      <c r="AZ6"/>
      <c r="BA6"/>
      <c r="BB6" s="99"/>
      <c r="BC6" s="99" t="s">
        <v>37</v>
      </c>
      <c r="BD6"/>
      <c r="BE6"/>
      <c r="BF6"/>
      <c r="BG6"/>
      <c r="BH6"/>
      <c r="BI6" s="99"/>
      <c r="BJ6"/>
      <c r="BK6" s="99"/>
      <c r="BL6"/>
      <c r="BM6"/>
      <c r="BN6"/>
      <c r="BO6"/>
      <c r="BP6" s="99"/>
      <c r="BQ6" s="99"/>
      <c r="BR6"/>
      <c r="BS6"/>
      <c r="BT6"/>
      <c r="BU6"/>
      <c r="BV6" s="99"/>
      <c r="BW6" s="99"/>
      <c r="BX6"/>
      <c r="BY6"/>
      <c r="BZ6"/>
      <c r="CA6"/>
    </row>
    <row r="7" spans="2:79" hidden="1" outlineLevel="1" x14ac:dyDescent="0.35">
      <c r="B7"/>
      <c r="C7" s="203"/>
      <c r="D7"/>
      <c r="E7" s="99" t="s">
        <v>19</v>
      </c>
      <c r="F7" s="99" t="s">
        <v>20</v>
      </c>
      <c r="G7"/>
      <c r="H7"/>
      <c r="I7"/>
      <c r="J7"/>
      <c r="K7" s="99"/>
      <c r="L7"/>
      <c r="M7"/>
      <c r="N7"/>
      <c r="O7"/>
      <c r="P7" s="99" t="s">
        <v>19</v>
      </c>
      <c r="Q7"/>
      <c r="R7"/>
      <c r="S7"/>
      <c r="T7"/>
      <c r="U7" s="99" t="s">
        <v>19</v>
      </c>
      <c r="V7"/>
      <c r="W7" s="99" t="s">
        <v>20</v>
      </c>
      <c r="X7"/>
      <c r="Y7"/>
      <c r="Z7"/>
      <c r="AA7"/>
      <c r="AB7"/>
      <c r="AC7" s="99"/>
      <c r="AD7"/>
      <c r="AE7"/>
      <c r="AF7"/>
      <c r="AG7"/>
      <c r="AH7"/>
      <c r="AI7" s="99" t="s">
        <v>19</v>
      </c>
      <c r="AJ7"/>
      <c r="AK7"/>
      <c r="AL7"/>
      <c r="AM7"/>
      <c r="AN7"/>
      <c r="AO7" s="99" t="s">
        <v>19</v>
      </c>
      <c r="AP7"/>
      <c r="AQ7" s="99" t="s">
        <v>20</v>
      </c>
      <c r="AR7"/>
      <c r="AS7"/>
      <c r="AT7"/>
      <c r="AU7"/>
      <c r="AV7"/>
      <c r="AW7" s="99"/>
      <c r="AX7"/>
      <c r="AY7"/>
      <c r="AZ7"/>
      <c r="BA7"/>
      <c r="BB7"/>
      <c r="BC7" s="99" t="s">
        <v>19</v>
      </c>
      <c r="BD7"/>
      <c r="BE7"/>
      <c r="BF7"/>
      <c r="BG7"/>
      <c r="BH7"/>
      <c r="BI7" s="99"/>
      <c r="BJ7"/>
      <c r="BK7" s="99"/>
      <c r="BL7"/>
      <c r="BM7"/>
      <c r="BN7"/>
      <c r="BO7"/>
      <c r="BP7"/>
      <c r="BQ7" s="99"/>
      <c r="BR7"/>
      <c r="BS7"/>
      <c r="BT7"/>
      <c r="BU7"/>
      <c r="BV7"/>
      <c r="BW7" s="99"/>
      <c r="BX7"/>
      <c r="BY7"/>
      <c r="BZ7"/>
      <c r="CA7"/>
    </row>
    <row r="8" spans="2:79" hidden="1" outlineLevel="1" x14ac:dyDescent="0.35">
      <c r="B8"/>
      <c r="C8"/>
      <c r="D8"/>
      <c r="E8" s="99">
        <f>YEAR($C$3)</f>
        <v>2026</v>
      </c>
      <c r="F8" s="99">
        <f>E8</f>
        <v>2026</v>
      </c>
      <c r="G8"/>
      <c r="H8"/>
      <c r="I8"/>
      <c r="J8"/>
      <c r="K8" s="99"/>
      <c r="L8"/>
      <c r="M8"/>
      <c r="N8"/>
      <c r="O8"/>
      <c r="P8" s="99">
        <f>F8-1</f>
        <v>2025</v>
      </c>
      <c r="Q8"/>
      <c r="R8"/>
      <c r="S8"/>
      <c r="T8"/>
      <c r="U8" s="99">
        <f>YEAR($C$3)</f>
        <v>2026</v>
      </c>
      <c r="V8"/>
      <c r="W8" s="99">
        <f>U8</f>
        <v>2026</v>
      </c>
      <c r="X8"/>
      <c r="Y8"/>
      <c r="Z8"/>
      <c r="AA8"/>
      <c r="AB8"/>
      <c r="AC8" s="99"/>
      <c r="AD8"/>
      <c r="AE8"/>
      <c r="AF8"/>
      <c r="AG8"/>
      <c r="AH8"/>
      <c r="AI8" s="99">
        <f>W8-1</f>
        <v>2025</v>
      </c>
      <c r="AJ8"/>
      <c r="AK8"/>
      <c r="AL8"/>
      <c r="AM8"/>
      <c r="AN8"/>
      <c r="AO8" s="99">
        <f>YEAR($C$3)</f>
        <v>2026</v>
      </c>
      <c r="AP8"/>
      <c r="AQ8" s="99">
        <f>AO8</f>
        <v>2026</v>
      </c>
      <c r="AR8"/>
      <c r="AS8"/>
      <c r="AT8"/>
      <c r="AU8"/>
      <c r="AV8"/>
      <c r="AW8" s="99"/>
      <c r="AX8"/>
      <c r="AY8"/>
      <c r="AZ8"/>
      <c r="BA8"/>
      <c r="BB8"/>
      <c r="BC8" s="99">
        <f>AQ8-1</f>
        <v>2025</v>
      </c>
      <c r="BD8"/>
      <c r="BE8"/>
      <c r="BF8"/>
      <c r="BG8"/>
      <c r="BH8"/>
      <c r="BI8" s="99"/>
      <c r="BJ8"/>
      <c r="BK8" s="99"/>
      <c r="BL8"/>
      <c r="BM8"/>
      <c r="BN8"/>
      <c r="BO8"/>
      <c r="BP8"/>
      <c r="BQ8" s="99"/>
      <c r="BR8"/>
      <c r="BS8"/>
      <c r="BT8"/>
      <c r="BU8"/>
      <c r="BV8"/>
      <c r="BW8" s="99"/>
      <c r="BX8"/>
      <c r="BY8"/>
      <c r="BZ8"/>
      <c r="CA8"/>
    </row>
    <row r="9" spans="2:79" collapsed="1" x14ac:dyDescent="0.35">
      <c r="B9" s="328" t="s">
        <v>42</v>
      </c>
      <c r="C9" s="220"/>
      <c r="D9" s="224"/>
      <c r="E9" s="225" t="s">
        <v>19</v>
      </c>
      <c r="F9" s="226" t="s">
        <v>20</v>
      </c>
      <c r="G9" s="227" t="s">
        <v>50</v>
      </c>
      <c r="H9" s="227" t="s">
        <v>51</v>
      </c>
      <c r="I9" s="228"/>
      <c r="J9" s="224"/>
      <c r="K9" s="226" t="s">
        <v>110</v>
      </c>
      <c r="L9" s="227" t="s">
        <v>50</v>
      </c>
      <c r="M9" s="227" t="s">
        <v>51</v>
      </c>
      <c r="N9" s="228"/>
      <c r="O9" s="224"/>
      <c r="P9" s="226" t="s">
        <v>111</v>
      </c>
      <c r="Q9" s="227" t="s">
        <v>50</v>
      </c>
      <c r="R9" s="227" t="s">
        <v>51</v>
      </c>
      <c r="S9" s="228"/>
      <c r="T9" s="224"/>
      <c r="U9" s="225" t="s">
        <v>19</v>
      </c>
      <c r="V9" s="227" t="s">
        <v>112</v>
      </c>
      <c r="W9" s="226" t="s">
        <v>20</v>
      </c>
      <c r="X9" s="227" t="s">
        <v>112</v>
      </c>
      <c r="Y9" s="227" t="s">
        <v>50</v>
      </c>
      <c r="Z9" s="227" t="s">
        <v>51</v>
      </c>
      <c r="AA9" s="228"/>
      <c r="AB9" s="224"/>
      <c r="AC9" s="226" t="s">
        <v>110</v>
      </c>
      <c r="AD9" s="227" t="s">
        <v>112</v>
      </c>
      <c r="AE9" s="227" t="s">
        <v>50</v>
      </c>
      <c r="AF9" s="227" t="s">
        <v>51</v>
      </c>
      <c r="AG9" s="228"/>
      <c r="AH9" s="224"/>
      <c r="AI9" s="226" t="s">
        <v>111</v>
      </c>
      <c r="AJ9" s="227" t="s">
        <v>112</v>
      </c>
      <c r="AK9" s="227" t="s">
        <v>50</v>
      </c>
      <c r="AL9" s="227" t="s">
        <v>51</v>
      </c>
      <c r="AM9" s="228"/>
      <c r="AN9" s="224"/>
      <c r="AO9" s="225" t="s">
        <v>19</v>
      </c>
      <c r="AP9" s="227" t="s">
        <v>112</v>
      </c>
      <c r="AQ9" s="226" t="s">
        <v>20</v>
      </c>
      <c r="AR9" s="227" t="s">
        <v>112</v>
      </c>
      <c r="AS9" s="227" t="s">
        <v>50</v>
      </c>
      <c r="AT9" s="227" t="s">
        <v>51</v>
      </c>
      <c r="AU9" s="228"/>
      <c r="AV9" s="224"/>
      <c r="AW9" s="226" t="s">
        <v>110</v>
      </c>
      <c r="AX9" s="227" t="s">
        <v>112</v>
      </c>
      <c r="AY9" s="227" t="s">
        <v>50</v>
      </c>
      <c r="AZ9" s="227" t="s">
        <v>51</v>
      </c>
      <c r="BA9" s="228"/>
      <c r="BB9" s="224"/>
      <c r="BC9" s="226" t="s">
        <v>111</v>
      </c>
      <c r="BD9" s="227" t="s">
        <v>112</v>
      </c>
      <c r="BE9" s="227" t="s">
        <v>50</v>
      </c>
      <c r="BF9" s="227" t="s">
        <v>51</v>
      </c>
      <c r="BG9" s="228"/>
      <c r="BH9" s="224"/>
      <c r="BI9" s="225" t="s">
        <v>19</v>
      </c>
      <c r="BJ9" s="227" t="s">
        <v>112</v>
      </c>
      <c r="BK9" s="226" t="s">
        <v>20</v>
      </c>
      <c r="BL9" s="227" t="s">
        <v>112</v>
      </c>
      <c r="BM9" s="227" t="s">
        <v>50</v>
      </c>
      <c r="BN9" s="227" t="s">
        <v>51</v>
      </c>
      <c r="BO9" s="228"/>
      <c r="BP9" s="224"/>
      <c r="BQ9" s="226" t="s">
        <v>110</v>
      </c>
      <c r="BR9" s="227" t="s">
        <v>112</v>
      </c>
      <c r="BS9" s="227" t="s">
        <v>50</v>
      </c>
      <c r="BT9" s="227" t="s">
        <v>51</v>
      </c>
      <c r="BU9" s="228"/>
      <c r="BV9" s="224"/>
      <c r="BW9" s="226" t="s">
        <v>111</v>
      </c>
      <c r="BX9" s="227" t="s">
        <v>112</v>
      </c>
      <c r="BY9" s="227" t="s">
        <v>50</v>
      </c>
      <c r="BZ9" s="227" t="s">
        <v>51</v>
      </c>
      <c r="CA9" s="228"/>
    </row>
    <row r="10" spans="2:79" x14ac:dyDescent="0.35"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</row>
    <row r="11" spans="2:79" x14ac:dyDescent="0.35">
      <c r="B11" s="229" t="s">
        <v>114</v>
      </c>
      <c r="C11" s="229" t="s">
        <v>115</v>
      </c>
      <c r="D11"/>
      <c r="E11" s="230">
        <f>SUM(E51,E13,E88)</f>
        <v>543.46677921203514</v>
      </c>
      <c r="F11" s="230">
        <f>SUM(F51,F13,F88)</f>
        <v>541.69577162352152</v>
      </c>
      <c r="G11" s="231">
        <f>$E11-F11</f>
        <v>1.7710075885136121</v>
      </c>
      <c r="H11" s="232">
        <f>IFERROR($E11/F11-1,0)</f>
        <v>3.2693768002023393E-3</v>
      </c>
      <c r="I11" s="233">
        <f>H11</f>
        <v>3.2693768002023393E-3</v>
      </c>
      <c r="J11"/>
      <c r="K11" s="230">
        <f>SUM(K51,K13,K88)</f>
        <v>541.35153831476339</v>
      </c>
      <c r="L11" s="231">
        <f>$E11-K11</f>
        <v>2.1152408972717467</v>
      </c>
      <c r="M11" s="232">
        <f>IFERROR($E11/K11-1,0)</f>
        <v>3.9073333085124506E-3</v>
      </c>
      <c r="N11" s="233">
        <f>M11</f>
        <v>3.9073333085124506E-3</v>
      </c>
      <c r="O11"/>
      <c r="P11" s="230">
        <f>SUM(P51,P13,P88)</f>
        <v>461.55606884186795</v>
      </c>
      <c r="Q11" s="231">
        <f>$E11-P11</f>
        <v>81.91071037016718</v>
      </c>
      <c r="R11" s="232">
        <f>IFERROR($E11/P11-1,0)</f>
        <v>0.17746643560704722</v>
      </c>
      <c r="S11" s="233">
        <f>R11</f>
        <v>0.17746643560704722</v>
      </c>
      <c r="T11"/>
      <c r="U11" s="230">
        <f>SUM(U51,U13,U88)</f>
        <v>127.86505295264129</v>
      </c>
      <c r="V11" s="232">
        <f>IFERROR(U11/$E11,0)</f>
        <v>0.23527666794653215</v>
      </c>
      <c r="W11" s="230">
        <f>SUM(W51,W13,W88)</f>
        <v>83.085124496902836</v>
      </c>
      <c r="X11" s="232">
        <f>IFERROR(W11/$F11,0)</f>
        <v>0.15337968071614741</v>
      </c>
      <c r="Y11" s="231">
        <f>$U11-W11</f>
        <v>44.779928455738457</v>
      </c>
      <c r="Z11" s="232">
        <f>IFERROR($U11/W11-1,0)</f>
        <v>0.5389644503380111</v>
      </c>
      <c r="AA11" s="233">
        <f>Z11</f>
        <v>0.5389644503380111</v>
      </c>
      <c r="AB11"/>
      <c r="AC11" s="230">
        <f>SUM(AC51,AC13,AC88)</f>
        <v>121.98991047786237</v>
      </c>
      <c r="AD11" s="232">
        <f>IFERROR(AC11/$P11,0)</f>
        <v>0.26430138982671875</v>
      </c>
      <c r="AE11" s="231">
        <f>$U11-AC11</f>
        <v>5.8751424747789258</v>
      </c>
      <c r="AF11" s="232">
        <f>IFERROR($U11/AC11-1,0)</f>
        <v>4.8160888484667597E-2</v>
      </c>
      <c r="AG11" s="233">
        <f>AF11</f>
        <v>4.8160888484667597E-2</v>
      </c>
      <c r="AH11"/>
      <c r="AI11" s="230">
        <f>SUM(AI51,AI13,AI88)</f>
        <v>99.183678223665268</v>
      </c>
      <c r="AJ11" s="232">
        <f>IFERROR(AI11/$P11,0)</f>
        <v>0.21488977162089104</v>
      </c>
      <c r="AK11" s="231">
        <f>$U11-AI11</f>
        <v>28.681374728976024</v>
      </c>
      <c r="AL11" s="232">
        <f>IFERROR($U11/AI11-1,0)</f>
        <v>0.28917434040203438</v>
      </c>
      <c r="AM11" s="233">
        <f>AL11</f>
        <v>0.28917434040203438</v>
      </c>
      <c r="AN11"/>
      <c r="AO11" s="230">
        <f>SUM(AO51,AO13,AO88)</f>
        <v>-32.028326097980006</v>
      </c>
      <c r="AP11" s="232">
        <f>IFERROR(AO11/$E11,0)</f>
        <v>-5.893336506127831E-2</v>
      </c>
      <c r="AQ11" s="230">
        <f>SUM(AQ51,AQ13,AQ88)</f>
        <v>-2.485001532466045</v>
      </c>
      <c r="AR11" s="232">
        <f>IFERROR(AQ11/$F11,0)</f>
        <v>-4.5874486430237836E-3</v>
      </c>
      <c r="AS11" s="231">
        <f>$AO11-AQ11</f>
        <v>-29.543324565513963</v>
      </c>
      <c r="AT11" s="232">
        <f>IFERROR($AO11/AQ11-1,0)</f>
        <v>11.888654465414355</v>
      </c>
      <c r="AU11" s="233">
        <f>AT11</f>
        <v>11.888654465414355</v>
      </c>
      <c r="AV11"/>
      <c r="AW11" s="230">
        <f>SUM(AW51,AW13,AW88)</f>
        <v>-30.387437191756973</v>
      </c>
      <c r="AX11" s="232">
        <f>IFERROR(AW11/$P11,0)</f>
        <v>-6.583693562518815E-2</v>
      </c>
      <c r="AY11" s="231">
        <f>$AO11-AW11</f>
        <v>-1.640888906223033</v>
      </c>
      <c r="AZ11" s="232">
        <f>IFERROR($AO11/AW11-1,0)</f>
        <v>5.3998923827250245E-2</v>
      </c>
      <c r="BA11" s="233">
        <f>AZ11</f>
        <v>5.3998923827250245E-2</v>
      </c>
      <c r="BB11"/>
      <c r="BC11" s="230">
        <f>SUM(BC51,BC13,BC88)</f>
        <v>-16.89224578</v>
      </c>
      <c r="BD11" s="232">
        <f>IFERROR(BC11/$P11,0)</f>
        <v>-3.6598469655887873E-2</v>
      </c>
      <c r="BE11" s="231">
        <f>$AO11-BC11</f>
        <v>-15.136080317980007</v>
      </c>
      <c r="BF11" s="232">
        <f>IFERROR($AO11/BC11-1,0)</f>
        <v>0.89603718268773647</v>
      </c>
      <c r="BG11" s="233">
        <f>BF11</f>
        <v>0.89603718268773647</v>
      </c>
      <c r="BH11"/>
      <c r="BI11" s="230">
        <f>SUM(BI51,BI13,BI88)</f>
        <v>95.836726854661293</v>
      </c>
      <c r="BJ11" s="232">
        <f>IFERROR(BI11/$E11,0)</f>
        <v>0.17634330288525385</v>
      </c>
      <c r="BK11" s="230">
        <f>SUM(BK51,BK13,BK88)</f>
        <v>80.600122964436807</v>
      </c>
      <c r="BL11" s="232">
        <f>IFERROR(BK11/$F11,0)</f>
        <v>0.14879223207312367</v>
      </c>
      <c r="BM11" s="231">
        <f>$BI11-BK11</f>
        <v>15.236603890224487</v>
      </c>
      <c r="BN11" s="232">
        <f>BM11/ABS(BK11)</f>
        <v>0.18903946209793418</v>
      </c>
      <c r="BO11" s="233">
        <f>BN11</f>
        <v>0.18903946209793418</v>
      </c>
      <c r="BP11"/>
      <c r="BQ11" s="230">
        <f>SUM(BQ51,BQ13,BQ88)</f>
        <v>91.602473286105408</v>
      </c>
      <c r="BR11" s="232">
        <f>IFERROR(BQ11/$P11,0)</f>
        <v>0.19846445420153061</v>
      </c>
      <c r="BS11" s="231">
        <f>$BI11-BQ11</f>
        <v>4.2342535685558857</v>
      </c>
      <c r="BT11" s="232">
        <f>IFERROR(BS11/ABS(BQ11),"")</f>
        <v>4.6224227541661285E-2</v>
      </c>
      <c r="BU11" s="233">
        <f>BT11</f>
        <v>4.6224227541661285E-2</v>
      </c>
      <c r="BV11"/>
      <c r="BW11" s="230">
        <f>SUM(BW51,BW13,BW88)</f>
        <v>82.291432443665244</v>
      </c>
      <c r="BX11" s="232">
        <f>IFERROR(BW11/$P11,0)</f>
        <v>0.17829130196500312</v>
      </c>
      <c r="BY11" s="231">
        <f>$BI11-BW11</f>
        <v>13.54529441099605</v>
      </c>
      <c r="BZ11" s="232">
        <f>IFERROR(BY11/ABS(BW11),"")</f>
        <v>0.16460151450479169</v>
      </c>
      <c r="CA11" s="233">
        <f>BZ11</f>
        <v>0.16460151450479169</v>
      </c>
    </row>
    <row r="12" spans="2:79" ht="7.5" customHeight="1" x14ac:dyDescent="0.35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</row>
    <row r="13" spans="2:79" x14ac:dyDescent="0.35">
      <c r="B13" s="234">
        <v>1</v>
      </c>
      <c r="C13" s="234" t="s">
        <v>116</v>
      </c>
      <c r="D13"/>
      <c r="E13" s="235">
        <f>SUM(E47:E49,E42,E40,E14,E45,E30)</f>
        <v>245.2168718448462</v>
      </c>
      <c r="F13" s="235">
        <f>SUM(F47:F49,F42,F40,F14,F45,F30)</f>
        <v>244.90609754469199</v>
      </c>
      <c r="G13" s="236">
        <f t="shared" ref="G13:G83" si="0">$E13-F13</f>
        <v>0.31077430015420759</v>
      </c>
      <c r="H13" s="237">
        <f t="shared" ref="H13:H83" si="1">IFERROR($E13/F13-1,0)</f>
        <v>1.2689528895764024E-3</v>
      </c>
      <c r="I13" s="238">
        <f t="shared" ref="I13:I83" si="2">H13</f>
        <v>1.2689528895764024E-3</v>
      </c>
      <c r="J13"/>
      <c r="K13" s="235">
        <f>SUM(K47:K49,K42,K40,K14,K45,K30)</f>
        <v>244.80439955446386</v>
      </c>
      <c r="L13" s="236">
        <f t="shared" ref="L13:L49" si="3">$E13-K13</f>
        <v>0.41247229038233968</v>
      </c>
      <c r="M13" s="237">
        <f t="shared" ref="M13:M49" si="4">IFERROR($E13/K13-1,0)</f>
        <v>1.6849055455416817E-3</v>
      </c>
      <c r="N13" s="238">
        <f t="shared" ref="N13:N49" si="5">M13</f>
        <v>1.6849055455416817E-3</v>
      </c>
      <c r="O13"/>
      <c r="P13" s="235">
        <f>SUM(P47:P49,P42,P40,P14,P45,P30)</f>
        <v>211.53205212983087</v>
      </c>
      <c r="Q13" s="236">
        <f t="shared" ref="Q13:Q83" si="6">$E13-P13</f>
        <v>33.684819715015323</v>
      </c>
      <c r="R13" s="237">
        <f t="shared" ref="R13:R83" si="7">IFERROR($E13/P13-1,0)</f>
        <v>0.15924215444352985</v>
      </c>
      <c r="S13" s="238">
        <f t="shared" ref="S13:S83" si="8">R13</f>
        <v>0.15924215444352985</v>
      </c>
      <c r="T13"/>
      <c r="U13" s="235">
        <f>SUM(U47:U49,U42,U40,U14,U45,U30)</f>
        <v>112.65407380024722</v>
      </c>
      <c r="V13" s="237">
        <f t="shared" ref="V13:V83" si="9">IFERROR(U13/$E13,0)</f>
        <v>0.45940588407605898</v>
      </c>
      <c r="W13" s="235">
        <f>SUM(W47:W49,W42,W40,W14,W45,W30)</f>
        <v>89.669161837446552</v>
      </c>
      <c r="X13" s="237">
        <f t="shared" ref="X13:X83" si="10">IFERROR(W13/$F13,0)</f>
        <v>0.3661369101726149</v>
      </c>
      <c r="Y13" s="236">
        <f t="shared" ref="Y13:Y83" si="11">$U13-W13</f>
        <v>22.984911962800666</v>
      </c>
      <c r="Z13" s="237">
        <f t="shared" ref="Z13:Z83" si="12">IFERROR($U13/W13-1,0)</f>
        <v>0.25633017518852275</v>
      </c>
      <c r="AA13" s="238">
        <f t="shared" ref="AA13:AA83" si="13">Z13</f>
        <v>0.25633017518852275</v>
      </c>
      <c r="AB13"/>
      <c r="AC13" s="235">
        <f>SUM(AC47:AC49,AC42,AC40,AC14,AC45,AC30)</f>
        <v>112.45681311858633</v>
      </c>
      <c r="AD13" s="237">
        <f t="shared" ref="AD13:AD49" si="14">IFERROR(AC13/$P13,0)</f>
        <v>0.53163013352493893</v>
      </c>
      <c r="AE13" s="236">
        <f t="shared" ref="AE13:AE49" si="15">$U13-AC13</f>
        <v>0.19726068166089306</v>
      </c>
      <c r="AF13" s="237">
        <f t="shared" ref="AF13:AF49" si="16">IFERROR($U13/AC13-1,0)</f>
        <v>1.7541016519193597E-3</v>
      </c>
      <c r="AG13" s="238">
        <f t="shared" ref="AG13:AG49" si="17">AF13</f>
        <v>1.7541016519193597E-3</v>
      </c>
      <c r="AH13"/>
      <c r="AI13" s="235">
        <f>SUM(AI47:AI49,AI42,AI40,AI14,AI45,AI30)</f>
        <v>83.086121913858264</v>
      </c>
      <c r="AJ13" s="237">
        <f t="shared" ref="AJ13:AJ83" si="18">IFERROR(AI13/$P13,0)</f>
        <v>0.39278265906891002</v>
      </c>
      <c r="AK13" s="236">
        <f t="shared" ref="AK13:AK83" si="19">$U13-AI13</f>
        <v>29.567951886388954</v>
      </c>
      <c r="AL13" s="237">
        <f t="shared" ref="AL13:AL83" si="20">IFERROR($U13/AI13-1,0)</f>
        <v>0.35587112751566763</v>
      </c>
      <c r="AM13" s="238">
        <f t="shared" ref="AM13:AM83" si="21">AL13</f>
        <v>0.35587112751566763</v>
      </c>
      <c r="AN13"/>
      <c r="AO13" s="235">
        <f>SUM(AO47:AO49,AO42,AO40,AO14,AO45,AO30)</f>
        <v>-17.658617949004785</v>
      </c>
      <c r="AP13" s="237">
        <f t="shared" ref="AP13:AP83" si="22">IFERROR(AO13/$E13,0)</f>
        <v>-7.2012247020987033E-2</v>
      </c>
      <c r="AQ13" s="235">
        <f>SUM(AQ47:AQ49,AQ42,AQ40,AQ14,AQ45,AQ30)</f>
        <v>-1.8825211214811965</v>
      </c>
      <c r="AR13" s="237">
        <f t="shared" ref="AR13:AR83" si="23">IFERROR(AQ13/$F13,0)</f>
        <v>-7.6867058042018018E-3</v>
      </c>
      <c r="AS13" s="236">
        <f t="shared" ref="AS13:AS83" si="24">$AO13-AQ13</f>
        <v>-15.776096827523588</v>
      </c>
      <c r="AT13" s="237">
        <f t="shared" ref="AT13:AT83" si="25">IFERROR($AO13/AQ13-1,0)</f>
        <v>8.3803026948832926</v>
      </c>
      <c r="AU13" s="238">
        <f t="shared" ref="AU13:AU83" si="26">AT13</f>
        <v>8.3803026948832926</v>
      </c>
      <c r="AV13"/>
      <c r="AW13" s="235">
        <f>SUM(AW47:AW49,AW42,AW40,AW14,AW45,AW30)</f>
        <v>-17.439167561997017</v>
      </c>
      <c r="AX13" s="237">
        <f t="shared" ref="AX13:AX49" si="27">IFERROR(AW13/$P13,0)</f>
        <v>-8.2442199120223519E-2</v>
      </c>
      <c r="AY13" s="236">
        <f t="shared" ref="AY13:AY49" si="28">$AO13-AW13</f>
        <v>-0.2194503870077682</v>
      </c>
      <c r="AZ13" s="237">
        <f t="shared" ref="AZ13:AZ49" si="29">IFERROR($AO13/AW13-1,0)</f>
        <v>1.2583765035091954E-2</v>
      </c>
      <c r="BA13" s="238">
        <f t="shared" ref="BA13:BA49" si="30">AZ13</f>
        <v>1.2583765035091954E-2</v>
      </c>
      <c r="BB13"/>
      <c r="BC13" s="235">
        <f>SUM(BC47:BC49,BC42,BC40,BC14,BC45,BC30)</f>
        <v>-5.9234928896762353</v>
      </c>
      <c r="BD13" s="237">
        <f t="shared" ref="BD13:BD83" si="31">IFERROR(BC13/$P13,0)</f>
        <v>-2.8002814845480749E-2</v>
      </c>
      <c r="BE13" s="236">
        <f t="shared" ref="BE13:BE83" si="32">$AO13-BC13</f>
        <v>-11.735125059328549</v>
      </c>
      <c r="BF13" s="237">
        <f t="shared" ref="BF13:BF83" si="33">IFERROR($AO13/BC13-1,0)</f>
        <v>1.9811157500975689</v>
      </c>
      <c r="BG13" s="238">
        <f t="shared" ref="BG13:BG83" si="34">BF13</f>
        <v>1.9811157500975689</v>
      </c>
      <c r="BH13"/>
      <c r="BI13" s="235">
        <f>SUM(BI47:BI49,BI42,BI40,BI14,BI45,BI30)</f>
        <v>94.995455851242426</v>
      </c>
      <c r="BJ13" s="237">
        <f t="shared" ref="BJ13:BJ83" si="35">IFERROR(BI13/$E13,0)</f>
        <v>0.3873936370550719</v>
      </c>
      <c r="BK13" s="235">
        <f>SUM(BK47:BK49,BK42,BK40,BK14,BK45,BK30)</f>
        <v>87.786640715965362</v>
      </c>
      <c r="BL13" s="237">
        <f t="shared" ref="BL13:BL83" si="36">IFERROR(BK13/$F13,0)</f>
        <v>0.35845020436841313</v>
      </c>
      <c r="BM13" s="236">
        <f t="shared" ref="BM13:BM83" si="37">$BI13-BK13</f>
        <v>7.2088151352770637</v>
      </c>
      <c r="BN13" s="237">
        <f t="shared" ref="BN13:BN49" si="38">BM13/ABS(BK13)</f>
        <v>8.2117450633533914E-2</v>
      </c>
      <c r="BO13" s="238">
        <f t="shared" ref="BO13:BO83" si="39">BN13</f>
        <v>8.2117450633533914E-2</v>
      </c>
      <c r="BP13"/>
      <c r="BQ13" s="235">
        <f>SUM(BQ47:BQ49,BQ42,BQ40,BQ14,BQ45,BQ30)</f>
        <v>95.017645556589301</v>
      </c>
      <c r="BR13" s="237">
        <f t="shared" ref="BR13:BR49" si="40">IFERROR(BQ13/$P13,0)</f>
        <v>0.44918793440471538</v>
      </c>
      <c r="BS13" s="236">
        <f t="shared" ref="BS13:BS49" si="41">$BI13-BQ13</f>
        <v>-2.2189705346875144E-2</v>
      </c>
      <c r="BT13" s="237">
        <f t="shared" ref="BT13:BT46" si="42">IFERROR(BS13/ABS(BQ13),"")</f>
        <v>-2.3353246880506741E-4</v>
      </c>
      <c r="BU13" s="238">
        <f t="shared" ref="BU13:BU49" si="43">BT13</f>
        <v>-2.3353246880506741E-4</v>
      </c>
      <c r="BV13"/>
      <c r="BW13" s="235">
        <f>SUM(BW47:BW49,BW42,BW40,BW14,BW45,BW30)</f>
        <v>77.16262902418201</v>
      </c>
      <c r="BX13" s="237">
        <f t="shared" ref="BX13:BX83" si="44">IFERROR(BW13/$P13,0)</f>
        <v>0.36477984422342918</v>
      </c>
      <c r="BY13" s="236">
        <f t="shared" ref="BY13:BY83" si="45">$BI13-BW13</f>
        <v>17.832826827060416</v>
      </c>
      <c r="BZ13" s="237">
        <f t="shared" ref="BZ13:BZ46" si="46">IFERROR(BY13/ABS(BW13),"")</f>
        <v>0.23110704044922811</v>
      </c>
      <c r="CA13" s="238">
        <f t="shared" ref="CA13:CA83" si="47">BZ13</f>
        <v>0.23110704044922811</v>
      </c>
    </row>
    <row r="14" spans="2:79" x14ac:dyDescent="0.35">
      <c r="B14" s="239" t="s">
        <v>117</v>
      </c>
      <c r="C14" s="239" t="s">
        <v>118</v>
      </c>
      <c r="D14"/>
      <c r="E14" s="240">
        <f>E15+E20+E29</f>
        <v>120.1553530632231</v>
      </c>
      <c r="F14" s="240">
        <f>F15+F20+F29</f>
        <v>119.41802668723059</v>
      </c>
      <c r="G14" s="241">
        <f t="shared" si="0"/>
        <v>0.7373263759925095</v>
      </c>
      <c r="H14" s="242">
        <f t="shared" si="1"/>
        <v>6.174330596867561E-3</v>
      </c>
      <c r="I14" s="243">
        <f t="shared" si="2"/>
        <v>6.174330596867561E-3</v>
      </c>
      <c r="J14"/>
      <c r="K14" s="240">
        <f>K15+K20+K29</f>
        <v>119.95106647590993</v>
      </c>
      <c r="L14" s="241">
        <f t="shared" si="3"/>
        <v>0.20428658731317739</v>
      </c>
      <c r="M14" s="242">
        <f t="shared" si="4"/>
        <v>1.7030827095998458E-3</v>
      </c>
      <c r="N14" s="243">
        <f t="shared" si="5"/>
        <v>1.7030827095998458E-3</v>
      </c>
      <c r="O14"/>
      <c r="P14" s="240">
        <f>P15+P20+P29</f>
        <v>99.655115580704162</v>
      </c>
      <c r="Q14" s="241">
        <f t="shared" si="6"/>
        <v>20.500237482518941</v>
      </c>
      <c r="R14" s="242">
        <f t="shared" si="7"/>
        <v>0.20571184292006706</v>
      </c>
      <c r="S14" s="243">
        <f t="shared" si="8"/>
        <v>0.20571184292006706</v>
      </c>
      <c r="T14"/>
      <c r="U14" s="240">
        <f>U15+U20+U29</f>
        <v>57.148698249064516</v>
      </c>
      <c r="V14" s="242">
        <f t="shared" si="9"/>
        <v>0.47562340580027368</v>
      </c>
      <c r="W14" s="240">
        <f>W15+W20+W29</f>
        <v>46.090428093457142</v>
      </c>
      <c r="X14" s="242">
        <f t="shared" si="10"/>
        <v>0.38595871471041154</v>
      </c>
      <c r="Y14" s="241">
        <f t="shared" si="11"/>
        <v>11.058270155607374</v>
      </c>
      <c r="Z14" s="242">
        <f t="shared" si="12"/>
        <v>0.23992552495248298</v>
      </c>
      <c r="AA14" s="243">
        <f t="shared" si="13"/>
        <v>0.23992552495248298</v>
      </c>
      <c r="AB14"/>
      <c r="AC14" s="240">
        <f>AC15+AC20+AC29</f>
        <v>57.514567265526175</v>
      </c>
      <c r="AD14" s="242">
        <f t="shared" si="14"/>
        <v>0.57713612522930535</v>
      </c>
      <c r="AE14" s="241">
        <f t="shared" si="15"/>
        <v>-0.3658690164616587</v>
      </c>
      <c r="AF14" s="242">
        <f t="shared" si="16"/>
        <v>-6.3613278140920437E-3</v>
      </c>
      <c r="AG14" s="243">
        <f t="shared" si="17"/>
        <v>-6.3613278140920437E-3</v>
      </c>
      <c r="AH14"/>
      <c r="AI14" s="240">
        <f>AI15+AI20+AI29</f>
        <v>42.162130866553646</v>
      </c>
      <c r="AJ14" s="242">
        <f t="shared" si="18"/>
        <v>0.42308044720904764</v>
      </c>
      <c r="AK14" s="241">
        <f t="shared" si="19"/>
        <v>14.98656738251087</v>
      </c>
      <c r="AL14" s="242">
        <f t="shared" si="20"/>
        <v>0.35545090047617611</v>
      </c>
      <c r="AM14" s="243">
        <f t="shared" si="21"/>
        <v>0.35545090047617611</v>
      </c>
      <c r="AN14"/>
      <c r="AO14" s="240">
        <f>AO15+AO20+AO29</f>
        <v>-10.848110370000001</v>
      </c>
      <c r="AP14" s="242">
        <f t="shared" si="22"/>
        <v>-9.0284037235461023E-2</v>
      </c>
      <c r="AQ14" s="240">
        <f>AQ15+AQ20+AQ29</f>
        <v>-4.5450000000000004E-2</v>
      </c>
      <c r="AR14" s="242">
        <f t="shared" si="23"/>
        <v>-3.8059580501224264E-4</v>
      </c>
      <c r="AS14" s="241">
        <f t="shared" si="24"/>
        <v>-10.80266037</v>
      </c>
      <c r="AT14" s="242">
        <f t="shared" si="25"/>
        <v>237.68229636963696</v>
      </c>
      <c r="AU14" s="243">
        <f t="shared" si="26"/>
        <v>237.68229636963696</v>
      </c>
      <c r="AV14"/>
      <c r="AW14" s="240">
        <f>AW15+AW20+AW29</f>
        <v>-10.728096987677491</v>
      </c>
      <c r="AX14" s="242">
        <f t="shared" si="27"/>
        <v>-0.10765224569921357</v>
      </c>
      <c r="AY14" s="241">
        <f t="shared" si="28"/>
        <v>-0.1200133823225098</v>
      </c>
      <c r="AZ14" s="242">
        <f t="shared" si="29"/>
        <v>1.1186828610923127E-2</v>
      </c>
      <c r="BA14" s="243">
        <f t="shared" si="30"/>
        <v>1.1186828610923127E-2</v>
      </c>
      <c r="BB14"/>
      <c r="BC14" s="240">
        <f>BC15+BC20+BC29</f>
        <v>-3.243688839999999</v>
      </c>
      <c r="BD14" s="242">
        <f t="shared" si="31"/>
        <v>-3.2549145330860084E-2</v>
      </c>
      <c r="BE14" s="241">
        <f t="shared" si="32"/>
        <v>-7.6044215300000015</v>
      </c>
      <c r="BF14" s="242">
        <f t="shared" si="33"/>
        <v>2.344374539328502</v>
      </c>
      <c r="BG14" s="243">
        <f t="shared" si="34"/>
        <v>2.344374539328502</v>
      </c>
      <c r="BH14"/>
      <c r="BI14" s="240">
        <f>BI15+BI20+BI29</f>
        <v>46.300587879064516</v>
      </c>
      <c r="BJ14" s="242">
        <f t="shared" si="35"/>
        <v>0.38533936856481266</v>
      </c>
      <c r="BK14" s="240">
        <f>BK15+BK20+BK29</f>
        <v>46.044978093457139</v>
      </c>
      <c r="BL14" s="242">
        <f t="shared" si="36"/>
        <v>0.38557811890539928</v>
      </c>
      <c r="BM14" s="241">
        <f t="shared" si="37"/>
        <v>0.25560978560737624</v>
      </c>
      <c r="BN14" s="242">
        <f t="shared" si="38"/>
        <v>5.551306487508084E-3</v>
      </c>
      <c r="BO14" s="243">
        <f t="shared" si="39"/>
        <v>5.551306487508084E-3</v>
      </c>
      <c r="BP14"/>
      <c r="BQ14" s="240">
        <f>BQ15+BQ20+BQ29</f>
        <v>46.786470277848686</v>
      </c>
      <c r="BR14" s="242">
        <f t="shared" si="40"/>
        <v>0.4694838795300918</v>
      </c>
      <c r="BS14" s="241">
        <f t="shared" si="41"/>
        <v>-0.48588239878417028</v>
      </c>
      <c r="BT14" s="242">
        <f t="shared" si="42"/>
        <v>-1.0385104836904399E-2</v>
      </c>
      <c r="BU14" s="243">
        <f t="shared" si="43"/>
        <v>-1.0385104836904399E-2</v>
      </c>
      <c r="BV14"/>
      <c r="BW14" s="240">
        <f>BW15+BW20+BW29</f>
        <v>38.918442026553642</v>
      </c>
      <c r="BX14" s="242">
        <f t="shared" si="44"/>
        <v>0.39053130187818746</v>
      </c>
      <c r="BY14" s="241">
        <f t="shared" si="45"/>
        <v>7.3821458525108739</v>
      </c>
      <c r="BZ14" s="242">
        <f t="shared" si="46"/>
        <v>0.18968246075919776</v>
      </c>
      <c r="CA14" s="243">
        <f t="shared" si="47"/>
        <v>0.18968246075919776</v>
      </c>
    </row>
    <row r="15" spans="2:79" x14ac:dyDescent="0.35">
      <c r="B15" s="244" t="s">
        <v>119</v>
      </c>
      <c r="C15" s="244" t="s">
        <v>120</v>
      </c>
      <c r="D15"/>
      <c r="E15" s="245">
        <f>SUM(E16:E19)</f>
        <v>55.610917737231794</v>
      </c>
      <c r="F15" s="245">
        <f>SUM(F16:F19)</f>
        <v>53.847477245940851</v>
      </c>
      <c r="G15" s="246">
        <f t="shared" si="0"/>
        <v>1.7634404912909432</v>
      </c>
      <c r="H15" s="247">
        <f t="shared" si="1"/>
        <v>3.2748804242707097E-2</v>
      </c>
      <c r="I15" s="248">
        <f t="shared" si="2"/>
        <v>3.2748804242707097E-2</v>
      </c>
      <c r="J15"/>
      <c r="K15" s="245">
        <f>SUM(K16:K19)</f>
        <v>55.417437770709064</v>
      </c>
      <c r="L15" s="246">
        <f t="shared" si="3"/>
        <v>0.19347996652273025</v>
      </c>
      <c r="M15" s="247">
        <f t="shared" si="4"/>
        <v>3.4913192364334211E-3</v>
      </c>
      <c r="N15" s="248">
        <f t="shared" si="5"/>
        <v>3.4913192364334211E-3</v>
      </c>
      <c r="O15"/>
      <c r="P15" s="245">
        <f>SUM(P16:P19)</f>
        <v>44.974878480000008</v>
      </c>
      <c r="Q15" s="246">
        <f t="shared" si="6"/>
        <v>10.636039257231786</v>
      </c>
      <c r="R15" s="247">
        <f t="shared" si="7"/>
        <v>0.23648844903408817</v>
      </c>
      <c r="S15" s="248">
        <f t="shared" si="8"/>
        <v>0.23648844903408817</v>
      </c>
      <c r="T15"/>
      <c r="U15" s="245">
        <f>SUM(U16:U19)</f>
        <v>37.372744554973913</v>
      </c>
      <c r="V15" s="247">
        <f t="shared" si="9"/>
        <v>0.67203970147668812</v>
      </c>
      <c r="W15" s="245">
        <f>SUM(W16:W19)</f>
        <v>30.520920822386145</v>
      </c>
      <c r="X15" s="247">
        <f t="shared" si="10"/>
        <v>0.56680317042497819</v>
      </c>
      <c r="Y15" s="246">
        <f t="shared" si="11"/>
        <v>6.8518237325877678</v>
      </c>
      <c r="Z15" s="247">
        <f t="shared" si="12"/>
        <v>0.22449597023829537</v>
      </c>
      <c r="AA15" s="248">
        <f t="shared" si="13"/>
        <v>0.22449597023829537</v>
      </c>
      <c r="AB15"/>
      <c r="AC15" s="245">
        <f>SUM(AC16:AC19)</f>
        <v>37.361420641015478</v>
      </c>
      <c r="AD15" s="247">
        <f t="shared" si="14"/>
        <v>0.83071754507641016</v>
      </c>
      <c r="AE15" s="246">
        <f t="shared" si="15"/>
        <v>1.1323913958435128E-2</v>
      </c>
      <c r="AF15" s="247">
        <f t="shared" si="16"/>
        <v>3.0309109675563661E-4</v>
      </c>
      <c r="AG15" s="248">
        <f t="shared" si="17"/>
        <v>3.0309109675563661E-4</v>
      </c>
      <c r="AH15"/>
      <c r="AI15" s="245">
        <f>SUM(AI16:AI19)</f>
        <v>25.955928700000005</v>
      </c>
      <c r="AJ15" s="247">
        <f t="shared" si="18"/>
        <v>0.5771205965913262</v>
      </c>
      <c r="AK15" s="246">
        <f t="shared" si="19"/>
        <v>11.416815854973908</v>
      </c>
      <c r="AL15" s="247">
        <f t="shared" si="20"/>
        <v>0.43985387642761964</v>
      </c>
      <c r="AM15" s="248">
        <f t="shared" si="21"/>
        <v>0.43985387642761964</v>
      </c>
      <c r="AN15"/>
      <c r="AO15" s="245">
        <f>SUM(AO16:AO19)</f>
        <v>-5.2454419699999999</v>
      </c>
      <c r="AP15" s="247">
        <f t="shared" si="22"/>
        <v>-9.4323959816403999E-2</v>
      </c>
      <c r="AQ15" s="245">
        <f>SUM(AQ16:AQ19)</f>
        <v>-4.5450000000000004E-2</v>
      </c>
      <c r="AR15" s="247">
        <f t="shared" si="23"/>
        <v>-8.4405068397937124E-4</v>
      </c>
      <c r="AS15" s="246">
        <f t="shared" si="24"/>
        <v>-5.1999919700000001</v>
      </c>
      <c r="AT15" s="247">
        <f t="shared" si="25"/>
        <v>114.41126446644662</v>
      </c>
      <c r="AU15" s="248">
        <f t="shared" si="26"/>
        <v>114.41126446644662</v>
      </c>
      <c r="AV15"/>
      <c r="AW15" s="245">
        <f>SUM(AW16:AW19)</f>
        <v>-5.0972232863223335</v>
      </c>
      <c r="AX15" s="247">
        <f t="shared" si="27"/>
        <v>-0.11333489847202212</v>
      </c>
      <c r="AY15" s="246">
        <f t="shared" si="28"/>
        <v>-0.14821868367766644</v>
      </c>
      <c r="AZ15" s="247">
        <f t="shared" si="29"/>
        <v>2.9078318792780777E-2</v>
      </c>
      <c r="BA15" s="248">
        <f t="shared" si="30"/>
        <v>2.9078318792780777E-2</v>
      </c>
      <c r="BB15"/>
      <c r="BC15" s="245">
        <f>SUM(BC16:BC19)</f>
        <v>-1.4047916299999992</v>
      </c>
      <c r="BD15" s="247">
        <f t="shared" si="31"/>
        <v>-3.1235028920082564E-2</v>
      </c>
      <c r="BE15" s="246">
        <f t="shared" si="32"/>
        <v>-3.8406503400000007</v>
      </c>
      <c r="BF15" s="247">
        <f t="shared" si="33"/>
        <v>2.7339644243182195</v>
      </c>
      <c r="BG15" s="248">
        <f t="shared" si="34"/>
        <v>2.7339644243182195</v>
      </c>
      <c r="BH15"/>
      <c r="BI15" s="245">
        <f>SUM(BI16:BI19)</f>
        <v>32.127302584973911</v>
      </c>
      <c r="BJ15" s="247">
        <f t="shared" si="35"/>
        <v>0.57771574166028405</v>
      </c>
      <c r="BK15" s="245">
        <f>SUM(BK16:BK19)</f>
        <v>30.475470822386143</v>
      </c>
      <c r="BL15" s="247">
        <f t="shared" si="36"/>
        <v>0.56595911974099877</v>
      </c>
      <c r="BM15" s="246">
        <f t="shared" si="37"/>
        <v>1.6518317625877685</v>
      </c>
      <c r="BN15" s="247">
        <f t="shared" si="38"/>
        <v>5.4202009616678162E-2</v>
      </c>
      <c r="BO15" s="248">
        <f t="shared" si="39"/>
        <v>5.4202009616678162E-2</v>
      </c>
      <c r="BP15"/>
      <c r="BQ15" s="245">
        <f>SUM(BQ16:BQ19)</f>
        <v>32.264197354693138</v>
      </c>
      <c r="BR15" s="247">
        <f t="shared" si="40"/>
        <v>0.717382646604388</v>
      </c>
      <c r="BS15" s="246">
        <f t="shared" si="41"/>
        <v>-0.13689476971922687</v>
      </c>
      <c r="BT15" s="247">
        <f t="shared" si="42"/>
        <v>-4.2429312037205909E-3</v>
      </c>
      <c r="BU15" s="248">
        <f t="shared" si="43"/>
        <v>-4.2429312037205909E-3</v>
      </c>
      <c r="BV15"/>
      <c r="BW15" s="245">
        <f>SUM(BW16:BW19)</f>
        <v>24.55113707000001</v>
      </c>
      <c r="BX15" s="247">
        <f t="shared" si="44"/>
        <v>0.54588556767124374</v>
      </c>
      <c r="BY15" s="246">
        <f t="shared" si="45"/>
        <v>7.5761655149739013</v>
      </c>
      <c r="BZ15" s="247">
        <f t="shared" si="46"/>
        <v>0.30858715396247421</v>
      </c>
      <c r="CA15" s="248">
        <f t="shared" si="47"/>
        <v>0.30858715396247421</v>
      </c>
    </row>
    <row r="16" spans="2:79" outlineLevel="1" x14ac:dyDescent="0.35">
      <c r="B16" s="249" t="s">
        <v>121</v>
      </c>
      <c r="C16" s="249" t="s">
        <v>122</v>
      </c>
      <c r="D16"/>
      <c r="E16" s="250">
        <v>38.309189888331822</v>
      </c>
      <c r="F16" s="250">
        <v>38.64378052258899</v>
      </c>
      <c r="G16" s="251">
        <f t="shared" si="0"/>
        <v>-0.33459063425716806</v>
      </c>
      <c r="H16" s="252">
        <f t="shared" si="1"/>
        <v>-8.658330777486567E-3</v>
      </c>
      <c r="I16" s="253">
        <f t="shared" si="2"/>
        <v>-8.658330777486567E-3</v>
      </c>
      <c r="J16"/>
      <c r="K16" s="250">
        <v>38.861521313511176</v>
      </c>
      <c r="L16" s="251">
        <f t="shared" si="3"/>
        <v>-0.55233142517935363</v>
      </c>
      <c r="M16" s="252">
        <f t="shared" si="4"/>
        <v>-1.4212810165702972E-2</v>
      </c>
      <c r="N16" s="253">
        <f t="shared" si="5"/>
        <v>-1.4212810165702972E-2</v>
      </c>
      <c r="O16"/>
      <c r="P16" s="250">
        <v>30.779137690000002</v>
      </c>
      <c r="Q16" s="251">
        <f t="shared" si="6"/>
        <v>7.5300521983318198</v>
      </c>
      <c r="R16" s="252">
        <f t="shared" si="7"/>
        <v>0.24464792594817553</v>
      </c>
      <c r="S16" s="253">
        <f t="shared" si="8"/>
        <v>0.24464792594817553</v>
      </c>
      <c r="T16"/>
      <c r="U16" s="250">
        <v>27.608472099804185</v>
      </c>
      <c r="V16" s="252">
        <f t="shared" si="9"/>
        <v>0.72067491325921118</v>
      </c>
      <c r="W16" s="250">
        <v>24.554331564726027</v>
      </c>
      <c r="X16" s="252">
        <f t="shared" si="10"/>
        <v>0.63540189993504748</v>
      </c>
      <c r="Y16" s="251">
        <f t="shared" si="11"/>
        <v>3.0541405350781581</v>
      </c>
      <c r="Z16" s="252">
        <f t="shared" si="12"/>
        <v>0.12438296383786063</v>
      </c>
      <c r="AA16" s="253">
        <f t="shared" si="13"/>
        <v>0.12438296383786063</v>
      </c>
      <c r="AB16"/>
      <c r="AC16" s="250">
        <v>28.32310291594084</v>
      </c>
      <c r="AD16" s="252">
        <f t="shared" si="14"/>
        <v>0.92020456197325118</v>
      </c>
      <c r="AE16" s="251">
        <f t="shared" si="15"/>
        <v>-0.7146308161366548</v>
      </c>
      <c r="AF16" s="252">
        <f t="shared" si="16"/>
        <v>-2.5231374481022861E-2</v>
      </c>
      <c r="AG16" s="253">
        <f t="shared" si="17"/>
        <v>-2.5231374481022861E-2</v>
      </c>
      <c r="AH16"/>
      <c r="AI16" s="250">
        <v>19.335817580000004</v>
      </c>
      <c r="AJ16" s="252">
        <f t="shared" si="18"/>
        <v>0.62821180290187661</v>
      </c>
      <c r="AK16" s="251">
        <f t="shared" si="19"/>
        <v>8.2726545198041812</v>
      </c>
      <c r="AL16" s="252">
        <f t="shared" si="20"/>
        <v>0.42784094779426329</v>
      </c>
      <c r="AM16" s="253">
        <f t="shared" si="21"/>
        <v>0.42784094779426329</v>
      </c>
      <c r="AN16"/>
      <c r="AO16" s="250">
        <v>-3.3840661299999999</v>
      </c>
      <c r="AP16" s="252">
        <f t="shared" si="22"/>
        <v>-8.8335622336684169E-2</v>
      </c>
      <c r="AQ16" s="250">
        <v>-2.4150000000000001E-2</v>
      </c>
      <c r="AR16" s="252">
        <f t="shared" si="23"/>
        <v>-6.2493885622508553E-4</v>
      </c>
      <c r="AS16" s="251">
        <f t="shared" si="24"/>
        <v>-3.3599161299999998</v>
      </c>
      <c r="AT16" s="252">
        <f t="shared" si="25"/>
        <v>139.12696190476188</v>
      </c>
      <c r="AU16" s="253">
        <f t="shared" si="26"/>
        <v>139.12696190476188</v>
      </c>
      <c r="AV16"/>
      <c r="AW16" s="250">
        <v>-3.3899191349799298</v>
      </c>
      <c r="AX16" s="252">
        <f t="shared" si="27"/>
        <v>-0.11013691056332935</v>
      </c>
      <c r="AY16" s="251">
        <f t="shared" si="28"/>
        <v>5.85300497992991E-3</v>
      </c>
      <c r="AZ16" s="252">
        <f t="shared" si="29"/>
        <v>-1.7265913276613976E-3</v>
      </c>
      <c r="BA16" s="253">
        <f t="shared" si="30"/>
        <v>-1.7265913276613976E-3</v>
      </c>
      <c r="BB16"/>
      <c r="BC16" s="250">
        <v>-0.72254856000000001</v>
      </c>
      <c r="BD16" s="252">
        <f t="shared" si="31"/>
        <v>-2.3475269751782313E-2</v>
      </c>
      <c r="BE16" s="251">
        <f t="shared" si="32"/>
        <v>-2.66151757</v>
      </c>
      <c r="BF16" s="252">
        <f t="shared" si="33"/>
        <v>3.6835137696489211</v>
      </c>
      <c r="BG16" s="253">
        <f t="shared" si="34"/>
        <v>3.6835137696489211</v>
      </c>
      <c r="BH16"/>
      <c r="BI16" s="254">
        <f>SUM(U16,AO16)</f>
        <v>24.224405969804184</v>
      </c>
      <c r="BJ16" s="252">
        <f t="shared" si="35"/>
        <v>0.63233929092252694</v>
      </c>
      <c r="BK16" s="250">
        <f>SUM(W16,AQ16)</f>
        <v>24.530181564726028</v>
      </c>
      <c r="BL16" s="252">
        <f t="shared" si="36"/>
        <v>0.63477696107882242</v>
      </c>
      <c r="BM16" s="251">
        <f t="shared" si="37"/>
        <v>-0.30577559492184392</v>
      </c>
      <c r="BN16" s="252">
        <f t="shared" si="38"/>
        <v>-1.246528054083154E-2</v>
      </c>
      <c r="BO16" s="253">
        <f t="shared" si="39"/>
        <v>-1.246528054083154E-2</v>
      </c>
      <c r="BP16"/>
      <c r="BQ16" s="250">
        <f>SUM(AC16,AW16)</f>
        <v>24.93318378096091</v>
      </c>
      <c r="BR16" s="252">
        <f t="shared" si="40"/>
        <v>0.81006765140992187</v>
      </c>
      <c r="BS16" s="251">
        <f t="shared" si="41"/>
        <v>-0.70877781115672533</v>
      </c>
      <c r="BT16" s="252">
        <f t="shared" si="42"/>
        <v>-2.8427088067988784E-2</v>
      </c>
      <c r="BU16" s="253">
        <f t="shared" si="43"/>
        <v>-2.8427088067988784E-2</v>
      </c>
      <c r="BV16"/>
      <c r="BW16" s="250">
        <f>SUM(AI16,BC16)</f>
        <v>18.613269020000004</v>
      </c>
      <c r="BX16" s="252">
        <f t="shared" si="44"/>
        <v>0.60473653315009435</v>
      </c>
      <c r="BY16" s="251">
        <f t="shared" si="45"/>
        <v>5.6111369498041803</v>
      </c>
      <c r="BZ16" s="252">
        <f t="shared" si="46"/>
        <v>0.30145897229417357</v>
      </c>
      <c r="CA16" s="253">
        <f t="shared" si="47"/>
        <v>0.30145897229417357</v>
      </c>
    </row>
    <row r="17" spans="2:81" outlineLevel="1" x14ac:dyDescent="0.35">
      <c r="B17" s="249" t="s">
        <v>123</v>
      </c>
      <c r="C17" s="249" t="s">
        <v>124</v>
      </c>
      <c r="D17"/>
      <c r="E17" s="250">
        <v>7.2798552499999944</v>
      </c>
      <c r="F17" s="250">
        <v>5.3980434185108797</v>
      </c>
      <c r="G17" s="251">
        <f t="shared" si="0"/>
        <v>1.8818118314891148</v>
      </c>
      <c r="H17" s="252">
        <f t="shared" si="1"/>
        <v>0.34860998432062207</v>
      </c>
      <c r="I17" s="253">
        <f t="shared" si="2"/>
        <v>0.34860998432062207</v>
      </c>
      <c r="J17"/>
      <c r="K17" s="250">
        <v>6.7225163676568691</v>
      </c>
      <c r="L17" s="251">
        <f t="shared" si="3"/>
        <v>0.55733888234312534</v>
      </c>
      <c r="M17" s="252">
        <f t="shared" si="4"/>
        <v>8.2906288636882097E-2</v>
      </c>
      <c r="N17" s="253">
        <f t="shared" si="5"/>
        <v>8.2906288636882097E-2</v>
      </c>
      <c r="O17"/>
      <c r="P17" s="250">
        <v>6.3892718300000002</v>
      </c>
      <c r="Q17" s="251">
        <f t="shared" si="6"/>
        <v>0.89058341999999424</v>
      </c>
      <c r="R17" s="252">
        <f t="shared" si="7"/>
        <v>0.13938731105763491</v>
      </c>
      <c r="S17" s="253">
        <f t="shared" si="8"/>
        <v>0.13938731105763491</v>
      </c>
      <c r="T17"/>
      <c r="U17" s="250">
        <v>3.5753697583231543</v>
      </c>
      <c r="V17" s="252">
        <f t="shared" si="9"/>
        <v>0.49113198484587411</v>
      </c>
      <c r="W17" s="250">
        <v>1.3415259803930621</v>
      </c>
      <c r="X17" s="252">
        <f t="shared" si="10"/>
        <v>0.24852078362184413</v>
      </c>
      <c r="Y17" s="251">
        <f t="shared" si="11"/>
        <v>2.2338437779300921</v>
      </c>
      <c r="Z17" s="252">
        <f t="shared" si="12"/>
        <v>1.6651513355526548</v>
      </c>
      <c r="AA17" s="253">
        <f t="shared" si="13"/>
        <v>1.6651513355526548</v>
      </c>
      <c r="AB17"/>
      <c r="AC17" s="250">
        <v>3.2021876461903145</v>
      </c>
      <c r="AD17" s="252">
        <f t="shared" si="14"/>
        <v>0.50118193925555898</v>
      </c>
      <c r="AE17" s="251">
        <f t="shared" si="15"/>
        <v>0.3731821121328398</v>
      </c>
      <c r="AF17" s="252">
        <f t="shared" si="16"/>
        <v>0.11653973888033065</v>
      </c>
      <c r="AG17" s="253">
        <f t="shared" si="17"/>
        <v>0.11653973888033065</v>
      </c>
      <c r="AH17"/>
      <c r="AI17" s="250">
        <v>2.859313489999999</v>
      </c>
      <c r="AJ17" s="252">
        <f t="shared" si="18"/>
        <v>0.44751789657382585</v>
      </c>
      <c r="AK17" s="251">
        <f t="shared" si="19"/>
        <v>0.71605626832315528</v>
      </c>
      <c r="AL17" s="252">
        <f t="shared" si="20"/>
        <v>0.25042943728536593</v>
      </c>
      <c r="AM17" s="253">
        <f t="shared" si="21"/>
        <v>0.25042943728536593</v>
      </c>
      <c r="AN17"/>
      <c r="AO17" s="250">
        <v>-0.96989650999999977</v>
      </c>
      <c r="AP17" s="252">
        <f t="shared" si="22"/>
        <v>-0.13323019163052735</v>
      </c>
      <c r="AQ17" s="250">
        <v>-8.3000000000000001E-3</v>
      </c>
      <c r="AR17" s="252">
        <f t="shared" si="23"/>
        <v>-1.5375941533811639E-3</v>
      </c>
      <c r="AS17" s="251">
        <f t="shared" si="24"/>
        <v>-0.96159650999999979</v>
      </c>
      <c r="AT17" s="252">
        <f t="shared" si="25"/>
        <v>115.85500120481925</v>
      </c>
      <c r="AU17" s="253">
        <f t="shared" si="26"/>
        <v>115.85500120481925</v>
      </c>
      <c r="AV17"/>
      <c r="AW17" s="250">
        <v>-0.8687435482687611</v>
      </c>
      <c r="AX17" s="252">
        <f t="shared" si="27"/>
        <v>-0.1359691012346177</v>
      </c>
      <c r="AY17" s="251">
        <f t="shared" si="28"/>
        <v>-0.10115296173123867</v>
      </c>
      <c r="AZ17" s="252">
        <f t="shared" si="29"/>
        <v>0.11643592856927354</v>
      </c>
      <c r="BA17" s="253">
        <f t="shared" si="30"/>
        <v>0.11643592856927354</v>
      </c>
      <c r="BB17"/>
      <c r="BC17" s="250">
        <v>-0.67194306999999909</v>
      </c>
      <c r="BD17" s="252">
        <f t="shared" si="31"/>
        <v>-0.1051673943257473</v>
      </c>
      <c r="BE17" s="251">
        <f t="shared" si="32"/>
        <v>-0.29795344000000068</v>
      </c>
      <c r="BF17" s="252">
        <f t="shared" si="33"/>
        <v>0.44342066062233676</v>
      </c>
      <c r="BG17" s="253">
        <f t="shared" si="34"/>
        <v>0.44342066062233676</v>
      </c>
      <c r="BH17"/>
      <c r="BI17" s="250">
        <f t="shared" ref="BI17:BI19" si="48">SUM(U17,AO17)</f>
        <v>2.6054732483231544</v>
      </c>
      <c r="BJ17" s="252">
        <f t="shared" si="35"/>
        <v>0.35790179321534676</v>
      </c>
      <c r="BK17" s="250">
        <f t="shared" ref="BK17:BK19" si="49">SUM(W17,AQ17)</f>
        <v>1.3332259803930622</v>
      </c>
      <c r="BL17" s="252">
        <f t="shared" si="36"/>
        <v>0.24698318946846298</v>
      </c>
      <c r="BM17" s="251">
        <f t="shared" si="37"/>
        <v>1.2722472679300922</v>
      </c>
      <c r="BN17" s="252">
        <f t="shared" si="38"/>
        <v>0.9542622830939792</v>
      </c>
      <c r="BO17" s="253">
        <f t="shared" si="39"/>
        <v>0.9542622830939792</v>
      </c>
      <c r="BP17"/>
      <c r="BQ17" s="250">
        <f t="shared" ref="BQ17:BQ19" si="50">SUM(AC17,AW17)</f>
        <v>2.3334440979215536</v>
      </c>
      <c r="BR17" s="252">
        <f t="shared" si="40"/>
        <v>0.36521283802094134</v>
      </c>
      <c r="BS17" s="251">
        <f t="shared" si="41"/>
        <v>0.27202915040160081</v>
      </c>
      <c r="BT17" s="252">
        <f t="shared" si="42"/>
        <v>0.11657838756193163</v>
      </c>
      <c r="BU17" s="253">
        <f t="shared" si="43"/>
        <v>0.11657838756193163</v>
      </c>
      <c r="BV17"/>
      <c r="BW17" s="250">
        <f t="shared" ref="BW17:BW19" si="51">SUM(AI17,BC17)</f>
        <v>2.1873704199999997</v>
      </c>
      <c r="BX17" s="252">
        <f t="shared" si="44"/>
        <v>0.3423505022480785</v>
      </c>
      <c r="BY17" s="251">
        <f t="shared" si="45"/>
        <v>0.41810282832315471</v>
      </c>
      <c r="BZ17" s="252">
        <f t="shared" si="46"/>
        <v>0.19114404423698605</v>
      </c>
      <c r="CA17" s="253">
        <f t="shared" si="47"/>
        <v>0.19114404423698605</v>
      </c>
    </row>
    <row r="18" spans="2:81" outlineLevel="1" x14ac:dyDescent="0.35">
      <c r="B18" s="249" t="s">
        <v>125</v>
      </c>
      <c r="C18" s="249" t="s">
        <v>126</v>
      </c>
      <c r="D18"/>
      <c r="E18" s="250">
        <v>8.7374055788999776</v>
      </c>
      <c r="F18" s="250">
        <v>8.3754882221512617</v>
      </c>
      <c r="G18" s="251">
        <f t="shared" si="0"/>
        <v>0.36191735674871595</v>
      </c>
      <c r="H18" s="252">
        <f t="shared" si="1"/>
        <v>4.3211493724213845E-2</v>
      </c>
      <c r="I18" s="253">
        <f t="shared" si="2"/>
        <v>4.3211493724213845E-2</v>
      </c>
      <c r="J18"/>
      <c r="K18" s="250">
        <v>8.5659106968358785</v>
      </c>
      <c r="L18" s="251">
        <f t="shared" si="3"/>
        <v>0.17149488206409913</v>
      </c>
      <c r="M18" s="252">
        <f t="shared" si="4"/>
        <v>2.0020624558629407E-2</v>
      </c>
      <c r="N18" s="253">
        <f t="shared" si="5"/>
        <v>2.0020624558629407E-2</v>
      </c>
      <c r="O18"/>
      <c r="P18" s="250">
        <v>6.5322958400000024</v>
      </c>
      <c r="Q18" s="251">
        <f t="shared" si="6"/>
        <v>2.2051097388999752</v>
      </c>
      <c r="R18" s="252">
        <f t="shared" si="7"/>
        <v>0.33757040295039276</v>
      </c>
      <c r="S18" s="253">
        <f t="shared" si="8"/>
        <v>0.33757040295039276</v>
      </c>
      <c r="T18"/>
      <c r="U18" s="250">
        <v>5.7864750442456367</v>
      </c>
      <c r="V18" s="252">
        <f t="shared" si="9"/>
        <v>0.66226467250409393</v>
      </c>
      <c r="W18" s="250">
        <v>4.2439378009903965</v>
      </c>
      <c r="X18" s="252">
        <f t="shared" si="10"/>
        <v>0.50670930319812835</v>
      </c>
      <c r="Y18" s="251">
        <f t="shared" si="11"/>
        <v>1.5425372432552402</v>
      </c>
      <c r="Z18" s="252">
        <f t="shared" si="12"/>
        <v>0.36346839081742965</v>
      </c>
      <c r="AA18" s="253">
        <f t="shared" si="13"/>
        <v>0.36346839081742965</v>
      </c>
      <c r="AB18"/>
      <c r="AC18" s="250">
        <v>5.4622247450581209</v>
      </c>
      <c r="AD18" s="252">
        <f t="shared" si="14"/>
        <v>0.8361875945070667</v>
      </c>
      <c r="AE18" s="251">
        <f t="shared" si="15"/>
        <v>0.3242502991875158</v>
      </c>
      <c r="AF18" s="252">
        <f t="shared" si="16"/>
        <v>5.9362313768007713E-2</v>
      </c>
      <c r="AG18" s="253">
        <f t="shared" si="17"/>
        <v>5.9362313768007713E-2</v>
      </c>
      <c r="AH18"/>
      <c r="AI18" s="250">
        <v>3.4932536900000035</v>
      </c>
      <c r="AJ18" s="252">
        <f t="shared" si="18"/>
        <v>0.53476660818227761</v>
      </c>
      <c r="AK18" s="251">
        <f t="shared" si="19"/>
        <v>2.2932213542456332</v>
      </c>
      <c r="AL18" s="252">
        <f t="shared" si="20"/>
        <v>0.6564714612083129</v>
      </c>
      <c r="AM18" s="253">
        <f t="shared" si="21"/>
        <v>0.6564714612083129</v>
      </c>
      <c r="AN18"/>
      <c r="AO18" s="250">
        <v>-0.8914793299999999</v>
      </c>
      <c r="AP18" s="252">
        <f t="shared" si="22"/>
        <v>-0.10203021044975177</v>
      </c>
      <c r="AQ18" s="250">
        <v>-1.0999999999999999E-2</v>
      </c>
      <c r="AR18" s="252">
        <f t="shared" si="23"/>
        <v>-1.3133562734775868E-3</v>
      </c>
      <c r="AS18" s="251">
        <f t="shared" si="24"/>
        <v>-0.88047932999999989</v>
      </c>
      <c r="AT18" s="252">
        <f t="shared" si="25"/>
        <v>80.043575454545447</v>
      </c>
      <c r="AU18" s="253">
        <f t="shared" si="26"/>
        <v>80.043575454545447</v>
      </c>
      <c r="AV18"/>
      <c r="AW18" s="250">
        <v>-0.83856060307364289</v>
      </c>
      <c r="AX18" s="252">
        <f t="shared" si="27"/>
        <v>-0.12837149810925322</v>
      </c>
      <c r="AY18" s="251">
        <f t="shared" si="28"/>
        <v>-5.2918726926357018E-2</v>
      </c>
      <c r="AZ18" s="252">
        <f t="shared" si="29"/>
        <v>6.3106621909483795E-2</v>
      </c>
      <c r="BA18" s="253">
        <f t="shared" si="30"/>
        <v>6.3106621909483795E-2</v>
      </c>
      <c r="BB18"/>
      <c r="BC18" s="250">
        <v>-1.0999999999999999E-2</v>
      </c>
      <c r="BD18" s="252">
        <f t="shared" si="31"/>
        <v>-1.6839408791993712E-3</v>
      </c>
      <c r="BE18" s="251">
        <f t="shared" si="32"/>
        <v>-0.88047932999999989</v>
      </c>
      <c r="BF18" s="252">
        <f t="shared" si="33"/>
        <v>80.043575454545447</v>
      </c>
      <c r="BG18" s="253">
        <f t="shared" si="34"/>
        <v>80.043575454545447</v>
      </c>
      <c r="BH18"/>
      <c r="BI18" s="250">
        <f t="shared" si="48"/>
        <v>4.8949957142456366</v>
      </c>
      <c r="BJ18" s="252">
        <f t="shared" si="35"/>
        <v>0.56023446205434213</v>
      </c>
      <c r="BK18" s="250">
        <f t="shared" si="49"/>
        <v>4.2329378009903964</v>
      </c>
      <c r="BL18" s="252">
        <f t="shared" si="36"/>
        <v>0.50539594692465073</v>
      </c>
      <c r="BM18" s="251">
        <f t="shared" si="37"/>
        <v>0.66205791325524022</v>
      </c>
      <c r="BN18" s="252">
        <f t="shared" si="38"/>
        <v>0.15640624653174351</v>
      </c>
      <c r="BO18" s="253">
        <f t="shared" si="39"/>
        <v>0.15640624653174351</v>
      </c>
      <c r="BP18"/>
      <c r="BQ18" s="250">
        <f t="shared" si="50"/>
        <v>4.6236641419844782</v>
      </c>
      <c r="BR18" s="252">
        <f t="shared" si="40"/>
        <v>0.70781609639781351</v>
      </c>
      <c r="BS18" s="251">
        <f t="shared" si="41"/>
        <v>0.27133157226115845</v>
      </c>
      <c r="BT18" s="252">
        <f t="shared" si="42"/>
        <v>5.8683235617694077E-2</v>
      </c>
      <c r="BU18" s="253">
        <f t="shared" si="43"/>
        <v>5.8683235617694077E-2</v>
      </c>
      <c r="BV18"/>
      <c r="BW18" s="250">
        <f t="shared" si="51"/>
        <v>3.4822536900000034</v>
      </c>
      <c r="BX18" s="252">
        <f t="shared" si="44"/>
        <v>0.53308266730307829</v>
      </c>
      <c r="BY18" s="251">
        <f t="shared" si="45"/>
        <v>1.4127420242456332</v>
      </c>
      <c r="BZ18" s="252">
        <f t="shared" si="46"/>
        <v>0.40569761712152336</v>
      </c>
      <c r="CA18" s="253">
        <f t="shared" si="47"/>
        <v>0.40569761712152336</v>
      </c>
    </row>
    <row r="19" spans="2:81" outlineLevel="1" x14ac:dyDescent="0.35">
      <c r="B19" s="249" t="s">
        <v>127</v>
      </c>
      <c r="C19" s="249" t="s">
        <v>128</v>
      </c>
      <c r="D19"/>
      <c r="E19" s="250">
        <v>1.2844670199999992</v>
      </c>
      <c r="F19" s="250">
        <v>1.4301650826897196</v>
      </c>
      <c r="G19" s="251">
        <f t="shared" si="0"/>
        <v>-0.14569806268972041</v>
      </c>
      <c r="H19" s="252">
        <f t="shared" si="1"/>
        <v>-0.10187499642747899</v>
      </c>
      <c r="I19" s="253">
        <f t="shared" si="2"/>
        <v>-0.10187499642747899</v>
      </c>
      <c r="J19"/>
      <c r="K19" s="250">
        <v>1.2674893927051412</v>
      </c>
      <c r="L19" s="251">
        <f t="shared" si="3"/>
        <v>1.6977627294858078E-2</v>
      </c>
      <c r="M19" s="252">
        <f t="shared" si="4"/>
        <v>1.3394689843221119E-2</v>
      </c>
      <c r="N19" s="253">
        <f t="shared" si="5"/>
        <v>1.3394689843221119E-2</v>
      </c>
      <c r="O19"/>
      <c r="P19" s="250">
        <v>1.2741731200000004</v>
      </c>
      <c r="Q19" s="251">
        <f t="shared" si="6"/>
        <v>1.0293899999998857E-2</v>
      </c>
      <c r="R19" s="252">
        <f t="shared" si="7"/>
        <v>8.0788864860050769E-3</v>
      </c>
      <c r="S19" s="253">
        <f t="shared" si="8"/>
        <v>8.0788864860050769E-3</v>
      </c>
      <c r="T19"/>
      <c r="U19" s="250">
        <v>0.40242765260093377</v>
      </c>
      <c r="V19" s="252">
        <f t="shared" si="9"/>
        <v>0.31330321941697969</v>
      </c>
      <c r="W19" s="250">
        <v>0.38112547627665649</v>
      </c>
      <c r="X19" s="252">
        <f t="shared" si="10"/>
        <v>0.26649054776241049</v>
      </c>
      <c r="Y19" s="251">
        <f t="shared" si="11"/>
        <v>2.1302176324277278E-2</v>
      </c>
      <c r="Z19" s="252">
        <f t="shared" si="12"/>
        <v>5.589281654006828E-2</v>
      </c>
      <c r="AA19" s="253">
        <f t="shared" si="13"/>
        <v>5.589281654006828E-2</v>
      </c>
      <c r="AB19"/>
      <c r="AC19" s="250">
        <v>0.37390533382620056</v>
      </c>
      <c r="AD19" s="252">
        <f t="shared" si="14"/>
        <v>0.29344939706952888</v>
      </c>
      <c r="AE19" s="251">
        <f t="shared" si="15"/>
        <v>2.8522318774733213E-2</v>
      </c>
      <c r="AF19" s="252">
        <f t="shared" si="16"/>
        <v>7.6282192829030482E-2</v>
      </c>
      <c r="AG19" s="253">
        <f t="shared" si="17"/>
        <v>7.6282192829030482E-2</v>
      </c>
      <c r="AH19"/>
      <c r="AI19" s="250">
        <v>0.26754394000000031</v>
      </c>
      <c r="AJ19" s="252">
        <f t="shared" si="18"/>
        <v>0.20997455981491764</v>
      </c>
      <c r="AK19" s="251">
        <f t="shared" si="19"/>
        <v>0.13488371260093346</v>
      </c>
      <c r="AL19" s="252">
        <f t="shared" si="20"/>
        <v>0.50415536453912324</v>
      </c>
      <c r="AM19" s="253">
        <f t="shared" si="21"/>
        <v>0.50415536453912324</v>
      </c>
      <c r="AN19"/>
      <c r="AO19" s="250">
        <v>0</v>
      </c>
      <c r="AP19" s="252">
        <f t="shared" si="22"/>
        <v>0</v>
      </c>
      <c r="AQ19" s="250">
        <v>-2E-3</v>
      </c>
      <c r="AR19" s="252">
        <f t="shared" si="23"/>
        <v>-1.3984399592797978E-3</v>
      </c>
      <c r="AS19" s="251">
        <f t="shared" si="24"/>
        <v>2E-3</v>
      </c>
      <c r="AT19" s="252">
        <f t="shared" si="25"/>
        <v>-1</v>
      </c>
      <c r="AU19" s="253">
        <f t="shared" si="26"/>
        <v>-1</v>
      </c>
      <c r="AV19"/>
      <c r="AW19" s="250">
        <v>0</v>
      </c>
      <c r="AX19" s="252">
        <f t="shared" si="27"/>
        <v>0</v>
      </c>
      <c r="AY19" s="251">
        <f t="shared" si="28"/>
        <v>0</v>
      </c>
      <c r="AZ19" s="252">
        <f t="shared" si="29"/>
        <v>0</v>
      </c>
      <c r="BA19" s="253">
        <f t="shared" si="30"/>
        <v>0</v>
      </c>
      <c r="BB19"/>
      <c r="BC19" s="250">
        <v>6.9999999999999999E-4</v>
      </c>
      <c r="BD19" s="252">
        <f t="shared" si="31"/>
        <v>5.4937589642449827E-4</v>
      </c>
      <c r="BE19" s="251">
        <f t="shared" si="32"/>
        <v>-6.9999999999999999E-4</v>
      </c>
      <c r="BF19" s="252">
        <f t="shared" si="33"/>
        <v>-1</v>
      </c>
      <c r="BG19" s="253">
        <f t="shared" si="34"/>
        <v>-1</v>
      </c>
      <c r="BH19"/>
      <c r="BI19" s="250">
        <f t="shared" si="48"/>
        <v>0.40242765260093377</v>
      </c>
      <c r="BJ19" s="252">
        <f t="shared" si="35"/>
        <v>0.31330321941697969</v>
      </c>
      <c r="BK19" s="250">
        <f t="shared" si="49"/>
        <v>0.37912547627665649</v>
      </c>
      <c r="BL19" s="252">
        <f t="shared" si="36"/>
        <v>0.26509210780313069</v>
      </c>
      <c r="BM19" s="251">
        <f t="shared" si="37"/>
        <v>2.3302176324277279E-2</v>
      </c>
      <c r="BN19" s="252">
        <f t="shared" si="38"/>
        <v>6.1462966174484011E-2</v>
      </c>
      <c r="BO19" s="253">
        <f t="shared" si="39"/>
        <v>6.1462966174484011E-2</v>
      </c>
      <c r="BP19"/>
      <c r="BQ19" s="250">
        <f t="shared" si="50"/>
        <v>0.37390533382620056</v>
      </c>
      <c r="BR19" s="252">
        <f t="shared" si="40"/>
        <v>0.29344939706952888</v>
      </c>
      <c r="BS19" s="251">
        <f t="shared" si="41"/>
        <v>2.8522318774733213E-2</v>
      </c>
      <c r="BT19" s="252">
        <f t="shared" si="42"/>
        <v>7.6282192829030399E-2</v>
      </c>
      <c r="BU19" s="253">
        <f t="shared" si="43"/>
        <v>7.6282192829030399E-2</v>
      </c>
      <c r="BV19"/>
      <c r="BW19" s="250">
        <f t="shared" si="51"/>
        <v>0.26824394000000029</v>
      </c>
      <c r="BX19" s="252">
        <f t="shared" si="44"/>
        <v>0.21052393571134212</v>
      </c>
      <c r="BY19" s="251">
        <f t="shared" si="45"/>
        <v>0.13418371260093348</v>
      </c>
      <c r="BZ19" s="252">
        <f t="shared" si="46"/>
        <v>0.50023017333004183</v>
      </c>
      <c r="CA19" s="253">
        <f t="shared" si="47"/>
        <v>0.50023017333004183</v>
      </c>
    </row>
    <row r="20" spans="2:81" x14ac:dyDescent="0.35">
      <c r="B20" s="244" t="s">
        <v>129</v>
      </c>
      <c r="C20" s="244" t="s">
        <v>130</v>
      </c>
      <c r="D20"/>
      <c r="E20" s="245">
        <f>SUM(E21,E26:E28)</f>
        <v>52.621630369188317</v>
      </c>
      <c r="F20" s="245">
        <f>SUM(F21,F26:F28)</f>
        <v>53.565193558814919</v>
      </c>
      <c r="G20" s="246">
        <f t="shared" si="0"/>
        <v>-0.94356318962660168</v>
      </c>
      <c r="H20" s="247">
        <f t="shared" si="1"/>
        <v>-1.7615229721714032E-2</v>
      </c>
      <c r="I20" s="248">
        <f t="shared" si="2"/>
        <v>-1.7615229721714032E-2</v>
      </c>
      <c r="J20"/>
      <c r="K20" s="245">
        <f>SUM(K21,K26:K28)</f>
        <v>52.632556758122618</v>
      </c>
      <c r="L20" s="246">
        <f t="shared" si="3"/>
        <v>-1.0926388934301201E-2</v>
      </c>
      <c r="M20" s="247">
        <f t="shared" si="4"/>
        <v>-2.0759753292076688E-4</v>
      </c>
      <c r="N20" s="248">
        <f t="shared" si="5"/>
        <v>-2.0759753292076688E-4</v>
      </c>
      <c r="O20"/>
      <c r="P20" s="245">
        <f>SUM(P21,P26:P28)</f>
        <v>46.415645900704163</v>
      </c>
      <c r="Q20" s="246">
        <f t="shared" si="6"/>
        <v>6.2059844684841536</v>
      </c>
      <c r="R20" s="247">
        <f t="shared" si="7"/>
        <v>0.13370458060112878</v>
      </c>
      <c r="S20" s="248">
        <f t="shared" si="8"/>
        <v>0.13370458060112878</v>
      </c>
      <c r="T20"/>
      <c r="U20" s="245">
        <f>SUM(U21,U26:U28)</f>
        <v>15.92244920492919</v>
      </c>
      <c r="V20" s="247">
        <f t="shared" si="9"/>
        <v>0.30258373017367218</v>
      </c>
      <c r="W20" s="245">
        <f>SUM(W21,W26:W28)</f>
        <v>11.575443170850217</v>
      </c>
      <c r="X20" s="247">
        <f t="shared" si="10"/>
        <v>0.21610009040927497</v>
      </c>
      <c r="Y20" s="246">
        <f t="shared" si="11"/>
        <v>4.3470060340789729</v>
      </c>
      <c r="Z20" s="247">
        <f t="shared" si="12"/>
        <v>0.37553689909910237</v>
      </c>
      <c r="AA20" s="248">
        <f t="shared" si="13"/>
        <v>0.37553689909910237</v>
      </c>
      <c r="AB20"/>
      <c r="AC20" s="245">
        <f>SUM(AC21,AC26:AC28)</f>
        <v>16.425903021533838</v>
      </c>
      <c r="AD20" s="247">
        <f t="shared" si="14"/>
        <v>0.35388720123971479</v>
      </c>
      <c r="AE20" s="246">
        <f t="shared" si="15"/>
        <v>-0.50345381660464739</v>
      </c>
      <c r="AF20" s="247">
        <f t="shared" si="16"/>
        <v>-3.0649993242054085E-2</v>
      </c>
      <c r="AG20" s="248">
        <f t="shared" si="17"/>
        <v>-3.0649993242054085E-2</v>
      </c>
      <c r="AH20"/>
      <c r="AI20" s="245">
        <f>SUM(AI21,AI26:AI28)</f>
        <v>13.470943866553633</v>
      </c>
      <c r="AJ20" s="247">
        <f t="shared" si="18"/>
        <v>0.29022420360952617</v>
      </c>
      <c r="AK20" s="246">
        <f t="shared" si="19"/>
        <v>2.4515053383755578</v>
      </c>
      <c r="AL20" s="247">
        <f t="shared" si="20"/>
        <v>0.18198467476820857</v>
      </c>
      <c r="AM20" s="248">
        <f t="shared" si="21"/>
        <v>0.18198467476820857</v>
      </c>
      <c r="AN20"/>
      <c r="AO20" s="245">
        <f>SUM(AO21,AO26:AO28)</f>
        <v>-5.6026684000000015</v>
      </c>
      <c r="AP20" s="247">
        <f t="shared" si="22"/>
        <v>-0.10647082503320815</v>
      </c>
      <c r="AQ20" s="245">
        <f>SUM(AQ21,AQ26:AQ28)</f>
        <v>0</v>
      </c>
      <c r="AR20" s="247">
        <f t="shared" si="23"/>
        <v>0</v>
      </c>
      <c r="AS20" s="246">
        <f t="shared" si="24"/>
        <v>-5.6026684000000015</v>
      </c>
      <c r="AT20" s="247">
        <f t="shared" si="25"/>
        <v>0</v>
      </c>
      <c r="AU20" s="248">
        <f t="shared" si="26"/>
        <v>0</v>
      </c>
      <c r="AV20"/>
      <c r="AW20" s="245">
        <f>SUM(AW21,AW26:AW28)</f>
        <v>-5.6308737013551573</v>
      </c>
      <c r="AX20" s="247">
        <f t="shared" si="27"/>
        <v>-0.12131413001127131</v>
      </c>
      <c r="AY20" s="246">
        <f t="shared" si="28"/>
        <v>2.8205301355155754E-2</v>
      </c>
      <c r="AZ20" s="247">
        <f t="shared" si="29"/>
        <v>-5.0090452833931876E-3</v>
      </c>
      <c r="BA20" s="248">
        <f t="shared" si="30"/>
        <v>-5.0090452833931876E-3</v>
      </c>
      <c r="BB20"/>
      <c r="BC20" s="245">
        <f>SUM(BC21,BC26:BC28)</f>
        <v>-1.8396862100000002</v>
      </c>
      <c r="BD20" s="247">
        <f t="shared" si="31"/>
        <v>-3.9635044914285912E-2</v>
      </c>
      <c r="BE20" s="246">
        <f t="shared" si="32"/>
        <v>-3.7629821900000016</v>
      </c>
      <c r="BF20" s="247">
        <f t="shared" si="33"/>
        <v>2.0454478429775267</v>
      </c>
      <c r="BG20" s="248">
        <f t="shared" si="34"/>
        <v>2.0454478429775267</v>
      </c>
      <c r="BH20"/>
      <c r="BI20" s="245">
        <f>SUM(BI21,BI26:BI28)</f>
        <v>10.319780804929188</v>
      </c>
      <c r="BJ20" s="247">
        <f t="shared" si="35"/>
        <v>0.19611290514046401</v>
      </c>
      <c r="BK20" s="245">
        <f>SUM(BK21,BK26:BK28)</f>
        <v>11.575443170850217</v>
      </c>
      <c r="BL20" s="247">
        <f t="shared" si="36"/>
        <v>0.21610009040927497</v>
      </c>
      <c r="BM20" s="246">
        <f t="shared" si="37"/>
        <v>-1.2556623659210295</v>
      </c>
      <c r="BN20" s="247">
        <f t="shared" si="38"/>
        <v>-0.10847639674678658</v>
      </c>
      <c r="BO20" s="248">
        <f t="shared" si="39"/>
        <v>-0.10847639674678658</v>
      </c>
      <c r="BP20"/>
      <c r="BQ20" s="245">
        <f>SUM(BQ21,BQ26:BQ28)</f>
        <v>10.795029320178681</v>
      </c>
      <c r="BR20" s="247">
        <f t="shared" si="40"/>
        <v>0.23257307122844351</v>
      </c>
      <c r="BS20" s="246">
        <f t="shared" si="41"/>
        <v>-0.47524851524949341</v>
      </c>
      <c r="BT20" s="247">
        <f t="shared" si="42"/>
        <v>-4.4024754463717106E-2</v>
      </c>
      <c r="BU20" s="248">
        <f t="shared" si="43"/>
        <v>-4.4024754463717106E-2</v>
      </c>
      <c r="BV20"/>
      <c r="BW20" s="245">
        <f>SUM(BW21,BW26:BW28)</f>
        <v>11.631257656553633</v>
      </c>
      <c r="BX20" s="247">
        <f t="shared" si="44"/>
        <v>0.25058915869524023</v>
      </c>
      <c r="BY20" s="246">
        <f t="shared" si="45"/>
        <v>-1.3114768516244446</v>
      </c>
      <c r="BZ20" s="247">
        <f t="shared" si="46"/>
        <v>-0.11275451807100954</v>
      </c>
      <c r="CA20" s="248">
        <f t="shared" si="47"/>
        <v>-0.11275451807100954</v>
      </c>
    </row>
    <row r="21" spans="2:81" hidden="1" outlineLevel="1" x14ac:dyDescent="0.35">
      <c r="B21" s="255" t="s">
        <v>131</v>
      </c>
      <c r="C21" s="249" t="s">
        <v>132</v>
      </c>
      <c r="D21"/>
      <c r="E21" s="250">
        <f>SUM(E22:E25)</f>
        <v>24.928980766182303</v>
      </c>
      <c r="F21" s="250">
        <f>SUM(F22:F25)</f>
        <v>26.160911000302239</v>
      </c>
      <c r="G21" s="251">
        <f t="shared" si="0"/>
        <v>-1.2319302341199361</v>
      </c>
      <c r="H21" s="252">
        <f t="shared" si="1"/>
        <v>-4.709049444439084E-2</v>
      </c>
      <c r="I21" s="253">
        <f t="shared" si="2"/>
        <v>-4.709049444439084E-2</v>
      </c>
      <c r="J21"/>
      <c r="K21" s="250">
        <f>SUM(K22:K25)</f>
        <v>24.941384395525368</v>
      </c>
      <c r="L21" s="251">
        <f t="shared" si="3"/>
        <v>-1.2403629343065603E-2</v>
      </c>
      <c r="M21" s="252">
        <f t="shared" si="4"/>
        <v>-4.9731118154339171E-4</v>
      </c>
      <c r="N21" s="253">
        <f t="shared" si="5"/>
        <v>-4.9731118154339171E-4</v>
      </c>
      <c r="O21"/>
      <c r="P21" s="250">
        <f>SUM(P22:P25)</f>
        <v>25.374362345909169</v>
      </c>
      <c r="Q21" s="251">
        <f t="shared" si="6"/>
        <v>-0.44538157972686676</v>
      </c>
      <c r="R21" s="252">
        <f t="shared" si="7"/>
        <v>-1.7552424516341425E-2</v>
      </c>
      <c r="S21" s="253">
        <f t="shared" si="8"/>
        <v>-1.7552424516341425E-2</v>
      </c>
      <c r="T21"/>
      <c r="U21" s="250">
        <f>SUM(U22:U25)</f>
        <v>-0.79941387370829775</v>
      </c>
      <c r="V21" s="252">
        <f t="shared" si="9"/>
        <v>-3.2067651750638436E-2</v>
      </c>
      <c r="W21" s="250">
        <f>SUM(W22:W25)</f>
        <v>-3.8021109254454726</v>
      </c>
      <c r="X21" s="252">
        <f t="shared" si="10"/>
        <v>-0.14533557051593296</v>
      </c>
      <c r="Y21" s="251">
        <f t="shared" si="11"/>
        <v>3.0026970517371749</v>
      </c>
      <c r="Z21" s="252">
        <f t="shared" si="12"/>
        <v>-0.78974472618401192</v>
      </c>
      <c r="AA21" s="253">
        <f t="shared" si="13"/>
        <v>-0.78974472618401192</v>
      </c>
      <c r="AB21"/>
      <c r="AC21" s="250">
        <f>SUM(AC22:AC25)</f>
        <v>-0.5307338177044747</v>
      </c>
      <c r="AD21" s="252">
        <f t="shared" si="14"/>
        <v>-2.0916144038198425E-2</v>
      </c>
      <c r="AE21" s="251">
        <f t="shared" si="15"/>
        <v>-0.26868005600382305</v>
      </c>
      <c r="AF21" s="252">
        <f t="shared" si="16"/>
        <v>0.50624257780654669</v>
      </c>
      <c r="AG21" s="253">
        <f t="shared" si="17"/>
        <v>0.50624257780654669</v>
      </c>
      <c r="AH21"/>
      <c r="AI21" s="250">
        <f>SUM(AI22:AI25)</f>
        <v>1.8060673537688823</v>
      </c>
      <c r="AJ21" s="252">
        <f t="shared" si="18"/>
        <v>7.1176856748089073E-2</v>
      </c>
      <c r="AK21" s="251">
        <f t="shared" si="19"/>
        <v>-2.6054812274771799</v>
      </c>
      <c r="AL21" s="252">
        <f t="shared" si="20"/>
        <v>-1.4426268334013619</v>
      </c>
      <c r="AM21" s="253">
        <f t="shared" si="21"/>
        <v>-1.4426268334013619</v>
      </c>
      <c r="AN21"/>
      <c r="AO21" s="250">
        <f>SUM(AO22:AO25)</f>
        <v>-4.2242529799999975</v>
      </c>
      <c r="AP21" s="252">
        <f t="shared" si="22"/>
        <v>-0.1694514918046893</v>
      </c>
      <c r="AQ21" s="250">
        <f>SUM(AQ22:AQ25)</f>
        <v>0</v>
      </c>
      <c r="AR21" s="252">
        <f t="shared" si="23"/>
        <v>0</v>
      </c>
      <c r="AS21" s="251">
        <f t="shared" si="24"/>
        <v>-4.2242529799999975</v>
      </c>
      <c r="AT21" s="252">
        <f t="shared" si="25"/>
        <v>0</v>
      </c>
      <c r="AU21" s="253">
        <f t="shared" si="26"/>
        <v>0</v>
      </c>
      <c r="AV21"/>
      <c r="AW21" s="250">
        <f>SUM(AW22:AW25)</f>
        <v>-4.2927502347933206</v>
      </c>
      <c r="AX21" s="252">
        <f t="shared" si="27"/>
        <v>-0.1691766743247991</v>
      </c>
      <c r="AY21" s="251">
        <f t="shared" si="28"/>
        <v>6.8497254793323137E-2</v>
      </c>
      <c r="AZ21" s="252">
        <f t="shared" si="29"/>
        <v>-1.5956496662243191E-2</v>
      </c>
      <c r="BA21" s="253">
        <f t="shared" si="30"/>
        <v>-1.5956496662243191E-2</v>
      </c>
      <c r="BB21"/>
      <c r="BC21" s="250">
        <f>SUM(BC22:BC25)</f>
        <v>-0.85692558000000019</v>
      </c>
      <c r="BD21" s="252">
        <f t="shared" si="31"/>
        <v>-3.3771314853874662E-2</v>
      </c>
      <c r="BE21" s="251">
        <f t="shared" si="32"/>
        <v>-3.3673273999999971</v>
      </c>
      <c r="BF21" s="252">
        <f t="shared" si="33"/>
        <v>3.9295447336278571</v>
      </c>
      <c r="BG21" s="253">
        <f t="shared" si="34"/>
        <v>3.9295447336278571</v>
      </c>
      <c r="BH21"/>
      <c r="BI21" s="250">
        <f>SUM(BI22:BI25)</f>
        <v>-5.0236668537082956</v>
      </c>
      <c r="BJ21" s="252">
        <f t="shared" si="35"/>
        <v>-0.20151914355532774</v>
      </c>
      <c r="BK21" s="250">
        <f>SUM(BK22:BK25)</f>
        <v>-3.8021109254454726</v>
      </c>
      <c r="BL21" s="252">
        <f t="shared" si="36"/>
        <v>-0.14533557051593296</v>
      </c>
      <c r="BM21" s="251">
        <f t="shared" si="37"/>
        <v>-1.221555928262823</v>
      </c>
      <c r="BN21" s="252">
        <f t="shared" si="38"/>
        <v>-0.32128361118756682</v>
      </c>
      <c r="BO21" s="253">
        <f t="shared" si="39"/>
        <v>-0.32128361118756682</v>
      </c>
      <c r="BP21"/>
      <c r="BQ21" s="250">
        <f>SUM(BQ22:BQ25)</f>
        <v>-4.8234840524977942</v>
      </c>
      <c r="BR21" s="252">
        <f t="shared" si="40"/>
        <v>-0.19009281836299746</v>
      </c>
      <c r="BS21" s="251">
        <f t="shared" si="41"/>
        <v>-0.20018280121050136</v>
      </c>
      <c r="BT21" s="252">
        <f t="shared" si="42"/>
        <v>-4.1501702717735463E-2</v>
      </c>
      <c r="BU21" s="253">
        <f t="shared" si="43"/>
        <v>-4.1501702717735463E-2</v>
      </c>
      <c r="BV21"/>
      <c r="BW21" s="250">
        <f>SUM(BW22:BW25)</f>
        <v>0.94914177376888209</v>
      </c>
      <c r="BX21" s="252">
        <f t="shared" si="44"/>
        <v>3.7405541894214411E-2</v>
      </c>
      <c r="BY21" s="251">
        <f t="shared" si="45"/>
        <v>-5.9728086274771774</v>
      </c>
      <c r="BZ21" s="252">
        <f t="shared" si="46"/>
        <v>-6.2928519137453627</v>
      </c>
      <c r="CA21" s="253">
        <f t="shared" si="47"/>
        <v>-6.2928519137453627</v>
      </c>
    </row>
    <row r="22" spans="2:81" hidden="1" outlineLevel="2" x14ac:dyDescent="0.35">
      <c r="B22" s="249" t="s">
        <v>131</v>
      </c>
      <c r="C22" s="249" t="s">
        <v>134</v>
      </c>
      <c r="D22"/>
      <c r="E22" s="250">
        <v>17.27818288293901</v>
      </c>
      <c r="F22" s="250">
        <v>17.518240927121909</v>
      </c>
      <c r="G22" s="251">
        <f t="shared" si="0"/>
        <v>-0.24005804418289856</v>
      </c>
      <c r="H22" s="252">
        <f t="shared" si="1"/>
        <v>-1.3703319025099026E-2</v>
      </c>
      <c r="I22" s="253">
        <f t="shared" si="2"/>
        <v>-1.3703319025099026E-2</v>
      </c>
      <c r="J22"/>
      <c r="K22" s="250">
        <v>17.274775787806458</v>
      </c>
      <c r="L22" s="251">
        <f t="shared" si="3"/>
        <v>3.407095132551774E-3</v>
      </c>
      <c r="M22" s="252">
        <f t="shared" si="4"/>
        <v>1.9722948502498561E-4</v>
      </c>
      <c r="N22" s="253">
        <f t="shared" si="5"/>
        <v>1.9722948502498561E-4</v>
      </c>
      <c r="O22"/>
      <c r="P22" s="250">
        <v>16.510609076065744</v>
      </c>
      <c r="Q22" s="251">
        <f t="shared" si="6"/>
        <v>0.7675738068732656</v>
      </c>
      <c r="R22" s="252">
        <f t="shared" si="7"/>
        <v>4.6489732955155683E-2</v>
      </c>
      <c r="S22" s="253">
        <f t="shared" si="8"/>
        <v>4.6489732955155683E-2</v>
      </c>
      <c r="T22"/>
      <c r="U22" s="250">
        <v>-2.9110862664574375</v>
      </c>
      <c r="V22" s="252">
        <f t="shared" si="9"/>
        <v>-0.16848335766441797</v>
      </c>
      <c r="W22" s="250">
        <v>-6.8705280687591284</v>
      </c>
      <c r="X22" s="252">
        <f t="shared" si="10"/>
        <v>-0.39219280619220798</v>
      </c>
      <c r="Y22" s="251">
        <f t="shared" si="11"/>
        <v>3.9594418023016908</v>
      </c>
      <c r="Z22" s="252">
        <f t="shared" si="12"/>
        <v>-0.57629366515590075</v>
      </c>
      <c r="AA22" s="253">
        <f t="shared" si="13"/>
        <v>-0.57629366515590075</v>
      </c>
      <c r="AB22"/>
      <c r="AC22" s="250">
        <v>-2.8143321975093127</v>
      </c>
      <c r="AD22" s="252">
        <f t="shared" si="14"/>
        <v>-0.17045598890649347</v>
      </c>
      <c r="AE22" s="251">
        <f t="shared" si="15"/>
        <v>-9.6754068948124772E-2</v>
      </c>
      <c r="AF22" s="252">
        <f t="shared" si="16"/>
        <v>3.4379050573259295E-2</v>
      </c>
      <c r="AG22" s="253">
        <f t="shared" si="17"/>
        <v>3.4379050573259295E-2</v>
      </c>
      <c r="AH22"/>
      <c r="AI22" s="250">
        <v>-0.82665098784858915</v>
      </c>
      <c r="AJ22" s="252">
        <f t="shared" si="18"/>
        <v>-5.0067867517190889E-2</v>
      </c>
      <c r="AK22" s="251">
        <f t="shared" si="19"/>
        <v>-2.0844352786088485</v>
      </c>
      <c r="AL22" s="252">
        <f t="shared" si="20"/>
        <v>2.5215421129946525</v>
      </c>
      <c r="AM22" s="253">
        <f t="shared" si="21"/>
        <v>2.5215421129946525</v>
      </c>
      <c r="AN22"/>
      <c r="AO22" s="250">
        <v>-4.2242529799999975</v>
      </c>
      <c r="AP22" s="252">
        <f t="shared" si="22"/>
        <v>-0.24448479383622859</v>
      </c>
      <c r="AQ22" s="250">
        <v>0</v>
      </c>
      <c r="AR22" s="252">
        <f t="shared" si="23"/>
        <v>0</v>
      </c>
      <c r="AS22" s="251">
        <f t="shared" si="24"/>
        <v>-4.2242529799999975</v>
      </c>
      <c r="AT22" s="252">
        <f t="shared" si="25"/>
        <v>0</v>
      </c>
      <c r="AU22" s="253">
        <f t="shared" si="26"/>
        <v>0</v>
      </c>
      <c r="AV22"/>
      <c r="AW22" s="250">
        <v>-4.2927502347933206</v>
      </c>
      <c r="AX22" s="252">
        <f t="shared" si="27"/>
        <v>-0.25999950789315307</v>
      </c>
      <c r="AY22" s="251">
        <f t="shared" si="28"/>
        <v>6.8497254793323137E-2</v>
      </c>
      <c r="AZ22" s="252">
        <f t="shared" si="29"/>
        <v>-1.5956496662243191E-2</v>
      </c>
      <c r="BA22" s="253">
        <f t="shared" si="30"/>
        <v>-1.5956496662243191E-2</v>
      </c>
      <c r="BB22"/>
      <c r="BC22" s="250">
        <v>-0.85017258000000018</v>
      </c>
      <c r="BD22" s="252">
        <f t="shared" si="31"/>
        <v>-5.1492502552945484E-2</v>
      </c>
      <c r="BE22" s="251">
        <f t="shared" si="32"/>
        <v>-3.3740803999999973</v>
      </c>
      <c r="BF22" s="252">
        <f t="shared" si="33"/>
        <v>3.9687005666543573</v>
      </c>
      <c r="BG22" s="253">
        <f t="shared" si="34"/>
        <v>3.9687005666543573</v>
      </c>
      <c r="BH22"/>
      <c r="BI22" s="250">
        <f>SUM(U22,AO22)</f>
        <v>-7.135339246457435</v>
      </c>
      <c r="BJ22" s="252">
        <f t="shared" si="35"/>
        <v>-0.41296815150064653</v>
      </c>
      <c r="BK22" s="250">
        <f>SUM(W22,AQ22)</f>
        <v>-6.8705280687591284</v>
      </c>
      <c r="BL22" s="252">
        <f t="shared" si="36"/>
        <v>-0.39219280619220798</v>
      </c>
      <c r="BM22" s="251">
        <f t="shared" si="37"/>
        <v>-0.26481117769830664</v>
      </c>
      <c r="BN22" s="252">
        <f t="shared" si="38"/>
        <v>-3.8543060307463912E-2</v>
      </c>
      <c r="BO22" s="253">
        <f t="shared" si="39"/>
        <v>-3.8543060307463912E-2</v>
      </c>
      <c r="BP22"/>
      <c r="BQ22" s="250">
        <f>SUM(AC22,AW22)</f>
        <v>-7.1070824323026329</v>
      </c>
      <c r="BR22" s="252">
        <f t="shared" si="40"/>
        <v>-0.43045549679964651</v>
      </c>
      <c r="BS22" s="251">
        <f t="shared" si="41"/>
        <v>-2.8256814154802079E-2</v>
      </c>
      <c r="BT22" s="252">
        <f t="shared" si="42"/>
        <v>-3.9758669501807255E-3</v>
      </c>
      <c r="BU22" s="253">
        <f t="shared" si="43"/>
        <v>-3.9758669501807255E-3</v>
      </c>
      <c r="BV22"/>
      <c r="BW22" s="250">
        <f>SUM(AI22,BC22)</f>
        <v>-1.6768235678485892</v>
      </c>
      <c r="BX22" s="252">
        <f t="shared" si="44"/>
        <v>-0.10156037007013637</v>
      </c>
      <c r="BY22" s="251">
        <f t="shared" si="45"/>
        <v>-5.4585156786088458</v>
      </c>
      <c r="BZ22" s="252">
        <f t="shared" si="46"/>
        <v>-3.255271325660261</v>
      </c>
      <c r="CA22" s="253">
        <f t="shared" si="47"/>
        <v>-3.255271325660261</v>
      </c>
    </row>
    <row r="23" spans="2:81" hidden="1" outlineLevel="2" x14ac:dyDescent="0.35">
      <c r="B23" s="249" t="s">
        <v>145</v>
      </c>
      <c r="C23" s="249" t="s">
        <v>136</v>
      </c>
      <c r="D23"/>
      <c r="E23" s="250">
        <v>1.3754206007920069</v>
      </c>
      <c r="F23" s="250">
        <v>1.4467264128684443</v>
      </c>
      <c r="G23" s="251">
        <f t="shared" si="0"/>
        <v>-7.130581207643738E-2</v>
      </c>
      <c r="H23" s="252">
        <f t="shared" si="1"/>
        <v>-4.9287696306766327E-2</v>
      </c>
      <c r="I23" s="253">
        <f t="shared" si="2"/>
        <v>-4.9287696306766327E-2</v>
      </c>
      <c r="J23"/>
      <c r="K23" s="250">
        <v>1.4655571563349841</v>
      </c>
      <c r="L23" s="251">
        <f t="shared" si="3"/>
        <v>-9.013655554297717E-2</v>
      </c>
      <c r="M23" s="252">
        <f t="shared" si="4"/>
        <v>-6.1503268673865685E-2</v>
      </c>
      <c r="N23" s="253">
        <f t="shared" si="5"/>
        <v>-6.1503268673865685E-2</v>
      </c>
      <c r="O23"/>
      <c r="P23" s="250">
        <v>1.556606819795</v>
      </c>
      <c r="Q23" s="251">
        <f t="shared" si="6"/>
        <v>-0.18118621900299314</v>
      </c>
      <c r="R23" s="252">
        <f t="shared" si="7"/>
        <v>-0.11639819169419718</v>
      </c>
      <c r="S23" s="253">
        <f t="shared" si="8"/>
        <v>-0.11639819169419718</v>
      </c>
      <c r="T23"/>
      <c r="U23" s="250">
        <v>0.75181557110009201</v>
      </c>
      <c r="V23" s="252">
        <f t="shared" si="9"/>
        <v>0.54660775814116414</v>
      </c>
      <c r="W23" s="250">
        <v>0.67498000676729375</v>
      </c>
      <c r="X23" s="252">
        <f t="shared" si="10"/>
        <v>0.46655677311441468</v>
      </c>
      <c r="Y23" s="251">
        <f t="shared" si="11"/>
        <v>7.6835564332798256E-2</v>
      </c>
      <c r="Z23" s="252">
        <f t="shared" si="12"/>
        <v>0.11383383739140607</v>
      </c>
      <c r="AA23" s="253">
        <f t="shared" si="13"/>
        <v>0.11383383739140607</v>
      </c>
      <c r="AB23"/>
      <c r="AC23" s="250">
        <v>0.86454275936715297</v>
      </c>
      <c r="AD23" s="252">
        <f t="shared" si="14"/>
        <v>0.55540214033047242</v>
      </c>
      <c r="AE23" s="251">
        <f t="shared" si="15"/>
        <v>-0.11272718826706096</v>
      </c>
      <c r="AF23" s="252">
        <f t="shared" si="16"/>
        <v>-0.13038937293232034</v>
      </c>
      <c r="AG23" s="253">
        <f t="shared" si="17"/>
        <v>-0.13038937293232034</v>
      </c>
      <c r="AH23"/>
      <c r="AI23" s="250">
        <v>0.52922001180524836</v>
      </c>
      <c r="AJ23" s="252">
        <f t="shared" si="18"/>
        <v>0.33998309982667613</v>
      </c>
      <c r="AK23" s="251">
        <f t="shared" si="19"/>
        <v>0.22259555929484365</v>
      </c>
      <c r="AL23" s="252">
        <f t="shared" si="20"/>
        <v>0.42061062380376923</v>
      </c>
      <c r="AM23" s="253">
        <f t="shared" si="21"/>
        <v>0.42061062380376923</v>
      </c>
      <c r="AN23"/>
      <c r="AO23" s="250">
        <v>0</v>
      </c>
      <c r="AP23" s="252">
        <f t="shared" si="22"/>
        <v>0</v>
      </c>
      <c r="AQ23" s="250">
        <v>0</v>
      </c>
      <c r="AR23" s="252">
        <f t="shared" si="23"/>
        <v>0</v>
      </c>
      <c r="AS23" s="251">
        <f t="shared" si="24"/>
        <v>0</v>
      </c>
      <c r="AT23" s="252">
        <f t="shared" si="25"/>
        <v>0</v>
      </c>
      <c r="AU23" s="253">
        <f t="shared" si="26"/>
        <v>0</v>
      </c>
      <c r="AV23"/>
      <c r="AW23" s="250">
        <v>0</v>
      </c>
      <c r="AX23" s="252">
        <f t="shared" si="27"/>
        <v>0</v>
      </c>
      <c r="AY23" s="251">
        <f t="shared" si="28"/>
        <v>0</v>
      </c>
      <c r="AZ23" s="252">
        <f t="shared" si="29"/>
        <v>0</v>
      </c>
      <c r="BA23" s="253">
        <f t="shared" si="30"/>
        <v>0</v>
      </c>
      <c r="BB23"/>
      <c r="BC23" s="250">
        <v>0</v>
      </c>
      <c r="BD23" s="252">
        <f t="shared" si="31"/>
        <v>0</v>
      </c>
      <c r="BE23" s="251">
        <f t="shared" si="32"/>
        <v>0</v>
      </c>
      <c r="BF23" s="252">
        <f t="shared" si="33"/>
        <v>0</v>
      </c>
      <c r="BG23" s="253">
        <f t="shared" si="34"/>
        <v>0</v>
      </c>
      <c r="BH23"/>
      <c r="BI23" s="250">
        <f t="shared" ref="BI23:BI29" si="52">SUM(U23,AO23)</f>
        <v>0.75181557110009201</v>
      </c>
      <c r="BJ23" s="252">
        <f t="shared" si="35"/>
        <v>0.54660775814116414</v>
      </c>
      <c r="BK23" s="250">
        <f t="shared" ref="BK23:BK29" si="53">SUM(W23,AQ23)</f>
        <v>0.67498000676729375</v>
      </c>
      <c r="BL23" s="252">
        <f t="shared" si="36"/>
        <v>0.46655677311441468</v>
      </c>
      <c r="BM23" s="251">
        <f t="shared" si="37"/>
        <v>7.6835564332798256E-2</v>
      </c>
      <c r="BN23" s="252">
        <f t="shared" si="38"/>
        <v>0.11383383739140603</v>
      </c>
      <c r="BO23" s="253">
        <f t="shared" si="39"/>
        <v>0.11383383739140603</v>
      </c>
      <c r="BP23"/>
      <c r="BQ23" s="250">
        <f t="shared" ref="BQ23:BQ29" si="54">SUM(AC23,AW23)</f>
        <v>0.86454275936715297</v>
      </c>
      <c r="BR23" s="252">
        <f t="shared" si="40"/>
        <v>0.55540214033047242</v>
      </c>
      <c r="BS23" s="251">
        <f t="shared" si="41"/>
        <v>-0.11272718826706096</v>
      </c>
      <c r="BT23" s="252">
        <f t="shared" si="42"/>
        <v>-0.13038937293232031</v>
      </c>
      <c r="BU23" s="253">
        <f t="shared" si="43"/>
        <v>-0.13038937293232031</v>
      </c>
      <c r="BV23"/>
      <c r="BW23" s="250">
        <f t="shared" ref="BW23:BW29" si="55">SUM(AI23,BC23)</f>
        <v>0.52922001180524836</v>
      </c>
      <c r="BX23" s="252">
        <f t="shared" si="44"/>
        <v>0.33998309982667613</v>
      </c>
      <c r="BY23" s="251">
        <f t="shared" si="45"/>
        <v>0.22259555929484365</v>
      </c>
      <c r="BZ23" s="252">
        <f t="shared" si="46"/>
        <v>0.42061062380376929</v>
      </c>
      <c r="CA23" s="253">
        <f t="shared" si="47"/>
        <v>0.42061062380376929</v>
      </c>
    </row>
    <row r="24" spans="2:81" hidden="1" outlineLevel="2" x14ac:dyDescent="0.35">
      <c r="B24" s="249" t="s">
        <v>261</v>
      </c>
      <c r="C24" s="249" t="s">
        <v>138</v>
      </c>
      <c r="D24"/>
      <c r="E24" s="250">
        <v>3.7367920594910764</v>
      </c>
      <c r="F24" s="250">
        <v>4.2680686935455698</v>
      </c>
      <c r="G24" s="251">
        <f t="shared" si="0"/>
        <v>-0.53127663405449344</v>
      </c>
      <c r="H24" s="252">
        <f t="shared" si="1"/>
        <v>-0.12447705793909125</v>
      </c>
      <c r="I24" s="253">
        <f t="shared" si="2"/>
        <v>-0.12447705793909125</v>
      </c>
      <c r="J24"/>
      <c r="K24" s="250">
        <v>3.7201353169362839</v>
      </c>
      <c r="L24" s="251">
        <f t="shared" si="3"/>
        <v>1.6656742554792547E-2</v>
      </c>
      <c r="M24" s="252">
        <f t="shared" si="4"/>
        <v>4.4774560965459287E-3</v>
      </c>
      <c r="N24" s="253">
        <f t="shared" si="5"/>
        <v>4.4774560965459287E-3</v>
      </c>
      <c r="O24"/>
      <c r="P24" s="250">
        <v>4.3115505499999989</v>
      </c>
      <c r="Q24" s="251">
        <f t="shared" si="6"/>
        <v>-0.57475849050892247</v>
      </c>
      <c r="R24" s="252">
        <f t="shared" si="7"/>
        <v>-0.13330668024034242</v>
      </c>
      <c r="S24" s="253">
        <f t="shared" si="8"/>
        <v>-0.13330668024034242</v>
      </c>
      <c r="T24"/>
      <c r="U24" s="250">
        <v>0.46562252278019223</v>
      </c>
      <c r="V24" s="252">
        <f t="shared" si="9"/>
        <v>0.12460487909611075</v>
      </c>
      <c r="W24" s="250">
        <v>0.96890734532529865</v>
      </c>
      <c r="X24" s="252">
        <f t="shared" si="10"/>
        <v>0.22701306255696835</v>
      </c>
      <c r="Y24" s="251">
        <f t="shared" si="11"/>
        <v>-0.50328482254510643</v>
      </c>
      <c r="Z24" s="252">
        <f t="shared" si="12"/>
        <v>-0.51943544960548804</v>
      </c>
      <c r="AA24" s="253">
        <f t="shared" si="13"/>
        <v>-0.51943544960548804</v>
      </c>
      <c r="AB24"/>
      <c r="AC24" s="250">
        <v>0.56490561904642522</v>
      </c>
      <c r="AD24" s="252">
        <f t="shared" si="14"/>
        <v>0.13102145330208997</v>
      </c>
      <c r="AE24" s="251">
        <f t="shared" si="15"/>
        <v>-9.9283096266232995E-2</v>
      </c>
      <c r="AF24" s="252">
        <f t="shared" si="16"/>
        <v>-0.17575165287579431</v>
      </c>
      <c r="AG24" s="253">
        <f t="shared" si="17"/>
        <v>-0.17575165287579431</v>
      </c>
      <c r="AH24"/>
      <c r="AI24" s="250">
        <v>0.54741967999999841</v>
      </c>
      <c r="AJ24" s="252">
        <f t="shared" si="18"/>
        <v>0.12696584990752308</v>
      </c>
      <c r="AK24" s="251">
        <f t="shared" si="19"/>
        <v>-8.1797157219806182E-2</v>
      </c>
      <c r="AL24" s="252">
        <f t="shared" si="20"/>
        <v>-0.14942312125096857</v>
      </c>
      <c r="AM24" s="253">
        <f t="shared" si="21"/>
        <v>-0.14942312125096857</v>
      </c>
      <c r="AN24"/>
      <c r="AO24" s="250">
        <v>0</v>
      </c>
      <c r="AP24" s="252">
        <f t="shared" si="22"/>
        <v>0</v>
      </c>
      <c r="AQ24" s="250">
        <v>0</v>
      </c>
      <c r="AR24" s="252">
        <f t="shared" si="23"/>
        <v>0</v>
      </c>
      <c r="AS24" s="251">
        <f t="shared" si="24"/>
        <v>0</v>
      </c>
      <c r="AT24" s="252">
        <f t="shared" si="25"/>
        <v>0</v>
      </c>
      <c r="AU24" s="253">
        <f t="shared" si="26"/>
        <v>0</v>
      </c>
      <c r="AV24"/>
      <c r="AW24" s="250">
        <v>0</v>
      </c>
      <c r="AX24" s="252">
        <f t="shared" si="27"/>
        <v>0</v>
      </c>
      <c r="AY24" s="251">
        <f t="shared" si="28"/>
        <v>0</v>
      </c>
      <c r="AZ24" s="252">
        <f t="shared" si="29"/>
        <v>0</v>
      </c>
      <c r="BA24" s="253">
        <f t="shared" si="30"/>
        <v>0</v>
      </c>
      <c r="BB24"/>
      <c r="BC24" s="250">
        <v>-4.7340000000000004E-3</v>
      </c>
      <c r="BD24" s="252">
        <f t="shared" si="31"/>
        <v>-1.0979808644479424E-3</v>
      </c>
      <c r="BE24" s="251">
        <f t="shared" si="32"/>
        <v>4.7340000000000004E-3</v>
      </c>
      <c r="BF24" s="252">
        <f t="shared" si="33"/>
        <v>-1</v>
      </c>
      <c r="BG24" s="253">
        <f t="shared" si="34"/>
        <v>-1</v>
      </c>
      <c r="BH24"/>
      <c r="BI24" s="250">
        <f t="shared" si="52"/>
        <v>0.46562252278019223</v>
      </c>
      <c r="BJ24" s="252">
        <f t="shared" si="35"/>
        <v>0.12460487909611075</v>
      </c>
      <c r="BK24" s="250">
        <f t="shared" si="53"/>
        <v>0.96890734532529865</v>
      </c>
      <c r="BL24" s="252">
        <f t="shared" si="36"/>
        <v>0.22701306255696835</v>
      </c>
      <c r="BM24" s="251">
        <f t="shared" si="37"/>
        <v>-0.50328482254510643</v>
      </c>
      <c r="BN24" s="252">
        <f t="shared" si="38"/>
        <v>-0.51943544960548815</v>
      </c>
      <c r="BO24" s="253">
        <f t="shared" si="39"/>
        <v>-0.51943544960548815</v>
      </c>
      <c r="BP24"/>
      <c r="BQ24" s="250">
        <f t="shared" si="54"/>
        <v>0.56490561904642522</v>
      </c>
      <c r="BR24" s="252">
        <f t="shared" si="40"/>
        <v>0.13102145330208997</v>
      </c>
      <c r="BS24" s="251">
        <f t="shared" si="41"/>
        <v>-9.9283096266232995E-2</v>
      </c>
      <c r="BT24" s="252">
        <f t="shared" si="42"/>
        <v>-0.17575165287579425</v>
      </c>
      <c r="BU24" s="253">
        <f t="shared" si="43"/>
        <v>-0.17575165287579425</v>
      </c>
      <c r="BV24"/>
      <c r="BW24" s="250">
        <f t="shared" si="55"/>
        <v>0.54268567999999839</v>
      </c>
      <c r="BX24" s="252">
        <f t="shared" si="44"/>
        <v>0.12586786904307512</v>
      </c>
      <c r="BY24" s="251">
        <f t="shared" si="45"/>
        <v>-7.7063157219806167E-2</v>
      </c>
      <c r="BZ24" s="252">
        <f t="shared" si="46"/>
        <v>-0.14200329962604946</v>
      </c>
      <c r="CA24" s="253">
        <f t="shared" si="47"/>
        <v>-0.14200329962604946</v>
      </c>
    </row>
    <row r="25" spans="2:81" hidden="1" outlineLevel="2" x14ac:dyDescent="0.35">
      <c r="B25" s="249" t="s">
        <v>262</v>
      </c>
      <c r="C25" s="249" t="s">
        <v>140</v>
      </c>
      <c r="D25"/>
      <c r="E25" s="250">
        <v>2.5385852229602088</v>
      </c>
      <c r="F25" s="250">
        <v>2.9278749667663169</v>
      </c>
      <c r="G25" s="251">
        <f t="shared" si="0"/>
        <v>-0.38928974380610804</v>
      </c>
      <c r="H25" s="252">
        <f t="shared" si="1"/>
        <v>-0.13295982520594385</v>
      </c>
      <c r="I25" s="253">
        <f t="shared" si="2"/>
        <v>-0.13295982520594385</v>
      </c>
      <c r="J25"/>
      <c r="K25" s="250">
        <v>2.4809161344476429</v>
      </c>
      <c r="L25" s="251">
        <f t="shared" si="3"/>
        <v>5.7669088512565914E-2</v>
      </c>
      <c r="M25" s="252">
        <f t="shared" si="4"/>
        <v>2.3245077780674528E-2</v>
      </c>
      <c r="N25" s="253">
        <f t="shared" si="5"/>
        <v>2.3245077780674528E-2</v>
      </c>
      <c r="O25"/>
      <c r="P25" s="250">
        <v>2.9955959000484249</v>
      </c>
      <c r="Q25" s="251">
        <f t="shared" si="6"/>
        <v>-0.45701067708821608</v>
      </c>
      <c r="R25" s="252">
        <f t="shared" si="7"/>
        <v>-0.15256085678339604</v>
      </c>
      <c r="S25" s="253">
        <f t="shared" si="8"/>
        <v>-0.15256085678339604</v>
      </c>
      <c r="T25"/>
      <c r="U25" s="250">
        <v>0.8942342988688553</v>
      </c>
      <c r="V25" s="252">
        <f t="shared" si="9"/>
        <v>0.35225695429917503</v>
      </c>
      <c r="W25" s="250">
        <v>1.424529791221063</v>
      </c>
      <c r="X25" s="252">
        <f t="shared" si="10"/>
        <v>0.48654051398731035</v>
      </c>
      <c r="Y25" s="251">
        <f t="shared" si="11"/>
        <v>-0.53029549235220774</v>
      </c>
      <c r="Z25" s="252">
        <f t="shared" si="12"/>
        <v>-0.37226002265467173</v>
      </c>
      <c r="AA25" s="253">
        <f t="shared" si="13"/>
        <v>-0.37226002265467173</v>
      </c>
      <c r="AB25"/>
      <c r="AC25" s="250">
        <v>0.85415000139125996</v>
      </c>
      <c r="AD25" s="252">
        <f t="shared" si="14"/>
        <v>0.28513525518493743</v>
      </c>
      <c r="AE25" s="251">
        <f t="shared" si="15"/>
        <v>4.0084297477595343E-2</v>
      </c>
      <c r="AF25" s="252">
        <f t="shared" si="16"/>
        <v>4.6928873631452372E-2</v>
      </c>
      <c r="AG25" s="253">
        <f t="shared" si="17"/>
        <v>4.6928873631452372E-2</v>
      </c>
      <c r="AH25"/>
      <c r="AI25" s="250">
        <v>1.5560786498122245</v>
      </c>
      <c r="AJ25" s="252">
        <f t="shared" si="18"/>
        <v>0.51945546119457231</v>
      </c>
      <c r="AK25" s="251">
        <f t="shared" si="19"/>
        <v>-0.66184435094336924</v>
      </c>
      <c r="AL25" s="252">
        <f t="shared" si="20"/>
        <v>-0.42532834122699092</v>
      </c>
      <c r="AM25" s="253">
        <f t="shared" si="21"/>
        <v>-0.42532834122699092</v>
      </c>
      <c r="AN25"/>
      <c r="AO25" s="250">
        <v>0</v>
      </c>
      <c r="AP25" s="252">
        <f t="shared" si="22"/>
        <v>0</v>
      </c>
      <c r="AQ25" s="250">
        <v>0</v>
      </c>
      <c r="AR25" s="252">
        <f t="shared" si="23"/>
        <v>0</v>
      </c>
      <c r="AS25" s="251">
        <f t="shared" si="24"/>
        <v>0</v>
      </c>
      <c r="AT25" s="252">
        <f t="shared" si="25"/>
        <v>0</v>
      </c>
      <c r="AU25" s="253">
        <f t="shared" si="26"/>
        <v>0</v>
      </c>
      <c r="AV25"/>
      <c r="AW25" s="250">
        <v>0</v>
      </c>
      <c r="AX25" s="252">
        <f t="shared" si="27"/>
        <v>0</v>
      </c>
      <c r="AY25" s="251">
        <f t="shared" si="28"/>
        <v>0</v>
      </c>
      <c r="AZ25" s="252">
        <f t="shared" si="29"/>
        <v>0</v>
      </c>
      <c r="BA25" s="253">
        <f t="shared" si="30"/>
        <v>0</v>
      </c>
      <c r="BB25"/>
      <c r="BC25" s="250">
        <v>-2.019E-3</v>
      </c>
      <c r="BD25" s="252">
        <f t="shared" si="31"/>
        <v>-6.7398943895181657E-4</v>
      </c>
      <c r="BE25" s="251">
        <f t="shared" si="32"/>
        <v>2.019E-3</v>
      </c>
      <c r="BF25" s="252">
        <f t="shared" si="33"/>
        <v>-1</v>
      </c>
      <c r="BG25" s="253">
        <f t="shared" si="34"/>
        <v>-1</v>
      </c>
      <c r="BH25"/>
      <c r="BI25" s="250">
        <f t="shared" si="52"/>
        <v>0.8942342988688553</v>
      </c>
      <c r="BJ25" s="252">
        <f t="shared" si="35"/>
        <v>0.35225695429917503</v>
      </c>
      <c r="BK25" s="250">
        <f t="shared" si="53"/>
        <v>1.424529791221063</v>
      </c>
      <c r="BL25" s="252">
        <f t="shared" si="36"/>
        <v>0.48654051398731035</v>
      </c>
      <c r="BM25" s="251">
        <f t="shared" si="37"/>
        <v>-0.53029549235220774</v>
      </c>
      <c r="BN25" s="252">
        <f t="shared" si="38"/>
        <v>-0.37226002265467173</v>
      </c>
      <c r="BO25" s="253">
        <f t="shared" si="39"/>
        <v>-0.37226002265467173</v>
      </c>
      <c r="BP25"/>
      <c r="BQ25" s="250">
        <f t="shared" si="54"/>
        <v>0.85415000139125996</v>
      </c>
      <c r="BR25" s="252">
        <f t="shared" si="40"/>
        <v>0.28513525518493743</v>
      </c>
      <c r="BS25" s="251">
        <f t="shared" si="41"/>
        <v>4.0084297477595343E-2</v>
      </c>
      <c r="BT25" s="252">
        <f t="shared" si="42"/>
        <v>4.6928873631452414E-2</v>
      </c>
      <c r="BU25" s="253">
        <f t="shared" si="43"/>
        <v>4.6928873631452414E-2</v>
      </c>
      <c r="BV25"/>
      <c r="BW25" s="250">
        <f t="shared" si="55"/>
        <v>1.5540596498122246</v>
      </c>
      <c r="BX25" s="252">
        <f t="shared" si="44"/>
        <v>0.5187814717556205</v>
      </c>
      <c r="BY25" s="251">
        <f t="shared" si="45"/>
        <v>-0.65982535094336925</v>
      </c>
      <c r="BZ25" s="252">
        <f t="shared" si="46"/>
        <v>-0.42458174049052444</v>
      </c>
      <c r="CA25" s="253">
        <f t="shared" si="47"/>
        <v>-0.42458174049052444</v>
      </c>
    </row>
    <row r="26" spans="2:81" hidden="1" outlineLevel="1" collapsed="1" x14ac:dyDescent="0.35">
      <c r="B26" s="255" t="s">
        <v>141</v>
      </c>
      <c r="C26" s="249" t="s">
        <v>142</v>
      </c>
      <c r="D26"/>
      <c r="E26" s="250">
        <v>18.556077683148015</v>
      </c>
      <c r="F26" s="250">
        <v>18.204903023131433</v>
      </c>
      <c r="G26" s="251">
        <f t="shared" si="0"/>
        <v>0.35117466001658215</v>
      </c>
      <c r="H26" s="252">
        <f t="shared" si="1"/>
        <v>1.9290114293406324E-2</v>
      </c>
      <c r="I26" s="253">
        <f t="shared" si="2"/>
        <v>1.9290114293406324E-2</v>
      </c>
      <c r="J26"/>
      <c r="K26" s="250">
        <v>18.53050982164801</v>
      </c>
      <c r="L26" s="251">
        <f t="shared" si="3"/>
        <v>2.5567861500004341E-2</v>
      </c>
      <c r="M26" s="252">
        <f t="shared" si="4"/>
        <v>1.3797710773253424E-3</v>
      </c>
      <c r="N26" s="253">
        <f t="shared" si="5"/>
        <v>1.3797710773253424E-3</v>
      </c>
      <c r="O26"/>
      <c r="P26" s="250">
        <v>13.64226925</v>
      </c>
      <c r="Q26" s="251">
        <f t="shared" si="6"/>
        <v>4.9138084331480147</v>
      </c>
      <c r="R26" s="252">
        <f t="shared" si="7"/>
        <v>0.36018996129606617</v>
      </c>
      <c r="S26" s="253">
        <f t="shared" si="8"/>
        <v>0.36018996129606617</v>
      </c>
      <c r="T26"/>
      <c r="U26" s="250">
        <v>13.279288858362662</v>
      </c>
      <c r="V26" s="252">
        <f t="shared" si="9"/>
        <v>0.715630160916089</v>
      </c>
      <c r="W26" s="250">
        <v>11.57604808615171</v>
      </c>
      <c r="X26" s="252">
        <f t="shared" si="10"/>
        <v>0.63587529532252951</v>
      </c>
      <c r="Y26" s="251">
        <f t="shared" si="11"/>
        <v>1.7032407722109522</v>
      </c>
      <c r="Z26" s="252">
        <f t="shared" si="12"/>
        <v>0.14713490817721464</v>
      </c>
      <c r="AA26" s="253">
        <f t="shared" si="13"/>
        <v>0.14713490817721464</v>
      </c>
      <c r="AB26"/>
      <c r="AC26" s="250">
        <v>13.361282823689852</v>
      </c>
      <c r="AD26" s="252">
        <f t="shared" si="14"/>
        <v>0.97940324874396179</v>
      </c>
      <c r="AE26" s="251">
        <f t="shared" si="15"/>
        <v>-8.19939653271895E-2</v>
      </c>
      <c r="AF26" s="252">
        <f t="shared" si="16"/>
        <v>-6.1366836110835488E-3</v>
      </c>
      <c r="AG26" s="253">
        <f t="shared" si="17"/>
        <v>-6.1366836110835488E-3</v>
      </c>
      <c r="AH26"/>
      <c r="AI26" s="250">
        <v>9.2821728799999992</v>
      </c>
      <c r="AJ26" s="252">
        <f t="shared" si="18"/>
        <v>0.68039801222952689</v>
      </c>
      <c r="AK26" s="251">
        <f t="shared" si="19"/>
        <v>3.9971159783626629</v>
      </c>
      <c r="AL26" s="252">
        <f t="shared" si="20"/>
        <v>0.43062287570350266</v>
      </c>
      <c r="AM26" s="253">
        <f t="shared" si="21"/>
        <v>0.43062287570350266</v>
      </c>
      <c r="AN26"/>
      <c r="AO26" s="250">
        <v>-1.3346877100000041</v>
      </c>
      <c r="AP26" s="252">
        <f t="shared" si="22"/>
        <v>-7.1927253851287828E-2</v>
      </c>
      <c r="AQ26" s="250">
        <v>0</v>
      </c>
      <c r="AR26" s="252">
        <f t="shared" si="23"/>
        <v>0</v>
      </c>
      <c r="AS26" s="251">
        <f t="shared" si="24"/>
        <v>-1.3346877100000041</v>
      </c>
      <c r="AT26" s="252">
        <f t="shared" si="25"/>
        <v>0</v>
      </c>
      <c r="AU26" s="253">
        <f t="shared" si="26"/>
        <v>0</v>
      </c>
      <c r="AV26"/>
      <c r="AW26" s="250">
        <v>-1.296294646561837</v>
      </c>
      <c r="AX26" s="252">
        <f t="shared" si="27"/>
        <v>-9.5020456113768387E-2</v>
      </c>
      <c r="AY26" s="251">
        <f t="shared" si="28"/>
        <v>-3.8393063438167063E-2</v>
      </c>
      <c r="AZ26" s="252">
        <f t="shared" si="29"/>
        <v>2.9617543773706956E-2</v>
      </c>
      <c r="BA26" s="253">
        <f t="shared" si="30"/>
        <v>2.9617543773706956E-2</v>
      </c>
      <c r="BB26"/>
      <c r="BC26" s="250">
        <v>-0.98276063000000002</v>
      </c>
      <c r="BD26" s="252">
        <f t="shared" si="31"/>
        <v>-7.2037914806585418E-2</v>
      </c>
      <c r="BE26" s="251">
        <f t="shared" si="32"/>
        <v>-0.35192708000000406</v>
      </c>
      <c r="BF26" s="252">
        <f t="shared" si="33"/>
        <v>0.35810050713977426</v>
      </c>
      <c r="BG26" s="253">
        <f t="shared" si="34"/>
        <v>0.35810050713977426</v>
      </c>
      <c r="BH26"/>
      <c r="BI26" s="250">
        <f t="shared" si="52"/>
        <v>11.944601148362658</v>
      </c>
      <c r="BJ26" s="252">
        <f t="shared" si="35"/>
        <v>0.64370290706480116</v>
      </c>
      <c r="BK26" s="250">
        <f t="shared" si="53"/>
        <v>11.57604808615171</v>
      </c>
      <c r="BL26" s="252">
        <f t="shared" si="36"/>
        <v>0.63587529532252951</v>
      </c>
      <c r="BM26" s="251">
        <f t="shared" si="37"/>
        <v>0.36855306221094786</v>
      </c>
      <c r="BN26" s="252">
        <f t="shared" si="38"/>
        <v>3.1837554532262488E-2</v>
      </c>
      <c r="BO26" s="253">
        <f t="shared" si="39"/>
        <v>3.1837554532262488E-2</v>
      </c>
      <c r="BP26"/>
      <c r="BQ26" s="250">
        <f t="shared" si="54"/>
        <v>12.064988177128015</v>
      </c>
      <c r="BR26" s="252">
        <f t="shared" si="40"/>
        <v>0.88438279263019348</v>
      </c>
      <c r="BS26" s="251">
        <f t="shared" si="41"/>
        <v>-0.12038702876535723</v>
      </c>
      <c r="BT26" s="252">
        <f t="shared" si="42"/>
        <v>-9.9782135711975906E-3</v>
      </c>
      <c r="BU26" s="253">
        <f t="shared" si="43"/>
        <v>-9.9782135711975906E-3</v>
      </c>
      <c r="BV26"/>
      <c r="BW26" s="250">
        <f t="shared" si="55"/>
        <v>8.2994122499999996</v>
      </c>
      <c r="BX26" s="252">
        <f t="shared" si="44"/>
        <v>0.6083600974229415</v>
      </c>
      <c r="BY26" s="251">
        <f t="shared" si="45"/>
        <v>3.6451888983626581</v>
      </c>
      <c r="BZ26" s="252">
        <f t="shared" si="46"/>
        <v>0.43921048726825906</v>
      </c>
      <c r="CA26" s="253">
        <f t="shared" si="47"/>
        <v>0.43921048726825906</v>
      </c>
    </row>
    <row r="27" spans="2:81" hidden="1" outlineLevel="1" x14ac:dyDescent="0.35">
      <c r="B27" s="255" t="s">
        <v>143</v>
      </c>
      <c r="C27" s="249" t="s">
        <v>144</v>
      </c>
      <c r="D27"/>
      <c r="E27" s="250">
        <v>6.994224569857999</v>
      </c>
      <c r="F27" s="250">
        <v>7.074088840884726</v>
      </c>
      <c r="G27" s="251">
        <f>$E27-F27</f>
        <v>-7.9864271026726996E-2</v>
      </c>
      <c r="H27" s="252">
        <f>IFERROR($E27/F27-1,0)</f>
        <v>-1.1289690138629793E-2</v>
      </c>
      <c r="I27" s="253">
        <f>H27</f>
        <v>-1.1289690138629793E-2</v>
      </c>
      <c r="J27"/>
      <c r="K27" s="250">
        <v>7.0095354948242408</v>
      </c>
      <c r="L27" s="251">
        <f>$E27-K27</f>
        <v>-1.5310924966241757E-2</v>
      </c>
      <c r="M27" s="252">
        <f>IFERROR($E27/K27-1,0)</f>
        <v>-2.1842995127918652E-3</v>
      </c>
      <c r="N27" s="253">
        <f>M27</f>
        <v>-2.1842995127918652E-3</v>
      </c>
      <c r="O27"/>
      <c r="P27" s="250">
        <v>5.422281294794999</v>
      </c>
      <c r="Q27" s="251">
        <f>$E27-P27</f>
        <v>1.571943275063</v>
      </c>
      <c r="R27" s="252">
        <f>IFERROR($E27/P27-1,0)</f>
        <v>0.28990441284777191</v>
      </c>
      <c r="S27" s="253">
        <f>R27</f>
        <v>0.28990441284777191</v>
      </c>
      <c r="T27"/>
      <c r="U27" s="250">
        <v>2.437500607689671</v>
      </c>
      <c r="V27" s="252">
        <f>IFERROR(U27/$E27,0)</f>
        <v>0.3485019080162533</v>
      </c>
      <c r="W27" s="250">
        <v>2.8858733157195435</v>
      </c>
      <c r="X27" s="252">
        <f>IFERROR(W27/$F27,0)</f>
        <v>0.40794982656149675</v>
      </c>
      <c r="Y27" s="251">
        <f>$U27-W27</f>
        <v>-0.4483727080298725</v>
      </c>
      <c r="Z27" s="252">
        <f>IFERROR($U27/W27-1,0)</f>
        <v>-0.1553681187554411</v>
      </c>
      <c r="AA27" s="253">
        <f>Z27</f>
        <v>-0.1553681187554411</v>
      </c>
      <c r="AB27"/>
      <c r="AC27" s="250">
        <v>2.5403478487917925</v>
      </c>
      <c r="AD27" s="252">
        <f>IFERROR(AC27/$P27,0)</f>
        <v>0.46850167128554254</v>
      </c>
      <c r="AE27" s="251">
        <f>$U27-AC27</f>
        <v>-0.10284724110212151</v>
      </c>
      <c r="AF27" s="252">
        <f>IFERROR($U27/AC27-1,0)</f>
        <v>-4.0485495382467596E-2</v>
      </c>
      <c r="AG27" s="253">
        <f>AF27</f>
        <v>-4.0485495382467596E-2</v>
      </c>
      <c r="AH27"/>
      <c r="AI27" s="250">
        <v>1.6314562727847497</v>
      </c>
      <c r="AJ27" s="252">
        <f>IFERROR(AI27/$P27,0)</f>
        <v>0.30088005104988386</v>
      </c>
      <c r="AK27" s="251">
        <f>$U27-AI27</f>
        <v>0.80604433490492133</v>
      </c>
      <c r="AL27" s="252">
        <f>IFERROR($U27/AI27-1,0)</f>
        <v>0.49406432054049221</v>
      </c>
      <c r="AM27" s="253">
        <f>AL27</f>
        <v>0.49406432054049221</v>
      </c>
      <c r="AN27"/>
      <c r="AO27" s="250">
        <v>-4.3727710000000003E-2</v>
      </c>
      <c r="AP27" s="252">
        <f>IFERROR(AO27/$E27,0)</f>
        <v>-6.2519739769933908E-3</v>
      </c>
      <c r="AQ27" s="250">
        <v>0</v>
      </c>
      <c r="AR27" s="252">
        <f>IFERROR(AQ27/$F27,0)</f>
        <v>0</v>
      </c>
      <c r="AS27" s="251">
        <f>$AO27-AQ27</f>
        <v>-4.3727710000000003E-2</v>
      </c>
      <c r="AT27" s="252">
        <f>IFERROR($AO27/AQ27-1,0)</f>
        <v>0</v>
      </c>
      <c r="AU27" s="253">
        <f>AT27</f>
        <v>0</v>
      </c>
      <c r="AV27"/>
      <c r="AW27" s="250">
        <v>-4.182882000000001E-2</v>
      </c>
      <c r="AX27" s="252">
        <f>IFERROR(AW27/$P27,0)</f>
        <v>-7.7142475142616953E-3</v>
      </c>
      <c r="AY27" s="251">
        <f>$AO27-AW27</f>
        <v>-1.8988899999999934E-3</v>
      </c>
      <c r="AZ27" s="252">
        <f>IFERROR($AO27/AW27-1,0)</f>
        <v>4.5396690607097945E-2</v>
      </c>
      <c r="BA27" s="253">
        <f>AZ27</f>
        <v>4.5396690607097945E-2</v>
      </c>
      <c r="BB27"/>
      <c r="BC27" s="250">
        <v>0</v>
      </c>
      <c r="BD27" s="252">
        <f>IFERROR(BC27/$P27,0)</f>
        <v>0</v>
      </c>
      <c r="BE27" s="251">
        <f>$AO27-BC27</f>
        <v>-4.3727710000000003E-2</v>
      </c>
      <c r="BF27" s="252">
        <f>IFERROR($AO27/BC27-1,0)</f>
        <v>0</v>
      </c>
      <c r="BG27" s="253">
        <f>BF27</f>
        <v>0</v>
      </c>
      <c r="BH27"/>
      <c r="BI27" s="250">
        <f>SUM(U27,AO27)</f>
        <v>2.3937728976896708</v>
      </c>
      <c r="BJ27" s="252">
        <f>IFERROR(BI27/$E27,0)</f>
        <v>0.34224993403925985</v>
      </c>
      <c r="BK27" s="250">
        <f>SUM(W27,AQ27)</f>
        <v>2.8858733157195435</v>
      </c>
      <c r="BL27" s="252">
        <f>IFERROR(BK27/$F27,0)</f>
        <v>0.40794982656149675</v>
      </c>
      <c r="BM27" s="251">
        <f>$BI27-BK27</f>
        <v>-0.4921004180298727</v>
      </c>
      <c r="BN27" s="252">
        <f>BM27/ABS(BK27)</f>
        <v>-0.17052045055109283</v>
      </c>
      <c r="BO27" s="253">
        <f>BN27</f>
        <v>-0.17052045055109283</v>
      </c>
      <c r="BP27"/>
      <c r="BQ27" s="250">
        <f>SUM(AC27,AW27)</f>
        <v>2.4985190287917924</v>
      </c>
      <c r="BR27" s="252">
        <f>IFERROR(BQ27/$P27,0)</f>
        <v>0.46078742377128079</v>
      </c>
      <c r="BS27" s="251">
        <f>$BI27-BQ27</f>
        <v>-0.10474613110212161</v>
      </c>
      <c r="BT27" s="252">
        <f>IFERROR(BS27/ABS(BQ27),"")</f>
        <v>-4.192328731343449E-2</v>
      </c>
      <c r="BU27" s="253">
        <f>BT27</f>
        <v>-4.192328731343449E-2</v>
      </c>
      <c r="BV27"/>
      <c r="BW27" s="250">
        <f>SUM(AI27,BC27)</f>
        <v>1.6314562727847497</v>
      </c>
      <c r="BX27" s="252">
        <f>IFERROR(BW27/$P27,0)</f>
        <v>0.30088005104988386</v>
      </c>
      <c r="BY27" s="251">
        <f>$BI27-BW27</f>
        <v>0.76231662490492114</v>
      </c>
      <c r="BZ27" s="252">
        <f>IFERROR(BY27/ABS(BW27),"")</f>
        <v>0.46726145077962461</v>
      </c>
      <c r="CA27" s="253">
        <f>BZ27</f>
        <v>0.46726145077962461</v>
      </c>
    </row>
    <row r="28" spans="2:81" hidden="1" outlineLevel="1" x14ac:dyDescent="0.35">
      <c r="B28" s="255" t="s">
        <v>263</v>
      </c>
      <c r="C28" s="249" t="s">
        <v>146</v>
      </c>
      <c r="D28"/>
      <c r="E28" s="250">
        <v>2.1423473499999992</v>
      </c>
      <c r="F28" s="250">
        <v>2.1252906944965235</v>
      </c>
      <c r="G28" s="251">
        <f t="shared" si="0"/>
        <v>1.7056655503475682E-2</v>
      </c>
      <c r="H28" s="252">
        <f t="shared" si="1"/>
        <v>8.0255635370936051E-3</v>
      </c>
      <c r="I28" s="253">
        <f t="shared" si="2"/>
        <v>8.0255635370936051E-3</v>
      </c>
      <c r="J28"/>
      <c r="K28" s="250">
        <v>2.1511270461249947</v>
      </c>
      <c r="L28" s="251">
        <f t="shared" si="3"/>
        <v>-8.7796961249955174E-3</v>
      </c>
      <c r="M28" s="252">
        <f t="shared" si="4"/>
        <v>-4.0814400715248889E-3</v>
      </c>
      <c r="N28" s="253">
        <f t="shared" si="5"/>
        <v>-4.0814400715248889E-3</v>
      </c>
      <c r="O28"/>
      <c r="P28" s="250">
        <v>1.9767330099999998</v>
      </c>
      <c r="Q28" s="251">
        <f t="shared" si="6"/>
        <v>0.16561433999999942</v>
      </c>
      <c r="R28" s="252">
        <f t="shared" si="7"/>
        <v>8.378184568284186E-2</v>
      </c>
      <c r="S28" s="253">
        <f t="shared" si="8"/>
        <v>8.378184568284186E-2</v>
      </c>
      <c r="T28"/>
      <c r="U28" s="250">
        <v>1.0050736125851554</v>
      </c>
      <c r="V28" s="252">
        <f t="shared" si="9"/>
        <v>0.46914596392837776</v>
      </c>
      <c r="W28" s="250">
        <v>0.91563269442443596</v>
      </c>
      <c r="X28" s="252">
        <f t="shared" si="10"/>
        <v>0.43082703782380566</v>
      </c>
      <c r="Y28" s="251">
        <f t="shared" si="11"/>
        <v>8.9440918160719418E-2</v>
      </c>
      <c r="Z28" s="252">
        <f t="shared" si="12"/>
        <v>9.7682093163942385E-2</v>
      </c>
      <c r="AA28" s="253">
        <f t="shared" si="13"/>
        <v>9.7682093163942385E-2</v>
      </c>
      <c r="AB28"/>
      <c r="AC28" s="250">
        <v>1.055006166756667</v>
      </c>
      <c r="AD28" s="252">
        <f t="shared" si="14"/>
        <v>0.53371201948849289</v>
      </c>
      <c r="AE28" s="251">
        <f t="shared" si="15"/>
        <v>-4.9932554171511656E-2</v>
      </c>
      <c r="AF28" s="252">
        <f t="shared" si="16"/>
        <v>-4.7329158582092301E-2</v>
      </c>
      <c r="AG28" s="253">
        <f t="shared" si="17"/>
        <v>-4.7329158582092301E-2</v>
      </c>
      <c r="AH28"/>
      <c r="AI28" s="250">
        <v>0.75124735999999992</v>
      </c>
      <c r="AJ28" s="252">
        <f t="shared" si="18"/>
        <v>0.38004493080226348</v>
      </c>
      <c r="AK28" s="251">
        <f t="shared" si="19"/>
        <v>0.25382625258515545</v>
      </c>
      <c r="AL28" s="252">
        <f t="shared" si="20"/>
        <v>0.3378730709751252</v>
      </c>
      <c r="AM28" s="253">
        <f t="shared" si="21"/>
        <v>0.3378730709751252</v>
      </c>
      <c r="AN28"/>
      <c r="AO28" s="250">
        <v>0</v>
      </c>
      <c r="AP28" s="252">
        <f t="shared" si="22"/>
        <v>0</v>
      </c>
      <c r="AQ28" s="250">
        <v>0</v>
      </c>
      <c r="AR28" s="252">
        <f t="shared" si="23"/>
        <v>0</v>
      </c>
      <c r="AS28" s="251">
        <f t="shared" si="24"/>
        <v>0</v>
      </c>
      <c r="AT28" s="252">
        <f t="shared" si="25"/>
        <v>0</v>
      </c>
      <c r="AU28" s="253">
        <f t="shared" si="26"/>
        <v>0</v>
      </c>
      <c r="AV28"/>
      <c r="AW28" s="250">
        <v>0</v>
      </c>
      <c r="AX28" s="252">
        <f t="shared" si="27"/>
        <v>0</v>
      </c>
      <c r="AY28" s="251">
        <f t="shared" si="28"/>
        <v>0</v>
      </c>
      <c r="AZ28" s="252">
        <f t="shared" si="29"/>
        <v>0</v>
      </c>
      <c r="BA28" s="253">
        <f t="shared" si="30"/>
        <v>0</v>
      </c>
      <c r="BB28"/>
      <c r="BC28" s="250">
        <v>0</v>
      </c>
      <c r="BD28" s="252">
        <f t="shared" si="31"/>
        <v>0</v>
      </c>
      <c r="BE28" s="251">
        <f t="shared" si="32"/>
        <v>0</v>
      </c>
      <c r="BF28" s="252">
        <f t="shared" si="33"/>
        <v>0</v>
      </c>
      <c r="BG28" s="253">
        <f t="shared" si="34"/>
        <v>0</v>
      </c>
      <c r="BH28"/>
      <c r="BI28" s="250">
        <f t="shared" si="52"/>
        <v>1.0050736125851554</v>
      </c>
      <c r="BJ28" s="252">
        <f t="shared" si="35"/>
        <v>0.46914596392837776</v>
      </c>
      <c r="BK28" s="250">
        <f t="shared" si="53"/>
        <v>0.91563269442443596</v>
      </c>
      <c r="BL28" s="252">
        <f t="shared" si="36"/>
        <v>0.43082703782380566</v>
      </c>
      <c r="BM28" s="251">
        <f t="shared" si="37"/>
        <v>8.9440918160719418E-2</v>
      </c>
      <c r="BN28" s="252">
        <f t="shared" si="38"/>
        <v>9.7682093163942468E-2</v>
      </c>
      <c r="BO28" s="253">
        <f t="shared" si="39"/>
        <v>9.7682093163942468E-2</v>
      </c>
      <c r="BP28"/>
      <c r="BQ28" s="250">
        <f t="shared" si="54"/>
        <v>1.055006166756667</v>
      </c>
      <c r="BR28" s="252">
        <f t="shared" si="40"/>
        <v>0.53371201948849289</v>
      </c>
      <c r="BS28" s="251">
        <f t="shared" si="41"/>
        <v>-4.9932554171511656E-2</v>
      </c>
      <c r="BT28" s="252">
        <f t="shared" si="42"/>
        <v>-4.7329158582092343E-2</v>
      </c>
      <c r="BU28" s="253">
        <f t="shared" si="43"/>
        <v>-4.7329158582092343E-2</v>
      </c>
      <c r="BV28"/>
      <c r="BW28" s="250">
        <f t="shared" si="55"/>
        <v>0.75124735999999992</v>
      </c>
      <c r="BX28" s="252">
        <f t="shared" si="44"/>
        <v>0.38004493080226348</v>
      </c>
      <c r="BY28" s="251">
        <f t="shared" si="45"/>
        <v>0.25382625258515545</v>
      </c>
      <c r="BZ28" s="252">
        <f t="shared" si="46"/>
        <v>0.33787307097512526</v>
      </c>
      <c r="CA28" s="253">
        <f t="shared" si="47"/>
        <v>0.33787307097512526</v>
      </c>
    </row>
    <row r="29" spans="2:81" collapsed="1" x14ac:dyDescent="0.35">
      <c r="B29" s="244" t="s">
        <v>147</v>
      </c>
      <c r="C29" s="244" t="s">
        <v>148</v>
      </c>
      <c r="D29"/>
      <c r="E29" s="245">
        <v>11.922804956802997</v>
      </c>
      <c r="F29" s="245">
        <v>12.005355882474813</v>
      </c>
      <c r="G29" s="246">
        <f t="shared" si="0"/>
        <v>-8.2550925671815989E-2</v>
      </c>
      <c r="H29" s="247">
        <f t="shared" si="1"/>
        <v>-6.876174807305957E-3</v>
      </c>
      <c r="I29" s="248">
        <f t="shared" si="2"/>
        <v>-6.876174807305957E-3</v>
      </c>
      <c r="J29"/>
      <c r="K29" s="245">
        <v>11.90107194707824</v>
      </c>
      <c r="L29" s="246">
        <f t="shared" si="3"/>
        <v>2.1733009724757224E-2</v>
      </c>
      <c r="M29" s="247">
        <f t="shared" si="4"/>
        <v>1.8261388403835177E-3</v>
      </c>
      <c r="N29" s="248">
        <f t="shared" si="5"/>
        <v>1.8261388403835177E-3</v>
      </c>
      <c r="O29"/>
      <c r="P29" s="245">
        <v>8.2645912000000035</v>
      </c>
      <c r="Q29" s="246">
        <f t="shared" si="6"/>
        <v>3.6582137568029935</v>
      </c>
      <c r="R29" s="247">
        <f t="shared" si="7"/>
        <v>0.44263698811902419</v>
      </c>
      <c r="S29" s="248">
        <f t="shared" si="8"/>
        <v>0.44263698811902419</v>
      </c>
      <c r="T29"/>
      <c r="U29" s="245">
        <v>3.8535044891614159</v>
      </c>
      <c r="V29" s="247">
        <f t="shared" si="9"/>
        <v>0.32320452302313779</v>
      </c>
      <c r="W29" s="245">
        <v>3.9940641002207724</v>
      </c>
      <c r="X29" s="247">
        <f t="shared" si="10"/>
        <v>0.33269018755630814</v>
      </c>
      <c r="Y29" s="246">
        <f t="shared" si="11"/>
        <v>-0.14055961105935655</v>
      </c>
      <c r="Z29" s="247">
        <f t="shared" si="12"/>
        <v>-3.519212699956098E-2</v>
      </c>
      <c r="AA29" s="248">
        <f t="shared" si="13"/>
        <v>-3.519212699956098E-2</v>
      </c>
      <c r="AB29"/>
      <c r="AC29" s="245">
        <v>3.7272436029768623</v>
      </c>
      <c r="AD29" s="247">
        <f t="shared" si="14"/>
        <v>0.45098946974858972</v>
      </c>
      <c r="AE29" s="246">
        <f t="shared" si="15"/>
        <v>0.12626088618455356</v>
      </c>
      <c r="AF29" s="247">
        <f t="shared" si="16"/>
        <v>3.3875136597917077E-2</v>
      </c>
      <c r="AG29" s="248">
        <f t="shared" si="17"/>
        <v>3.3875136597917077E-2</v>
      </c>
      <c r="AH29"/>
      <c r="AI29" s="245">
        <v>2.7352583000000035</v>
      </c>
      <c r="AJ29" s="247">
        <f t="shared" si="18"/>
        <v>0.33096111275292145</v>
      </c>
      <c r="AK29" s="246">
        <f t="shared" si="19"/>
        <v>1.1182461891614124</v>
      </c>
      <c r="AL29" s="247">
        <f t="shared" si="20"/>
        <v>0.40882654086504777</v>
      </c>
      <c r="AM29" s="248">
        <f t="shared" si="21"/>
        <v>0.40882654086504777</v>
      </c>
      <c r="AN29"/>
      <c r="AO29" s="245">
        <v>0</v>
      </c>
      <c r="AP29" s="247">
        <f t="shared" si="22"/>
        <v>0</v>
      </c>
      <c r="AQ29" s="245">
        <v>0</v>
      </c>
      <c r="AR29" s="247">
        <f t="shared" si="23"/>
        <v>0</v>
      </c>
      <c r="AS29" s="246">
        <f t="shared" si="24"/>
        <v>0</v>
      </c>
      <c r="AT29" s="247">
        <f t="shared" si="25"/>
        <v>0</v>
      </c>
      <c r="AU29" s="248">
        <f t="shared" si="26"/>
        <v>0</v>
      </c>
      <c r="AV29"/>
      <c r="AW29" s="245">
        <v>0</v>
      </c>
      <c r="AX29" s="247">
        <f t="shared" si="27"/>
        <v>0</v>
      </c>
      <c r="AY29" s="246">
        <f t="shared" si="28"/>
        <v>0</v>
      </c>
      <c r="AZ29" s="247">
        <f t="shared" si="29"/>
        <v>0</v>
      </c>
      <c r="BA29" s="248">
        <f t="shared" si="30"/>
        <v>0</v>
      </c>
      <c r="BB29"/>
      <c r="BC29" s="245">
        <v>7.8899999999999999E-4</v>
      </c>
      <c r="BD29" s="247">
        <f t="shared" si="31"/>
        <v>9.5467516893031523E-5</v>
      </c>
      <c r="BE29" s="246">
        <f t="shared" si="32"/>
        <v>-7.8899999999999999E-4</v>
      </c>
      <c r="BF29" s="247">
        <f t="shared" si="33"/>
        <v>-1</v>
      </c>
      <c r="BG29" s="248">
        <f t="shared" si="34"/>
        <v>-1</v>
      </c>
      <c r="BH29"/>
      <c r="BI29" s="245">
        <f t="shared" si="52"/>
        <v>3.8535044891614159</v>
      </c>
      <c r="BJ29" s="247">
        <f t="shared" si="35"/>
        <v>0.32320452302313779</v>
      </c>
      <c r="BK29" s="245">
        <f t="shared" si="53"/>
        <v>3.9940641002207724</v>
      </c>
      <c r="BL29" s="247">
        <f t="shared" si="36"/>
        <v>0.33269018755630814</v>
      </c>
      <c r="BM29" s="246">
        <f t="shared" si="37"/>
        <v>-0.14055961105935655</v>
      </c>
      <c r="BN29" s="247">
        <f t="shared" si="38"/>
        <v>-3.5192126999560945E-2</v>
      </c>
      <c r="BO29" s="248">
        <f t="shared" si="39"/>
        <v>-3.5192126999560945E-2</v>
      </c>
      <c r="BP29"/>
      <c r="BQ29" s="245">
        <f t="shared" si="54"/>
        <v>3.7272436029768623</v>
      </c>
      <c r="BR29" s="247">
        <f t="shared" si="40"/>
        <v>0.45098946974858972</v>
      </c>
      <c r="BS29" s="246">
        <f t="shared" si="41"/>
        <v>0.12626088618455356</v>
      </c>
      <c r="BT29" s="247">
        <f t="shared" si="42"/>
        <v>3.3875136597917008E-2</v>
      </c>
      <c r="BU29" s="248">
        <f t="shared" si="43"/>
        <v>3.3875136597917008E-2</v>
      </c>
      <c r="BV29"/>
      <c r="BW29" s="245">
        <f t="shared" si="55"/>
        <v>2.7360473000000036</v>
      </c>
      <c r="BX29" s="247">
        <f t="shared" si="44"/>
        <v>0.33105658026981449</v>
      </c>
      <c r="BY29" s="246">
        <f t="shared" si="45"/>
        <v>1.1174571891614122</v>
      </c>
      <c r="BZ29" s="247">
        <f t="shared" si="46"/>
        <v>0.40842027444533241</v>
      </c>
      <c r="CA29" s="248">
        <f t="shared" si="47"/>
        <v>0.40842027444533241</v>
      </c>
    </row>
    <row r="30" spans="2:81" x14ac:dyDescent="0.35">
      <c r="B30" s="239" t="s">
        <v>149</v>
      </c>
      <c r="C30" s="239" t="s">
        <v>150</v>
      </c>
      <c r="D30"/>
      <c r="E30" s="240">
        <f>SUM(E31,E35,E36)</f>
        <v>22.868837786124985</v>
      </c>
      <c r="F30" s="240">
        <f>SUM(F31,F35,F36)</f>
        <v>20.000530544723048</v>
      </c>
      <c r="G30" s="241">
        <f t="shared" si="0"/>
        <v>2.8683072414019364</v>
      </c>
      <c r="H30" s="242">
        <f t="shared" si="1"/>
        <v>0.1434115577578372</v>
      </c>
      <c r="I30" s="243">
        <f t="shared" si="2"/>
        <v>0.1434115577578372</v>
      </c>
      <c r="J30"/>
      <c r="K30" s="240">
        <f>SUM(K31,K35,K36)</f>
        <v>22.589967077085017</v>
      </c>
      <c r="L30" s="241">
        <f t="shared" si="3"/>
        <v>0.27887070903996758</v>
      </c>
      <c r="M30" s="242">
        <f t="shared" si="4"/>
        <v>1.2344892229739113E-2</v>
      </c>
      <c r="N30" s="243">
        <f t="shared" si="5"/>
        <v>1.2344892229739113E-2</v>
      </c>
      <c r="O30"/>
      <c r="P30" s="240">
        <f>SUM(P31,P35,P36)</f>
        <v>12.660196356154977</v>
      </c>
      <c r="Q30" s="241">
        <f t="shared" si="6"/>
        <v>10.208641429970008</v>
      </c>
      <c r="R30" s="242">
        <f t="shared" si="7"/>
        <v>0.80635727462527851</v>
      </c>
      <c r="S30" s="243">
        <f t="shared" si="8"/>
        <v>0.80635727462527851</v>
      </c>
      <c r="T30"/>
      <c r="U30" s="240">
        <f>SUM(U31,U35,U36)</f>
        <v>11.166341434036212</v>
      </c>
      <c r="V30" s="242">
        <f t="shared" si="9"/>
        <v>0.48827760896581601</v>
      </c>
      <c r="W30" s="240">
        <f>SUM(W31,W35,W36)</f>
        <v>7.0296968773267157</v>
      </c>
      <c r="X30" s="242">
        <f t="shared" si="10"/>
        <v>0.35147552019220984</v>
      </c>
      <c r="Y30" s="241">
        <f t="shared" si="11"/>
        <v>4.1366445567094967</v>
      </c>
      <c r="Z30" s="242">
        <f t="shared" si="12"/>
        <v>0.58845276388113588</v>
      </c>
      <c r="AA30" s="243">
        <f t="shared" si="13"/>
        <v>0.58845276388113588</v>
      </c>
      <c r="AB30"/>
      <c r="AC30" s="240">
        <f>SUM(AC31,AC35,AC36)</f>
        <v>10.684014541750361</v>
      </c>
      <c r="AD30" s="242">
        <f t="shared" si="14"/>
        <v>0.84390591118724156</v>
      </c>
      <c r="AE30" s="241">
        <f t="shared" si="15"/>
        <v>0.48232689228585102</v>
      </c>
      <c r="AF30" s="242">
        <f t="shared" si="16"/>
        <v>4.5144724429290406E-2</v>
      </c>
      <c r="AG30" s="243">
        <f t="shared" si="17"/>
        <v>4.5144724429290406E-2</v>
      </c>
      <c r="AH30"/>
      <c r="AI30" s="240">
        <f>SUM(AI31,AI35,AI36)</f>
        <v>5.8671505495556726</v>
      </c>
      <c r="AJ30" s="242">
        <f t="shared" si="18"/>
        <v>0.46343282398643482</v>
      </c>
      <c r="AK30" s="241">
        <f t="shared" si="19"/>
        <v>5.2991908844805398</v>
      </c>
      <c r="AL30" s="242">
        <f t="shared" si="20"/>
        <v>0.90319667779478663</v>
      </c>
      <c r="AM30" s="243">
        <f t="shared" si="21"/>
        <v>0.90319667779478663</v>
      </c>
      <c r="AN30"/>
      <c r="AO30" s="240">
        <f>SUM(AO31,AO35,AO36)</f>
        <v>-0.61272515999999999</v>
      </c>
      <c r="AP30" s="242">
        <f t="shared" si="22"/>
        <v>-2.679301701863282E-2</v>
      </c>
      <c r="AQ30" s="240">
        <f>SUM(AQ31,AQ35,AQ36)</f>
        <v>-0.29249999999999998</v>
      </c>
      <c r="AR30" s="242">
        <f t="shared" si="23"/>
        <v>-1.4624612049462525E-2</v>
      </c>
      <c r="AS30" s="241">
        <f t="shared" si="24"/>
        <v>-0.32022516000000001</v>
      </c>
      <c r="AT30" s="242">
        <f t="shared" si="25"/>
        <v>1.0947868717948719</v>
      </c>
      <c r="AU30" s="243">
        <f t="shared" si="26"/>
        <v>1.0947868717948719</v>
      </c>
      <c r="AV30"/>
      <c r="AW30" s="240">
        <f>SUM(AW31,AW35,AW36)</f>
        <v>-0.55888916000000011</v>
      </c>
      <c r="AX30" s="242">
        <f t="shared" si="27"/>
        <v>-4.4145378497884538E-2</v>
      </c>
      <c r="AY30" s="241">
        <f t="shared" si="28"/>
        <v>-5.3835999999999884E-2</v>
      </c>
      <c r="AZ30" s="242">
        <f t="shared" si="29"/>
        <v>9.6326792239090686E-2</v>
      </c>
      <c r="BA30" s="243">
        <f t="shared" si="30"/>
        <v>9.6326792239090686E-2</v>
      </c>
      <c r="BB30"/>
      <c r="BC30" s="240">
        <f>SUM(BC31,BC35,BC36)</f>
        <v>-8.2324899999999174E-2</v>
      </c>
      <c r="BD30" s="242">
        <f t="shared" si="31"/>
        <v>-6.5026558580961883E-3</v>
      </c>
      <c r="BE30" s="241">
        <f t="shared" si="32"/>
        <v>-0.53040026000000084</v>
      </c>
      <c r="BF30" s="242">
        <f t="shared" si="33"/>
        <v>6.4427683483369691</v>
      </c>
      <c r="BG30" s="243">
        <f t="shared" si="34"/>
        <v>6.4427683483369691</v>
      </c>
      <c r="BH30"/>
      <c r="BI30" s="240">
        <f>SUM(BI31,BI35,BI36)</f>
        <v>10.553616274036212</v>
      </c>
      <c r="BJ30" s="242">
        <f t="shared" si="35"/>
        <v>0.46148459194718316</v>
      </c>
      <c r="BK30" s="240">
        <f>SUM(BK31,BK35,BK36)</f>
        <v>6.7371968773267152</v>
      </c>
      <c r="BL30" s="242">
        <f t="shared" si="36"/>
        <v>0.33685090814274732</v>
      </c>
      <c r="BM30" s="241">
        <f t="shared" si="37"/>
        <v>3.816419396709497</v>
      </c>
      <c r="BN30" s="242">
        <f t="shared" si="38"/>
        <v>0.56646992305557087</v>
      </c>
      <c r="BO30" s="243">
        <f t="shared" si="39"/>
        <v>0.56646992305557087</v>
      </c>
      <c r="BP30"/>
      <c r="BQ30" s="240">
        <f>SUM(BQ31,BQ35,BQ36)</f>
        <v>10.12512538175036</v>
      </c>
      <c r="BR30" s="242">
        <f t="shared" si="40"/>
        <v>0.79976053268935698</v>
      </c>
      <c r="BS30" s="241">
        <f t="shared" si="41"/>
        <v>0.42849089228585235</v>
      </c>
      <c r="BT30" s="242">
        <f t="shared" si="42"/>
        <v>4.2319564067638031E-2</v>
      </c>
      <c r="BU30" s="243">
        <f t="shared" si="43"/>
        <v>4.2319564067638031E-2</v>
      </c>
      <c r="BV30"/>
      <c r="BW30" s="240">
        <f>SUM(BW31,BW35,BW36)</f>
        <v>5.7848256495556729</v>
      </c>
      <c r="BX30" s="242">
        <f t="shared" si="44"/>
        <v>0.45693016812833859</v>
      </c>
      <c r="BY30" s="241">
        <f t="shared" si="45"/>
        <v>4.7687906244805394</v>
      </c>
      <c r="BZ30" s="242">
        <f t="shared" si="46"/>
        <v>0.82436203152411791</v>
      </c>
      <c r="CA30" s="243">
        <f t="shared" si="47"/>
        <v>0.82436203152411791</v>
      </c>
      <c r="CC30" s="95"/>
    </row>
    <row r="31" spans="2:81" outlineLevel="1" collapsed="1" x14ac:dyDescent="0.35">
      <c r="B31" s="256" t="s">
        <v>151</v>
      </c>
      <c r="C31" s="256" t="s">
        <v>152</v>
      </c>
      <c r="D31"/>
      <c r="E31" s="257">
        <f>SUM(E32:E34)</f>
        <v>8.2856612331249639</v>
      </c>
      <c r="F31" s="257">
        <f>SUM(F32:F34)</f>
        <v>6.1336752204279268</v>
      </c>
      <c r="G31" s="258">
        <f t="shared" si="0"/>
        <v>2.1519860126970372</v>
      </c>
      <c r="H31" s="259">
        <f t="shared" si="1"/>
        <v>0.3508477275630677</v>
      </c>
      <c r="I31" s="260">
        <f t="shared" si="2"/>
        <v>0.3508477275630677</v>
      </c>
      <c r="J31"/>
      <c r="K31" s="257">
        <f>SUM(K32:K34)</f>
        <v>7.995888056500001</v>
      </c>
      <c r="L31" s="258">
        <f t="shared" si="3"/>
        <v>0.28977317662496294</v>
      </c>
      <c r="M31" s="259">
        <f t="shared" si="4"/>
        <v>3.6240274323175559E-2</v>
      </c>
      <c r="N31" s="260">
        <f t="shared" si="5"/>
        <v>3.6240274323175559E-2</v>
      </c>
      <c r="O31"/>
      <c r="P31" s="257">
        <f>SUM(P32:P34)</f>
        <v>6.0538229027499684</v>
      </c>
      <c r="Q31" s="258">
        <f t="shared" si="6"/>
        <v>2.2318383303749956</v>
      </c>
      <c r="R31" s="259">
        <f t="shared" si="7"/>
        <v>0.36866594319453516</v>
      </c>
      <c r="S31" s="260">
        <f t="shared" si="8"/>
        <v>0.36866594319453516</v>
      </c>
      <c r="T31"/>
      <c r="U31" s="257">
        <f>SUM(U32:U34)</f>
        <v>4.3777782227227995</v>
      </c>
      <c r="V31" s="259">
        <f t="shared" si="9"/>
        <v>0.52835592713120205</v>
      </c>
      <c r="W31" s="257">
        <f>SUM(W32:W34)</f>
        <v>2.055258180550668</v>
      </c>
      <c r="X31" s="259">
        <f t="shared" si="10"/>
        <v>0.33507776442184678</v>
      </c>
      <c r="Y31" s="258">
        <f t="shared" si="11"/>
        <v>2.3225200421721315</v>
      </c>
      <c r="Z31" s="259">
        <f t="shared" si="12"/>
        <v>1.130038096503212</v>
      </c>
      <c r="AA31" s="260">
        <f t="shared" si="13"/>
        <v>1.130038096503212</v>
      </c>
      <c r="AB31"/>
      <c r="AC31" s="257">
        <f>SUM(AC32:AC34)</f>
        <v>4.1269498440876093</v>
      </c>
      <c r="AD31" s="259">
        <f t="shared" si="14"/>
        <v>0.68170970812722809</v>
      </c>
      <c r="AE31" s="258">
        <f t="shared" si="15"/>
        <v>0.25082837863519014</v>
      </c>
      <c r="AF31" s="259">
        <f t="shared" si="16"/>
        <v>6.077815047704882E-2</v>
      </c>
      <c r="AG31" s="260">
        <f t="shared" si="17"/>
        <v>6.077815047704882E-2</v>
      </c>
      <c r="AH31"/>
      <c r="AI31" s="257">
        <f>SUM(AI32:AI34)</f>
        <v>1.8715392871495804</v>
      </c>
      <c r="AJ31" s="259">
        <f t="shared" si="18"/>
        <v>0.30914998955443967</v>
      </c>
      <c r="AK31" s="258">
        <f t="shared" si="19"/>
        <v>2.5062389355732191</v>
      </c>
      <c r="AL31" s="259">
        <f t="shared" si="20"/>
        <v>1.3391324204528501</v>
      </c>
      <c r="AM31" s="260">
        <f t="shared" si="21"/>
        <v>1.3391324204528501</v>
      </c>
      <c r="AN31"/>
      <c r="AO31" s="257">
        <f>SUM(AO32:AO34)</f>
        <v>-0.59713315999999994</v>
      </c>
      <c r="AP31" s="259">
        <f t="shared" si="22"/>
        <v>-7.2068256618161214E-2</v>
      </c>
      <c r="AQ31" s="257">
        <f>SUM(AQ32:AQ34)</f>
        <v>-0.2</v>
      </c>
      <c r="AR31" s="259">
        <f t="shared" si="23"/>
        <v>-3.2606878064542627E-2</v>
      </c>
      <c r="AS31" s="258">
        <f t="shared" si="24"/>
        <v>-0.39713315999999993</v>
      </c>
      <c r="AT31" s="259">
        <f t="shared" si="25"/>
        <v>1.9856657999999996</v>
      </c>
      <c r="AU31" s="260">
        <f t="shared" si="26"/>
        <v>1.9856657999999996</v>
      </c>
      <c r="AV31"/>
      <c r="AW31" s="257">
        <f>SUM(AW32:AW34)</f>
        <v>-0.54271816000000006</v>
      </c>
      <c r="AX31" s="259">
        <f t="shared" si="27"/>
        <v>-8.9648833260957905E-2</v>
      </c>
      <c r="AY31" s="258">
        <f t="shared" si="28"/>
        <v>-5.441499999999988E-2</v>
      </c>
      <c r="AZ31" s="259">
        <f t="shared" si="29"/>
        <v>0.10026382754540575</v>
      </c>
      <c r="BA31" s="260">
        <f t="shared" si="30"/>
        <v>0.10026382754540575</v>
      </c>
      <c r="BB31"/>
      <c r="BC31" s="257">
        <f>SUM(BC32:BC34)</f>
        <v>-8.9941919999999176E-2</v>
      </c>
      <c r="BD31" s="259">
        <f t="shared" si="31"/>
        <v>-1.4857045117580623E-2</v>
      </c>
      <c r="BE31" s="258">
        <f t="shared" si="32"/>
        <v>-0.50719124000000071</v>
      </c>
      <c r="BF31" s="259">
        <f t="shared" si="33"/>
        <v>5.6390973196925902</v>
      </c>
      <c r="BG31" s="260">
        <f t="shared" si="34"/>
        <v>5.6390973196925902</v>
      </c>
      <c r="BH31"/>
      <c r="BI31" s="257">
        <f>SUM(BI32:BI34)</f>
        <v>3.7806450627227983</v>
      </c>
      <c r="BJ31" s="259">
        <f t="shared" si="35"/>
        <v>0.45628767051304076</v>
      </c>
      <c r="BK31" s="257">
        <f>SUM(BK32:BK34)</f>
        <v>1.8552581805506676</v>
      </c>
      <c r="BL31" s="259">
        <f t="shared" si="36"/>
        <v>0.30247088635730407</v>
      </c>
      <c r="BM31" s="258">
        <f t="shared" si="37"/>
        <v>1.9253868821721307</v>
      </c>
      <c r="BN31" s="259">
        <f t="shared" si="38"/>
        <v>1.0377999689513013</v>
      </c>
      <c r="BO31" s="260">
        <f t="shared" si="39"/>
        <v>1.0377999689513013</v>
      </c>
      <c r="BP31"/>
      <c r="BQ31" s="257">
        <f>SUM(BQ32:BQ34)</f>
        <v>3.5842316840876092</v>
      </c>
      <c r="BR31" s="259">
        <f t="shared" si="40"/>
        <v>0.59206087486627013</v>
      </c>
      <c r="BS31" s="258">
        <f t="shared" si="41"/>
        <v>0.19641337863518915</v>
      </c>
      <c r="BT31" s="259">
        <f t="shared" si="42"/>
        <v>5.4799297575314952E-2</v>
      </c>
      <c r="BU31" s="260">
        <f t="shared" si="43"/>
        <v>5.4799297575314952E-2</v>
      </c>
      <c r="BV31"/>
      <c r="BW31" s="257">
        <f>SUM(BW32:BW34)</f>
        <v>1.7815973671495811</v>
      </c>
      <c r="BX31" s="259">
        <f t="shared" si="44"/>
        <v>0.29429294443685905</v>
      </c>
      <c r="BY31" s="258">
        <f t="shared" si="45"/>
        <v>1.9990476955732173</v>
      </c>
      <c r="BZ31" s="259">
        <f t="shared" si="46"/>
        <v>1.1220535753100827</v>
      </c>
      <c r="CA31" s="260">
        <f t="shared" si="47"/>
        <v>1.1220535753100827</v>
      </c>
      <c r="CC31" s="95"/>
    </row>
    <row r="32" spans="2:81" hidden="1" outlineLevel="2" x14ac:dyDescent="0.35">
      <c r="B32" s="255" t="s">
        <v>151</v>
      </c>
      <c r="C32" s="255" t="s">
        <v>154</v>
      </c>
      <c r="D32"/>
      <c r="E32" s="250">
        <v>8.2856612331249639</v>
      </c>
      <c r="F32" s="250">
        <v>6.1336752204279268</v>
      </c>
      <c r="G32" s="251">
        <f t="shared" si="0"/>
        <v>2.1519860126970372</v>
      </c>
      <c r="H32" s="252">
        <f t="shared" si="1"/>
        <v>0.3508477275630677</v>
      </c>
      <c r="I32" s="253">
        <f t="shared" si="2"/>
        <v>0.3508477275630677</v>
      </c>
      <c r="J32"/>
      <c r="K32" s="250">
        <v>7.995888056500001</v>
      </c>
      <c r="L32" s="251">
        <f t="shared" si="3"/>
        <v>0.28977317662496294</v>
      </c>
      <c r="M32" s="252">
        <f t="shared" si="4"/>
        <v>3.6240274323175559E-2</v>
      </c>
      <c r="N32" s="253">
        <f t="shared" si="5"/>
        <v>3.6240274323175559E-2</v>
      </c>
      <c r="O32"/>
      <c r="P32" s="250">
        <v>6.0538229027499684</v>
      </c>
      <c r="Q32" s="251">
        <f t="shared" si="6"/>
        <v>2.2318383303749956</v>
      </c>
      <c r="R32" s="252">
        <f t="shared" si="7"/>
        <v>0.36866594319453516</v>
      </c>
      <c r="S32" s="253">
        <f t="shared" si="8"/>
        <v>0.36866594319453516</v>
      </c>
      <c r="T32"/>
      <c r="U32" s="250">
        <v>4.8196787344866854</v>
      </c>
      <c r="V32" s="252">
        <f t="shared" si="9"/>
        <v>0.58168908900333205</v>
      </c>
      <c r="W32" s="250">
        <v>2.808053615026914</v>
      </c>
      <c r="X32" s="252">
        <f t="shared" si="10"/>
        <v>0.45780930911940348</v>
      </c>
      <c r="Y32" s="251">
        <f t="shared" si="11"/>
        <v>2.0116251194597714</v>
      </c>
      <c r="Z32" s="252">
        <f t="shared" si="12"/>
        <v>0.71637703379124784</v>
      </c>
      <c r="AA32" s="253">
        <f t="shared" si="13"/>
        <v>0.71637703379124784</v>
      </c>
      <c r="AB32"/>
      <c r="AC32" s="250">
        <v>4.6543896754725083</v>
      </c>
      <c r="AD32" s="252">
        <f t="shared" si="14"/>
        <v>0.768834792533861</v>
      </c>
      <c r="AE32" s="251">
        <f t="shared" si="15"/>
        <v>0.16528905901417712</v>
      </c>
      <c r="AF32" s="252">
        <f t="shared" si="16"/>
        <v>3.5512509810944781E-2</v>
      </c>
      <c r="AG32" s="253">
        <f t="shared" si="17"/>
        <v>3.5512509810944781E-2</v>
      </c>
      <c r="AH32"/>
      <c r="AI32" s="250">
        <v>2.7325947141184281</v>
      </c>
      <c r="AJ32" s="252">
        <f t="shared" si="18"/>
        <v>0.451383325547422</v>
      </c>
      <c r="AK32" s="251">
        <f t="shared" si="19"/>
        <v>2.0870840203682572</v>
      </c>
      <c r="AL32" s="252">
        <f t="shared" si="20"/>
        <v>0.76377371645526981</v>
      </c>
      <c r="AM32" s="253">
        <f t="shared" si="21"/>
        <v>0.76377371645526981</v>
      </c>
      <c r="AN32"/>
      <c r="AO32" s="250">
        <v>-0.59713315999999994</v>
      </c>
      <c r="AP32" s="252">
        <f t="shared" si="22"/>
        <v>-7.2068256618161214E-2</v>
      </c>
      <c r="AQ32" s="250">
        <v>-0.2</v>
      </c>
      <c r="AR32" s="252">
        <f t="shared" si="23"/>
        <v>-3.2606878064542627E-2</v>
      </c>
      <c r="AS32" s="251">
        <f t="shared" si="24"/>
        <v>-0.39713315999999993</v>
      </c>
      <c r="AT32" s="252">
        <f t="shared" si="25"/>
        <v>1.9856657999999996</v>
      </c>
      <c r="AU32" s="253">
        <f t="shared" si="26"/>
        <v>1.9856657999999996</v>
      </c>
      <c r="AV32"/>
      <c r="AW32" s="250">
        <v>-0.54271816000000006</v>
      </c>
      <c r="AX32" s="252">
        <f t="shared" si="27"/>
        <v>-8.9648833260957905E-2</v>
      </c>
      <c r="AY32" s="251">
        <f t="shared" si="28"/>
        <v>-5.441499999999988E-2</v>
      </c>
      <c r="AZ32" s="252">
        <f t="shared" si="29"/>
        <v>0.10026382754540575</v>
      </c>
      <c r="BA32" s="253">
        <f t="shared" si="30"/>
        <v>0.10026382754540575</v>
      </c>
      <c r="BB32"/>
      <c r="BC32" s="250">
        <v>-5.5371490000000002E-2</v>
      </c>
      <c r="BD32" s="252">
        <f t="shared" si="31"/>
        <v>-9.1465328420570948E-3</v>
      </c>
      <c r="BE32" s="251">
        <f t="shared" si="32"/>
        <v>-0.54176166999999997</v>
      </c>
      <c r="BF32" s="252">
        <f t="shared" si="33"/>
        <v>9.7841266326768501</v>
      </c>
      <c r="BG32" s="253">
        <f t="shared" si="34"/>
        <v>9.7841266326768501</v>
      </c>
      <c r="BH32"/>
      <c r="BI32" s="250">
        <f t="shared" ref="BI32:BI35" si="56">SUM(U32,AO32)</f>
        <v>4.2225455744866851</v>
      </c>
      <c r="BJ32" s="252">
        <f t="shared" si="35"/>
        <v>0.50962083238517086</v>
      </c>
      <c r="BK32" s="250">
        <f t="shared" ref="BK32:BK35" si="57">SUM(W32,AQ32)</f>
        <v>2.6080536150269138</v>
      </c>
      <c r="BL32" s="252">
        <f t="shared" si="36"/>
        <v>0.42520243105486083</v>
      </c>
      <c r="BM32" s="251">
        <f t="shared" si="37"/>
        <v>1.6144919594597713</v>
      </c>
      <c r="BN32" s="252">
        <f t="shared" si="38"/>
        <v>0.61904093924967507</v>
      </c>
      <c r="BO32" s="253">
        <f t="shared" si="39"/>
        <v>0.61904093924967507</v>
      </c>
      <c r="BP32"/>
      <c r="BQ32" s="250">
        <f t="shared" ref="BQ32:BQ35" si="58">SUM(AC32,AW32)</f>
        <v>4.1116715154725085</v>
      </c>
      <c r="BR32" s="252">
        <f t="shared" si="40"/>
        <v>0.67918595927290315</v>
      </c>
      <c r="BS32" s="251">
        <f t="shared" si="41"/>
        <v>0.11087405901417657</v>
      </c>
      <c r="BT32" s="252">
        <f t="shared" si="42"/>
        <v>2.6965689889610518E-2</v>
      </c>
      <c r="BU32" s="253">
        <f t="shared" si="43"/>
        <v>2.6965689889610518E-2</v>
      </c>
      <c r="BV32"/>
      <c r="BW32" s="250">
        <f t="shared" ref="BW32:BW35" si="59">SUM(AI32,BC32)</f>
        <v>2.6772232241184279</v>
      </c>
      <c r="BX32" s="252">
        <f t="shared" si="44"/>
        <v>0.44223679270536487</v>
      </c>
      <c r="BY32" s="251">
        <f t="shared" si="45"/>
        <v>1.5453223503682572</v>
      </c>
      <c r="BZ32" s="252">
        <f t="shared" si="46"/>
        <v>0.57721087149059458</v>
      </c>
      <c r="CA32" s="253">
        <f t="shared" si="47"/>
        <v>0.57721087149059458</v>
      </c>
      <c r="CC32" s="95"/>
    </row>
    <row r="33" spans="2:81" hidden="1" outlineLevel="2" x14ac:dyDescent="0.35">
      <c r="B33" s="255" t="s">
        <v>159</v>
      </c>
      <c r="C33" s="255" t="s">
        <v>156</v>
      </c>
      <c r="D33"/>
      <c r="E33" s="250">
        <v>0</v>
      </c>
      <c r="F33" s="250">
        <v>0</v>
      </c>
      <c r="G33" s="251">
        <f t="shared" si="0"/>
        <v>0</v>
      </c>
      <c r="H33" s="252">
        <f t="shared" si="1"/>
        <v>0</v>
      </c>
      <c r="I33" s="253">
        <f t="shared" si="2"/>
        <v>0</v>
      </c>
      <c r="J33"/>
      <c r="K33" s="250">
        <v>0</v>
      </c>
      <c r="L33" s="251">
        <f t="shared" si="3"/>
        <v>0</v>
      </c>
      <c r="M33" s="252">
        <f t="shared" si="4"/>
        <v>0</v>
      </c>
      <c r="N33" s="253">
        <f t="shared" si="5"/>
        <v>0</v>
      </c>
      <c r="O33"/>
      <c r="P33" s="250">
        <v>0</v>
      </c>
      <c r="Q33" s="251">
        <f t="shared" si="6"/>
        <v>0</v>
      </c>
      <c r="R33" s="252">
        <f t="shared" si="7"/>
        <v>0</v>
      </c>
      <c r="S33" s="253">
        <f t="shared" si="8"/>
        <v>0</v>
      </c>
      <c r="T33"/>
      <c r="U33" s="250">
        <v>-0.34545310176388661</v>
      </c>
      <c r="V33" s="252">
        <f t="shared" si="9"/>
        <v>0</v>
      </c>
      <c r="W33" s="250">
        <v>-0.75279543447624619</v>
      </c>
      <c r="X33" s="252">
        <f t="shared" si="10"/>
        <v>0</v>
      </c>
      <c r="Y33" s="251">
        <f t="shared" si="11"/>
        <v>0.40734233271235959</v>
      </c>
      <c r="Z33" s="252">
        <f t="shared" si="12"/>
        <v>-0.54110627410455281</v>
      </c>
      <c r="AA33" s="253">
        <f t="shared" si="13"/>
        <v>-0.54110627410455281</v>
      </c>
      <c r="AB33"/>
      <c r="AC33" s="250">
        <v>-0.42838186138489914</v>
      </c>
      <c r="AD33" s="252">
        <f t="shared" si="14"/>
        <v>0</v>
      </c>
      <c r="AE33" s="251">
        <f t="shared" si="15"/>
        <v>8.2928759621012538E-2</v>
      </c>
      <c r="AF33" s="252">
        <f t="shared" si="16"/>
        <v>-0.1935860667697632</v>
      </c>
      <c r="AG33" s="253">
        <f t="shared" si="17"/>
        <v>-0.1935860667697632</v>
      </c>
      <c r="AH33"/>
      <c r="AI33" s="250">
        <v>-0.83477764012617439</v>
      </c>
      <c r="AJ33" s="252">
        <f t="shared" si="18"/>
        <v>0</v>
      </c>
      <c r="AK33" s="251">
        <f t="shared" si="19"/>
        <v>0.48932453836228779</v>
      </c>
      <c r="AL33" s="252">
        <f t="shared" si="20"/>
        <v>-0.58617350877813124</v>
      </c>
      <c r="AM33" s="253">
        <f t="shared" si="21"/>
        <v>-0.58617350877813124</v>
      </c>
      <c r="AN33"/>
      <c r="AO33" s="250">
        <v>0</v>
      </c>
      <c r="AP33" s="252">
        <f t="shared" si="22"/>
        <v>0</v>
      </c>
      <c r="AQ33" s="250">
        <v>0</v>
      </c>
      <c r="AR33" s="252">
        <f t="shared" si="23"/>
        <v>0</v>
      </c>
      <c r="AS33" s="251">
        <f t="shared" si="24"/>
        <v>0</v>
      </c>
      <c r="AT33" s="252">
        <f t="shared" si="25"/>
        <v>0</v>
      </c>
      <c r="AU33" s="253">
        <f t="shared" si="26"/>
        <v>0</v>
      </c>
      <c r="AV33"/>
      <c r="AW33" s="250">
        <v>0</v>
      </c>
      <c r="AX33" s="252">
        <f t="shared" si="27"/>
        <v>0</v>
      </c>
      <c r="AY33" s="251">
        <f t="shared" si="28"/>
        <v>0</v>
      </c>
      <c r="AZ33" s="252">
        <f t="shared" si="29"/>
        <v>0</v>
      </c>
      <c r="BA33" s="253">
        <f t="shared" si="30"/>
        <v>0</v>
      </c>
      <c r="BB33"/>
      <c r="BC33" s="250">
        <v>-3.457042999999918E-2</v>
      </c>
      <c r="BD33" s="252">
        <f t="shared" si="31"/>
        <v>0</v>
      </c>
      <c r="BE33" s="251">
        <f t="shared" si="32"/>
        <v>3.457042999999918E-2</v>
      </c>
      <c r="BF33" s="252">
        <f t="shared" si="33"/>
        <v>-1</v>
      </c>
      <c r="BG33" s="253">
        <f t="shared" si="34"/>
        <v>-1</v>
      </c>
      <c r="BH33"/>
      <c r="BI33" s="250">
        <f t="shared" si="56"/>
        <v>-0.34545310176388661</v>
      </c>
      <c r="BJ33" s="252">
        <f t="shared" si="35"/>
        <v>0</v>
      </c>
      <c r="BK33" s="250">
        <f t="shared" si="57"/>
        <v>-0.75279543447624619</v>
      </c>
      <c r="BL33" s="252">
        <f t="shared" si="36"/>
        <v>0</v>
      </c>
      <c r="BM33" s="251">
        <f t="shared" si="37"/>
        <v>0.40734233271235959</v>
      </c>
      <c r="BN33" s="252">
        <f t="shared" si="38"/>
        <v>0.54110627410455281</v>
      </c>
      <c r="BO33" s="253">
        <f t="shared" si="39"/>
        <v>0.54110627410455281</v>
      </c>
      <c r="BP33"/>
      <c r="BQ33" s="250">
        <f t="shared" si="58"/>
        <v>-0.42838186138489914</v>
      </c>
      <c r="BR33" s="252">
        <f t="shared" si="40"/>
        <v>0</v>
      </c>
      <c r="BS33" s="251">
        <f t="shared" si="41"/>
        <v>8.2928759621012538E-2</v>
      </c>
      <c r="BT33" s="252">
        <f t="shared" si="42"/>
        <v>0.19358606676976323</v>
      </c>
      <c r="BU33" s="253">
        <f t="shared" si="43"/>
        <v>0.19358606676976323</v>
      </c>
      <c r="BV33"/>
      <c r="BW33" s="250">
        <f t="shared" si="59"/>
        <v>-0.86934807012617354</v>
      </c>
      <c r="BX33" s="252">
        <f t="shared" si="44"/>
        <v>0</v>
      </c>
      <c r="BY33" s="251">
        <f t="shared" si="45"/>
        <v>0.52389496836228688</v>
      </c>
      <c r="BZ33" s="252">
        <f t="shared" si="46"/>
        <v>0.60262970191703646</v>
      </c>
      <c r="CA33" s="253">
        <f t="shared" si="47"/>
        <v>0.60262970191703646</v>
      </c>
      <c r="CC33" s="95"/>
    </row>
    <row r="34" spans="2:81" hidden="1" outlineLevel="2" x14ac:dyDescent="0.35">
      <c r="B34" s="255" t="s">
        <v>264</v>
      </c>
      <c r="C34" s="255" t="s">
        <v>158</v>
      </c>
      <c r="D34"/>
      <c r="E34" s="250">
        <v>0</v>
      </c>
      <c r="F34" s="250">
        <v>0</v>
      </c>
      <c r="G34" s="251">
        <f>$E34-F34</f>
        <v>0</v>
      </c>
      <c r="H34" s="252">
        <f>IFERROR($E34/F34-1,0)</f>
        <v>0</v>
      </c>
      <c r="I34" s="253">
        <f>H34</f>
        <v>0</v>
      </c>
      <c r="J34"/>
      <c r="K34" s="250">
        <v>0</v>
      </c>
      <c r="L34" s="251">
        <f>$E34-K34</f>
        <v>0</v>
      </c>
      <c r="M34" s="252">
        <f>IFERROR($E34/K34-1,0)</f>
        <v>0</v>
      </c>
      <c r="N34" s="253">
        <f>M34</f>
        <v>0</v>
      </c>
      <c r="O34"/>
      <c r="P34" s="250">
        <v>0</v>
      </c>
      <c r="Q34" s="251">
        <f>$E34-P34</f>
        <v>0</v>
      </c>
      <c r="R34" s="252">
        <f>IFERROR($E34/P34-1,0)</f>
        <v>0</v>
      </c>
      <c r="S34" s="253">
        <f>R34</f>
        <v>0</v>
      </c>
      <c r="T34"/>
      <c r="U34" s="250">
        <v>-9.6447409999999997E-2</v>
      </c>
      <c r="V34" s="252">
        <f>IFERROR(U34/$E34,0)</f>
        <v>0</v>
      </c>
      <c r="W34" s="250">
        <v>0</v>
      </c>
      <c r="X34" s="252">
        <f>IFERROR(W34/$F34,0)</f>
        <v>0</v>
      </c>
      <c r="Y34" s="251">
        <f>$U34-W34</f>
        <v>-9.6447409999999997E-2</v>
      </c>
      <c r="Z34" s="252">
        <f>IFERROR($U34/W34-1,0)</f>
        <v>0</v>
      </c>
      <c r="AA34" s="253">
        <f>Z34</f>
        <v>0</v>
      </c>
      <c r="AB34"/>
      <c r="AC34" s="250">
        <v>-9.9057969999999995E-2</v>
      </c>
      <c r="AD34" s="252">
        <f>IFERROR(AC34/$P34,0)</f>
        <v>0</v>
      </c>
      <c r="AE34" s="251">
        <f>$U34-AC34</f>
        <v>2.6105599999999979E-3</v>
      </c>
      <c r="AF34" s="252">
        <f>IFERROR($U34/AC34-1,0)</f>
        <v>-2.6353861279410418E-2</v>
      </c>
      <c r="AG34" s="253">
        <f>AF34</f>
        <v>-2.6353861279410418E-2</v>
      </c>
      <c r="AH34"/>
      <c r="AI34" s="250">
        <v>-2.6277786842673324E-2</v>
      </c>
      <c r="AJ34" s="252">
        <f>IFERROR(AI34/$P34,0)</f>
        <v>0</v>
      </c>
      <c r="AK34" s="251">
        <f>$U34-AI34</f>
        <v>-7.0169623157326666E-2</v>
      </c>
      <c r="AL34" s="252">
        <f>IFERROR($U34/AI34-1,0)</f>
        <v>2.6703018628409003</v>
      </c>
      <c r="AM34" s="253">
        <f>AL34</f>
        <v>2.6703018628409003</v>
      </c>
      <c r="AN34"/>
      <c r="AO34" s="250">
        <v>0</v>
      </c>
      <c r="AP34" s="252">
        <f>IFERROR(AO34/$E34,0)</f>
        <v>0</v>
      </c>
      <c r="AQ34" s="250">
        <v>0</v>
      </c>
      <c r="AR34" s="252">
        <f>IFERROR(AQ34/$F34,0)</f>
        <v>0</v>
      </c>
      <c r="AS34" s="251">
        <f>$AO34-AQ34</f>
        <v>0</v>
      </c>
      <c r="AT34" s="252">
        <f>IFERROR($AO34/AQ34-1,0)</f>
        <v>0</v>
      </c>
      <c r="AU34" s="253">
        <f>AT34</f>
        <v>0</v>
      </c>
      <c r="AV34"/>
      <c r="AW34" s="250">
        <v>0</v>
      </c>
      <c r="AX34" s="252">
        <f>IFERROR(AW34/$P34,0)</f>
        <v>0</v>
      </c>
      <c r="AY34" s="251">
        <f>$AO34-AW34</f>
        <v>0</v>
      </c>
      <c r="AZ34" s="252">
        <f>IFERROR($AO34/AW34-1,0)</f>
        <v>0</v>
      </c>
      <c r="BA34" s="253">
        <f>AZ34</f>
        <v>0</v>
      </c>
      <c r="BB34"/>
      <c r="BC34" s="250">
        <v>0</v>
      </c>
      <c r="BD34" s="252">
        <f>IFERROR(BC34/$P34,0)</f>
        <v>0</v>
      </c>
      <c r="BE34" s="251">
        <f>$AO34-BC34</f>
        <v>0</v>
      </c>
      <c r="BF34" s="252">
        <f>IFERROR($AO34/BC34-1,0)</f>
        <v>0</v>
      </c>
      <c r="BG34" s="253">
        <f>BF34</f>
        <v>0</v>
      </c>
      <c r="BH34"/>
      <c r="BI34" s="250">
        <f>SUM(U34,AO34)</f>
        <v>-9.6447409999999997E-2</v>
      </c>
      <c r="BJ34" s="252">
        <f>IFERROR(BI34/$E34,0)</f>
        <v>0</v>
      </c>
      <c r="BK34" s="250">
        <f>SUM(W34,AQ34)</f>
        <v>0</v>
      </c>
      <c r="BL34" s="252">
        <f>IFERROR(BK34/$F34,0)</f>
        <v>0</v>
      </c>
      <c r="BM34" s="251">
        <f>$BI34-BK34</f>
        <v>-9.6447409999999997E-2</v>
      </c>
      <c r="BN34" s="252" t="e">
        <f>BM34/ABS(BK34)</f>
        <v>#DIV/0!</v>
      </c>
      <c r="BO34" s="253" t="e">
        <f>BN34</f>
        <v>#DIV/0!</v>
      </c>
      <c r="BP34"/>
      <c r="BQ34" s="250">
        <f>SUM(AC34,AW34)</f>
        <v>-9.9057969999999995E-2</v>
      </c>
      <c r="BR34" s="252">
        <f>IFERROR(BQ34/$P34,0)</f>
        <v>0</v>
      </c>
      <c r="BS34" s="251">
        <f>$BI34-BQ34</f>
        <v>2.6105599999999979E-3</v>
      </c>
      <c r="BT34" s="252">
        <f>IFERROR(BS34/ABS(BQ34),"")</f>
        <v>2.6353861279410411E-2</v>
      </c>
      <c r="BU34" s="253">
        <f>BT34</f>
        <v>2.6353861279410411E-2</v>
      </c>
      <c r="BV34"/>
      <c r="BW34" s="250">
        <f>SUM(AI34,BC34)</f>
        <v>-2.6277786842673324E-2</v>
      </c>
      <c r="BX34" s="252">
        <f>IFERROR(BW34/$P34,0)</f>
        <v>0</v>
      </c>
      <c r="BY34" s="251">
        <f>$BI34-BW34</f>
        <v>-7.0169623157326666E-2</v>
      </c>
      <c r="BZ34" s="252">
        <f>IFERROR(BY34/ABS(BW34),"")</f>
        <v>-2.6703018628408999</v>
      </c>
      <c r="CA34" s="253">
        <f>BZ34</f>
        <v>-2.6703018628408999</v>
      </c>
      <c r="CC34" s="95"/>
    </row>
    <row r="35" spans="2:81" outlineLevel="1" collapsed="1" x14ac:dyDescent="0.35">
      <c r="B35" s="255" t="s">
        <v>161</v>
      </c>
      <c r="C35" s="255" t="s">
        <v>160</v>
      </c>
      <c r="D35"/>
      <c r="E35" s="250">
        <v>4.87467249</v>
      </c>
      <c r="F35" s="250">
        <v>4.4240419864675644</v>
      </c>
      <c r="G35" s="251">
        <f t="shared" si="0"/>
        <v>0.45063050353243561</v>
      </c>
      <c r="H35" s="252">
        <f t="shared" si="1"/>
        <v>0.10185945452390421</v>
      </c>
      <c r="I35" s="253">
        <f t="shared" si="2"/>
        <v>0.10185945452390421</v>
      </c>
      <c r="J35"/>
      <c r="K35" s="250">
        <v>4.8866349500000004</v>
      </c>
      <c r="L35" s="251">
        <f t="shared" si="3"/>
        <v>-1.1962460000000341E-2</v>
      </c>
      <c r="M35" s="252">
        <f t="shared" si="4"/>
        <v>-2.4479954247452751E-3</v>
      </c>
      <c r="N35" s="253">
        <f t="shared" si="5"/>
        <v>-2.4479954247452751E-3</v>
      </c>
      <c r="O35"/>
      <c r="P35" s="250">
        <v>0</v>
      </c>
      <c r="Q35" s="251">
        <f t="shared" si="6"/>
        <v>4.87467249</v>
      </c>
      <c r="R35" s="252">
        <f t="shared" si="7"/>
        <v>0</v>
      </c>
      <c r="S35" s="253">
        <f t="shared" si="8"/>
        <v>0</v>
      </c>
      <c r="T35"/>
      <c r="U35" s="250">
        <v>1.6368255462539585</v>
      </c>
      <c r="V35" s="252">
        <f t="shared" si="9"/>
        <v>0.3357816447385491</v>
      </c>
      <c r="W35" s="250">
        <v>6.9070815833488494E-2</v>
      </c>
      <c r="X35" s="252">
        <f t="shared" si="10"/>
        <v>1.5612604049591991E-2</v>
      </c>
      <c r="Y35" s="251">
        <f t="shared" si="11"/>
        <v>1.56775473042047</v>
      </c>
      <c r="Z35" s="252">
        <f t="shared" si="12"/>
        <v>22.697787936947392</v>
      </c>
      <c r="AA35" s="253">
        <f t="shared" si="13"/>
        <v>22.697787936947392</v>
      </c>
      <c r="AB35"/>
      <c r="AC35" s="250">
        <v>1.3178056695580727</v>
      </c>
      <c r="AD35" s="252">
        <f t="shared" si="14"/>
        <v>0</v>
      </c>
      <c r="AE35" s="251">
        <f t="shared" si="15"/>
        <v>0.31901987669588583</v>
      </c>
      <c r="AF35" s="252">
        <f t="shared" si="16"/>
        <v>0.24208415858680388</v>
      </c>
      <c r="AG35" s="253">
        <f t="shared" si="17"/>
        <v>0.24208415858680388</v>
      </c>
      <c r="AH35"/>
      <c r="AI35" s="250">
        <v>0</v>
      </c>
      <c r="AJ35" s="252">
        <f t="shared" si="18"/>
        <v>0</v>
      </c>
      <c r="AK35" s="251">
        <f t="shared" si="19"/>
        <v>1.6368255462539585</v>
      </c>
      <c r="AL35" s="252">
        <f t="shared" si="20"/>
        <v>0</v>
      </c>
      <c r="AM35" s="253">
        <f t="shared" si="21"/>
        <v>0</v>
      </c>
      <c r="AN35"/>
      <c r="AO35" s="250">
        <v>-1.5592E-2</v>
      </c>
      <c r="AP35" s="252">
        <f t="shared" si="22"/>
        <v>-3.1985738594717365E-3</v>
      </c>
      <c r="AQ35" s="250">
        <v>-0.06</v>
      </c>
      <c r="AR35" s="252">
        <f t="shared" si="23"/>
        <v>-1.3562258265977218E-2</v>
      </c>
      <c r="AS35" s="251">
        <f t="shared" si="24"/>
        <v>4.4407999999999996E-2</v>
      </c>
      <c r="AT35" s="252">
        <f t="shared" si="25"/>
        <v>-0.74013333333333331</v>
      </c>
      <c r="AU35" s="253">
        <f t="shared" si="26"/>
        <v>-0.74013333333333331</v>
      </c>
      <c r="AV35"/>
      <c r="AW35" s="250">
        <v>-1.4071E-2</v>
      </c>
      <c r="AX35" s="252">
        <f t="shared" si="27"/>
        <v>0</v>
      </c>
      <c r="AY35" s="251">
        <f t="shared" si="28"/>
        <v>-1.5209999999999998E-3</v>
      </c>
      <c r="AZ35" s="252">
        <f t="shared" si="29"/>
        <v>0.10809466278160751</v>
      </c>
      <c r="BA35" s="253">
        <f t="shared" si="30"/>
        <v>0.10809466278160751</v>
      </c>
      <c r="BB35"/>
      <c r="BC35" s="250">
        <v>0</v>
      </c>
      <c r="BD35" s="252">
        <f t="shared" si="31"/>
        <v>0</v>
      </c>
      <c r="BE35" s="251">
        <f t="shared" si="32"/>
        <v>-1.5592E-2</v>
      </c>
      <c r="BF35" s="252">
        <f t="shared" si="33"/>
        <v>0</v>
      </c>
      <c r="BG35" s="253">
        <f t="shared" si="34"/>
        <v>0</v>
      </c>
      <c r="BH35"/>
      <c r="BI35" s="250">
        <f t="shared" si="56"/>
        <v>1.6212335462539584</v>
      </c>
      <c r="BJ35" s="252">
        <f t="shared" si="35"/>
        <v>0.33258307087907735</v>
      </c>
      <c r="BK35" s="250">
        <f t="shared" si="57"/>
        <v>9.0708158334884964E-3</v>
      </c>
      <c r="BL35" s="252">
        <f t="shared" si="36"/>
        <v>2.0503457836147732E-3</v>
      </c>
      <c r="BM35" s="251">
        <f t="shared" si="37"/>
        <v>1.61216273042047</v>
      </c>
      <c r="BN35" s="252">
        <f t="shared" si="38"/>
        <v>177.73073117288249</v>
      </c>
      <c r="BO35" s="253">
        <f t="shared" si="39"/>
        <v>177.73073117288249</v>
      </c>
      <c r="BP35"/>
      <c r="BQ35" s="250">
        <f t="shared" si="58"/>
        <v>1.3037346695580727</v>
      </c>
      <c r="BR35" s="252">
        <f t="shared" si="40"/>
        <v>0</v>
      </c>
      <c r="BS35" s="251">
        <f t="shared" si="41"/>
        <v>0.31749887669588572</v>
      </c>
      <c r="BT35" s="252">
        <f t="shared" si="42"/>
        <v>0.24353028580846775</v>
      </c>
      <c r="BU35" s="253">
        <f t="shared" si="43"/>
        <v>0.24353028580846775</v>
      </c>
      <c r="BV35"/>
      <c r="BW35" s="250">
        <f t="shared" si="59"/>
        <v>0</v>
      </c>
      <c r="BX35" s="252">
        <f t="shared" si="44"/>
        <v>0</v>
      </c>
      <c r="BY35" s="251">
        <f t="shared" si="45"/>
        <v>1.6212335462539584</v>
      </c>
      <c r="BZ35" s="252" t="str">
        <f t="shared" si="46"/>
        <v/>
      </c>
      <c r="CA35" s="253" t="str">
        <f t="shared" si="47"/>
        <v/>
      </c>
      <c r="CC35" s="95"/>
    </row>
    <row r="36" spans="2:81" outlineLevel="1" collapsed="1" x14ac:dyDescent="0.35">
      <c r="B36" s="256" t="s">
        <v>265</v>
      </c>
      <c r="C36" s="256" t="s">
        <v>162</v>
      </c>
      <c r="D36"/>
      <c r="E36" s="257">
        <f>SUM(E37:E39)</f>
        <v>9.7085040630000208</v>
      </c>
      <c r="F36" s="257">
        <f>SUM(F37:F39)</f>
        <v>9.4428133378275554</v>
      </c>
      <c r="G36" s="258">
        <f t="shared" si="0"/>
        <v>0.26569072517246539</v>
      </c>
      <c r="H36" s="259">
        <f t="shared" si="1"/>
        <v>2.8136818516587558E-2</v>
      </c>
      <c r="I36" s="260">
        <f t="shared" si="2"/>
        <v>2.8136818516587558E-2</v>
      </c>
      <c r="J36"/>
      <c r="K36" s="257">
        <f>SUM(K37:K39)</f>
        <v>9.7074440705850158</v>
      </c>
      <c r="L36" s="258">
        <f t="shared" si="3"/>
        <v>1.0599924150049844E-3</v>
      </c>
      <c r="M36" s="259">
        <f t="shared" si="4"/>
        <v>1.0919376998708152E-4</v>
      </c>
      <c r="N36" s="260">
        <f t="shared" si="5"/>
        <v>1.0919376998708152E-4</v>
      </c>
      <c r="O36"/>
      <c r="P36" s="257">
        <f>SUM(P37:P39)</f>
        <v>6.6063734534050074</v>
      </c>
      <c r="Q36" s="258">
        <f t="shared" si="6"/>
        <v>3.1021306095950134</v>
      </c>
      <c r="R36" s="259">
        <f t="shared" si="7"/>
        <v>0.46956634096973993</v>
      </c>
      <c r="S36" s="260">
        <f t="shared" si="8"/>
        <v>0.46956634096973993</v>
      </c>
      <c r="T36"/>
      <c r="U36" s="257">
        <f>SUM(U37:U39)</f>
        <v>5.1517376650594553</v>
      </c>
      <c r="V36" s="259">
        <f t="shared" si="9"/>
        <v>0.53064175815645886</v>
      </c>
      <c r="W36" s="257">
        <f>SUM(W37:W39)</f>
        <v>4.9053678809425589</v>
      </c>
      <c r="X36" s="259">
        <f t="shared" si="10"/>
        <v>0.51948161055898878</v>
      </c>
      <c r="Y36" s="258">
        <f t="shared" si="11"/>
        <v>0.24636978411689636</v>
      </c>
      <c r="Z36" s="259">
        <f t="shared" si="12"/>
        <v>5.0224527516895767E-2</v>
      </c>
      <c r="AA36" s="260">
        <f t="shared" si="13"/>
        <v>5.0224527516895767E-2</v>
      </c>
      <c r="AB36"/>
      <c r="AC36" s="257">
        <f>SUM(AC37:AC39)</f>
        <v>5.2392590281046783</v>
      </c>
      <c r="AD36" s="259">
        <f t="shared" si="14"/>
        <v>0.79306128620450589</v>
      </c>
      <c r="AE36" s="258">
        <f t="shared" si="15"/>
        <v>-8.7521363045222955E-2</v>
      </c>
      <c r="AF36" s="259">
        <f t="shared" si="16"/>
        <v>-1.6704912388514681E-2</v>
      </c>
      <c r="AG36" s="260">
        <f t="shared" si="17"/>
        <v>-1.6704912388514681E-2</v>
      </c>
      <c r="AH36"/>
      <c r="AI36" s="257">
        <f>SUM(AI37:AI39)</f>
        <v>3.9956112624060918</v>
      </c>
      <c r="AJ36" s="259">
        <f t="shared" si="18"/>
        <v>0.60481159452872046</v>
      </c>
      <c r="AK36" s="258">
        <f t="shared" si="19"/>
        <v>1.1561264026533635</v>
      </c>
      <c r="AL36" s="259">
        <f t="shared" si="20"/>
        <v>0.28934906994860232</v>
      </c>
      <c r="AM36" s="260">
        <f t="shared" si="21"/>
        <v>0.28934906994860232</v>
      </c>
      <c r="AN36"/>
      <c r="AO36" s="257">
        <f>SUM(AO37:AO39)</f>
        <v>0</v>
      </c>
      <c r="AP36" s="259">
        <f t="shared" si="22"/>
        <v>0</v>
      </c>
      <c r="AQ36" s="257">
        <f>SUM(AQ37:AQ39)</f>
        <v>-3.2500000000000001E-2</v>
      </c>
      <c r="AR36" s="259">
        <f t="shared" si="23"/>
        <v>-3.4417708830276482E-3</v>
      </c>
      <c r="AS36" s="258">
        <f t="shared" si="24"/>
        <v>3.2500000000000001E-2</v>
      </c>
      <c r="AT36" s="259">
        <f t="shared" si="25"/>
        <v>-1</v>
      </c>
      <c r="AU36" s="260">
        <f t="shared" si="26"/>
        <v>-1</v>
      </c>
      <c r="AV36"/>
      <c r="AW36" s="257">
        <f>SUM(AW37:AW39)</f>
        <v>-2.0999999999999999E-3</v>
      </c>
      <c r="AX36" s="259">
        <f t="shared" si="27"/>
        <v>-3.1787485445855827E-4</v>
      </c>
      <c r="AY36" s="258">
        <f t="shared" si="28"/>
        <v>2.0999999999999999E-3</v>
      </c>
      <c r="AZ36" s="259">
        <f t="shared" si="29"/>
        <v>-1</v>
      </c>
      <c r="BA36" s="260">
        <f t="shared" si="30"/>
        <v>-1</v>
      </c>
      <c r="BB36"/>
      <c r="BC36" s="257">
        <f>SUM(BC37:BC39)</f>
        <v>7.6170200000000004E-3</v>
      </c>
      <c r="BD36" s="259">
        <f t="shared" si="31"/>
        <v>1.1529805351942514E-3</v>
      </c>
      <c r="BE36" s="258">
        <f t="shared" si="32"/>
        <v>-7.6170200000000004E-3</v>
      </c>
      <c r="BF36" s="259">
        <f t="shared" si="33"/>
        <v>-1</v>
      </c>
      <c r="BG36" s="260">
        <f t="shared" si="34"/>
        <v>-1</v>
      </c>
      <c r="BH36"/>
      <c r="BI36" s="257">
        <f>SUM(BI37:BI39)</f>
        <v>5.1517376650594553</v>
      </c>
      <c r="BJ36" s="259">
        <f t="shared" si="35"/>
        <v>0.53064175815645886</v>
      </c>
      <c r="BK36" s="257">
        <f>SUM(BK37:BK39)</f>
        <v>4.8728678809425592</v>
      </c>
      <c r="BL36" s="259">
        <f t="shared" si="36"/>
        <v>0.51603983967596112</v>
      </c>
      <c r="BM36" s="258">
        <f t="shared" si="37"/>
        <v>0.27886978411689611</v>
      </c>
      <c r="BN36" s="259">
        <f t="shared" si="38"/>
        <v>5.7229087865799944E-2</v>
      </c>
      <c r="BO36" s="260">
        <f t="shared" si="39"/>
        <v>5.7229087865799944E-2</v>
      </c>
      <c r="BP36"/>
      <c r="BQ36" s="257">
        <f>SUM(BQ37:BQ39)</f>
        <v>5.2371590281046778</v>
      </c>
      <c r="BR36" s="259">
        <f t="shared" si="40"/>
        <v>0.79274341135004722</v>
      </c>
      <c r="BS36" s="258">
        <f t="shared" si="41"/>
        <v>-8.542136304522252E-2</v>
      </c>
      <c r="BT36" s="259">
        <f t="shared" si="42"/>
        <v>-1.6310629978356112E-2</v>
      </c>
      <c r="BU36" s="260">
        <f t="shared" si="43"/>
        <v>-1.6310629978356112E-2</v>
      </c>
      <c r="BV36"/>
      <c r="BW36" s="257">
        <f>SUM(BW37:BW39)</f>
        <v>4.0032282824060914</v>
      </c>
      <c r="BX36" s="259">
        <f t="shared" si="44"/>
        <v>0.60596457506391466</v>
      </c>
      <c r="BY36" s="258">
        <f t="shared" si="45"/>
        <v>1.1485093826533639</v>
      </c>
      <c r="BZ36" s="259">
        <f t="shared" si="46"/>
        <v>0.28689580049705943</v>
      </c>
      <c r="CA36" s="260">
        <f t="shared" si="47"/>
        <v>0.28689580049705943</v>
      </c>
      <c r="CC36" s="95"/>
    </row>
    <row r="37" spans="2:81" outlineLevel="2" x14ac:dyDescent="0.35">
      <c r="B37" s="255" t="s">
        <v>266</v>
      </c>
      <c r="C37" s="255" t="s">
        <v>164</v>
      </c>
      <c r="D37"/>
      <c r="E37" s="250">
        <v>4.0277790200000005</v>
      </c>
      <c r="F37" s="250">
        <v>4.4199964982747417</v>
      </c>
      <c r="G37" s="251">
        <f t="shared" si="0"/>
        <v>-0.39221747827474118</v>
      </c>
      <c r="H37" s="252">
        <f t="shared" si="1"/>
        <v>-8.8737056336545828E-2</v>
      </c>
      <c r="I37" s="253">
        <f t="shared" si="2"/>
        <v>-8.8737056336545828E-2</v>
      </c>
      <c r="J37"/>
      <c r="K37" s="250">
        <v>3.1644796099999999</v>
      </c>
      <c r="L37" s="251">
        <f t="shared" si="3"/>
        <v>0.86329941000000066</v>
      </c>
      <c r="M37" s="252">
        <f t="shared" si="4"/>
        <v>0.27280928190275189</v>
      </c>
      <c r="N37" s="253">
        <f t="shared" si="5"/>
        <v>0.27280928190275189</v>
      </c>
      <c r="O37"/>
      <c r="P37" s="250">
        <v>3.2526291915300001</v>
      </c>
      <c r="Q37" s="251">
        <f t="shared" si="6"/>
        <v>0.77514982847000047</v>
      </c>
      <c r="R37" s="252">
        <f t="shared" si="7"/>
        <v>0.23831484710538997</v>
      </c>
      <c r="S37" s="253">
        <f t="shared" si="8"/>
        <v>0.23831484710538997</v>
      </c>
      <c r="T37"/>
      <c r="U37" s="250">
        <v>2.6311266615886049</v>
      </c>
      <c r="V37" s="252">
        <f t="shared" si="9"/>
        <v>0.65324503864876993</v>
      </c>
      <c r="W37" s="250">
        <v>4.4199964982747417</v>
      </c>
      <c r="X37" s="252">
        <f t="shared" si="10"/>
        <v>1</v>
      </c>
      <c r="Y37" s="251">
        <f t="shared" si="11"/>
        <v>-1.7888698366861369</v>
      </c>
      <c r="Z37" s="252">
        <f t="shared" si="12"/>
        <v>-0.40472200314737505</v>
      </c>
      <c r="AA37" s="253">
        <f t="shared" si="13"/>
        <v>-0.40472200314737505</v>
      </c>
      <c r="AB37"/>
      <c r="AC37" s="250">
        <v>2.0274398658175117</v>
      </c>
      <c r="AD37" s="252">
        <f t="shared" si="14"/>
        <v>0.62332339360941014</v>
      </c>
      <c r="AE37" s="251">
        <f t="shared" si="15"/>
        <v>0.60368679577109319</v>
      </c>
      <c r="AF37" s="252">
        <f t="shared" si="16"/>
        <v>0.29775817569201846</v>
      </c>
      <c r="AG37" s="253">
        <f t="shared" si="17"/>
        <v>0.29775817569201846</v>
      </c>
      <c r="AH37"/>
      <c r="AI37" s="250">
        <v>1.1898605956920192</v>
      </c>
      <c r="AJ37" s="252">
        <f t="shared" si="18"/>
        <v>0.36581501475497802</v>
      </c>
      <c r="AK37" s="251">
        <f t="shared" si="19"/>
        <v>1.4412660658965857</v>
      </c>
      <c r="AL37" s="252">
        <f t="shared" si="20"/>
        <v>1.2112898528741929</v>
      </c>
      <c r="AM37" s="253">
        <f t="shared" si="21"/>
        <v>1.2112898528741929</v>
      </c>
      <c r="AN37"/>
      <c r="AO37" s="250">
        <v>0</v>
      </c>
      <c r="AP37" s="252">
        <f t="shared" si="22"/>
        <v>0</v>
      </c>
      <c r="AQ37" s="250">
        <v>0</v>
      </c>
      <c r="AR37" s="252">
        <f t="shared" si="23"/>
        <v>0</v>
      </c>
      <c r="AS37" s="251">
        <f t="shared" si="24"/>
        <v>0</v>
      </c>
      <c r="AT37" s="252">
        <f t="shared" si="25"/>
        <v>0</v>
      </c>
      <c r="AU37" s="253">
        <f t="shared" si="26"/>
        <v>0</v>
      </c>
      <c r="AV37"/>
      <c r="AW37" s="250">
        <v>0</v>
      </c>
      <c r="AX37" s="252">
        <f t="shared" si="27"/>
        <v>0</v>
      </c>
      <c r="AY37" s="251">
        <f t="shared" si="28"/>
        <v>0</v>
      </c>
      <c r="AZ37" s="252">
        <f t="shared" si="29"/>
        <v>0</v>
      </c>
      <c r="BA37" s="253">
        <f t="shared" si="30"/>
        <v>0</v>
      </c>
      <c r="BB37"/>
      <c r="BC37" s="250">
        <v>0</v>
      </c>
      <c r="BD37" s="252">
        <f t="shared" si="31"/>
        <v>0</v>
      </c>
      <c r="BE37" s="251">
        <f t="shared" si="32"/>
        <v>0</v>
      </c>
      <c r="BF37" s="252">
        <f t="shared" si="33"/>
        <v>0</v>
      </c>
      <c r="BG37" s="253">
        <f t="shared" si="34"/>
        <v>0</v>
      </c>
      <c r="BH37"/>
      <c r="BI37" s="250">
        <f t="shared" ref="BI37:BI39" si="60">SUM(U37,AO37)</f>
        <v>2.6311266615886049</v>
      </c>
      <c r="BJ37" s="252">
        <f t="shared" si="35"/>
        <v>0.65324503864876993</v>
      </c>
      <c r="BK37" s="250">
        <f t="shared" ref="BK37:BK39" si="61">SUM(W37,AQ37)</f>
        <v>4.4199964982747417</v>
      </c>
      <c r="BL37" s="252">
        <f t="shared" si="36"/>
        <v>1</v>
      </c>
      <c r="BM37" s="251">
        <f t="shared" si="37"/>
        <v>-1.7888698366861369</v>
      </c>
      <c r="BN37" s="252">
        <f t="shared" si="38"/>
        <v>-0.40472200314737511</v>
      </c>
      <c r="BO37" s="253">
        <f t="shared" si="39"/>
        <v>-0.40472200314737511</v>
      </c>
      <c r="BP37"/>
      <c r="BQ37" s="250">
        <f t="shared" ref="BQ37:BQ39" si="62">SUM(AC37,AW37)</f>
        <v>2.0274398658175117</v>
      </c>
      <c r="BR37" s="252">
        <f t="shared" si="40"/>
        <v>0.62332339360941014</v>
      </c>
      <c r="BS37" s="251">
        <f t="shared" si="41"/>
        <v>0.60368679577109319</v>
      </c>
      <c r="BT37" s="252">
        <f t="shared" si="42"/>
        <v>0.29775817569201857</v>
      </c>
      <c r="BU37" s="253">
        <f t="shared" si="43"/>
        <v>0.29775817569201857</v>
      </c>
      <c r="BV37"/>
      <c r="BW37" s="250">
        <f t="shared" ref="BW37:BW39" si="63">SUM(AI37,BC37)</f>
        <v>1.1898605956920192</v>
      </c>
      <c r="BX37" s="252">
        <f t="shared" si="44"/>
        <v>0.36581501475497802</v>
      </c>
      <c r="BY37" s="251">
        <f t="shared" si="45"/>
        <v>1.4412660658965857</v>
      </c>
      <c r="BZ37" s="252">
        <f t="shared" si="46"/>
        <v>1.2112898528741931</v>
      </c>
      <c r="CA37" s="253">
        <f t="shared" si="47"/>
        <v>1.2112898528741931</v>
      </c>
      <c r="CC37" s="95"/>
    </row>
    <row r="38" spans="2:81" outlineLevel="2" x14ac:dyDescent="0.35">
      <c r="B38" s="255" t="s">
        <v>267</v>
      </c>
      <c r="C38" s="255" t="s">
        <v>166</v>
      </c>
      <c r="D38"/>
      <c r="E38" s="250">
        <v>3.4075664126250098</v>
      </c>
      <c r="F38" s="250">
        <v>2.7704627725966442</v>
      </c>
      <c r="G38" s="251">
        <f t="shared" si="0"/>
        <v>0.63710364002836561</v>
      </c>
      <c r="H38" s="252">
        <f t="shared" si="1"/>
        <v>0.22996289512716817</v>
      </c>
      <c r="I38" s="253">
        <f t="shared" si="2"/>
        <v>0.22996289512716817</v>
      </c>
      <c r="J38"/>
      <c r="K38" s="250">
        <v>4.7031768702100054</v>
      </c>
      <c r="L38" s="251">
        <f t="shared" si="3"/>
        <v>-1.2956104575849956</v>
      </c>
      <c r="M38" s="252">
        <f t="shared" si="4"/>
        <v>-0.27547559731198124</v>
      </c>
      <c r="N38" s="253">
        <f t="shared" si="5"/>
        <v>-0.27547559731198124</v>
      </c>
      <c r="O38"/>
      <c r="P38" s="250">
        <v>1.8029825318750068</v>
      </c>
      <c r="Q38" s="251">
        <f t="shared" si="6"/>
        <v>1.604583880750003</v>
      </c>
      <c r="R38" s="252">
        <f t="shared" si="7"/>
        <v>0.88996085784664825</v>
      </c>
      <c r="S38" s="253">
        <f t="shared" si="8"/>
        <v>0.88996085784664825</v>
      </c>
      <c r="T38"/>
      <c r="U38" s="250">
        <v>0.83916863578668099</v>
      </c>
      <c r="V38" s="252">
        <f t="shared" si="9"/>
        <v>0.24626625989667203</v>
      </c>
      <c r="W38" s="250">
        <v>-1.7669826842883525</v>
      </c>
      <c r="X38" s="252">
        <f t="shared" si="10"/>
        <v>-0.63779333249521708</v>
      </c>
      <c r="Y38" s="251">
        <f t="shared" si="11"/>
        <v>2.6061513200750337</v>
      </c>
      <c r="Z38" s="252">
        <f t="shared" si="12"/>
        <v>-1.4749161625908371</v>
      </c>
      <c r="AA38" s="253">
        <f t="shared" si="13"/>
        <v>-1.4749161625908371</v>
      </c>
      <c r="AB38"/>
      <c r="AC38" s="250">
        <v>1.8661292056333576</v>
      </c>
      <c r="AD38" s="252">
        <f t="shared" si="14"/>
        <v>1.0350234528854152</v>
      </c>
      <c r="AE38" s="251">
        <f t="shared" si="15"/>
        <v>-1.0269605698466766</v>
      </c>
      <c r="AF38" s="252">
        <f t="shared" si="16"/>
        <v>-0.55031589814175264</v>
      </c>
      <c r="AG38" s="253">
        <f t="shared" si="17"/>
        <v>-0.55031589814175264</v>
      </c>
      <c r="AH38"/>
      <c r="AI38" s="250">
        <v>1.6472769467140722</v>
      </c>
      <c r="AJ38" s="252">
        <f t="shared" si="18"/>
        <v>0.91363999239692639</v>
      </c>
      <c r="AK38" s="251">
        <f t="shared" si="19"/>
        <v>-0.80810831092739122</v>
      </c>
      <c r="AL38" s="252">
        <f t="shared" si="20"/>
        <v>-0.49057222134952849</v>
      </c>
      <c r="AM38" s="253">
        <f t="shared" si="21"/>
        <v>-0.49057222134952849</v>
      </c>
      <c r="AN38"/>
      <c r="AO38" s="250">
        <v>0</v>
      </c>
      <c r="AP38" s="252">
        <f t="shared" si="22"/>
        <v>0</v>
      </c>
      <c r="AQ38" s="250">
        <v>-3.2500000000000001E-2</v>
      </c>
      <c r="AR38" s="252">
        <f t="shared" si="23"/>
        <v>-1.1730892153276995E-2</v>
      </c>
      <c r="AS38" s="251">
        <f t="shared" si="24"/>
        <v>3.2500000000000001E-2</v>
      </c>
      <c r="AT38" s="252">
        <f t="shared" si="25"/>
        <v>-1</v>
      </c>
      <c r="AU38" s="253">
        <f t="shared" si="26"/>
        <v>-1</v>
      </c>
      <c r="AV38"/>
      <c r="AW38" s="250">
        <v>-2.0999999999999999E-3</v>
      </c>
      <c r="AX38" s="252">
        <f t="shared" si="27"/>
        <v>-1.1647367419672728E-3</v>
      </c>
      <c r="AY38" s="251">
        <f t="shared" si="28"/>
        <v>2.0999999999999999E-3</v>
      </c>
      <c r="AZ38" s="252">
        <f t="shared" si="29"/>
        <v>-1</v>
      </c>
      <c r="BA38" s="253">
        <f t="shared" si="30"/>
        <v>-1</v>
      </c>
      <c r="BB38"/>
      <c r="BC38" s="250">
        <v>0</v>
      </c>
      <c r="BD38" s="252">
        <f t="shared" si="31"/>
        <v>0</v>
      </c>
      <c r="BE38" s="251">
        <f t="shared" si="32"/>
        <v>0</v>
      </c>
      <c r="BF38" s="252">
        <f t="shared" si="33"/>
        <v>0</v>
      </c>
      <c r="BG38" s="253">
        <f t="shared" si="34"/>
        <v>0</v>
      </c>
      <c r="BH38"/>
      <c r="BI38" s="250">
        <f t="shared" si="60"/>
        <v>0.83916863578668099</v>
      </c>
      <c r="BJ38" s="252">
        <f t="shared" si="35"/>
        <v>0.24626625989667203</v>
      </c>
      <c r="BK38" s="250">
        <f t="shared" si="61"/>
        <v>-1.7994826842883525</v>
      </c>
      <c r="BL38" s="252">
        <f t="shared" si="36"/>
        <v>-0.64952422464849402</v>
      </c>
      <c r="BM38" s="251">
        <f t="shared" si="37"/>
        <v>2.6386513200750334</v>
      </c>
      <c r="BN38" s="252">
        <f t="shared" si="38"/>
        <v>1.4663388223257896</v>
      </c>
      <c r="BO38" s="253">
        <f t="shared" si="39"/>
        <v>1.4663388223257896</v>
      </c>
      <c r="BP38"/>
      <c r="BQ38" s="250">
        <f t="shared" si="62"/>
        <v>1.8640292056333576</v>
      </c>
      <c r="BR38" s="252">
        <f t="shared" si="40"/>
        <v>1.0338587161434478</v>
      </c>
      <c r="BS38" s="251">
        <f t="shared" si="41"/>
        <v>-1.0248605698466766</v>
      </c>
      <c r="BT38" s="252">
        <f t="shared" si="42"/>
        <v>-0.54980928772435766</v>
      </c>
      <c r="BU38" s="253">
        <f t="shared" si="43"/>
        <v>-0.54980928772435766</v>
      </c>
      <c r="BV38"/>
      <c r="BW38" s="250">
        <f t="shared" si="63"/>
        <v>1.6472769467140722</v>
      </c>
      <c r="BX38" s="252">
        <f t="shared" si="44"/>
        <v>0.91363999239692639</v>
      </c>
      <c r="BY38" s="251">
        <f t="shared" si="45"/>
        <v>-0.80810831092739122</v>
      </c>
      <c r="BZ38" s="252">
        <f t="shared" si="46"/>
        <v>-0.49057222134952844</v>
      </c>
      <c r="CA38" s="253">
        <f t="shared" si="47"/>
        <v>-0.49057222134952844</v>
      </c>
      <c r="CC38" s="95"/>
    </row>
    <row r="39" spans="2:81" outlineLevel="2" x14ac:dyDescent="0.35">
      <c r="B39" s="255" t="s">
        <v>268</v>
      </c>
      <c r="C39" s="255" t="s">
        <v>168</v>
      </c>
      <c r="D39"/>
      <c r="E39" s="250">
        <v>2.2731586303750109</v>
      </c>
      <c r="F39" s="250">
        <v>2.2523540669561699</v>
      </c>
      <c r="G39" s="251">
        <f t="shared" si="0"/>
        <v>2.080456341884096E-2</v>
      </c>
      <c r="H39" s="252">
        <f t="shared" si="1"/>
        <v>9.2368086013032702E-3</v>
      </c>
      <c r="I39" s="253">
        <f t="shared" si="2"/>
        <v>9.2368086013032702E-3</v>
      </c>
      <c r="J39"/>
      <c r="K39" s="250">
        <v>1.8397875903750098</v>
      </c>
      <c r="L39" s="251">
        <f t="shared" si="3"/>
        <v>0.43337104000000104</v>
      </c>
      <c r="M39" s="252">
        <f t="shared" si="4"/>
        <v>0.2355549315949379</v>
      </c>
      <c r="N39" s="253">
        <f t="shared" si="5"/>
        <v>0.2355549315949379</v>
      </c>
      <c r="O39"/>
      <c r="P39" s="250">
        <v>1.5507617300000001</v>
      </c>
      <c r="Q39" s="251">
        <f t="shared" si="6"/>
        <v>0.72239690037501081</v>
      </c>
      <c r="R39" s="252">
        <f t="shared" si="7"/>
        <v>0.46583358771370431</v>
      </c>
      <c r="S39" s="253">
        <f t="shared" si="8"/>
        <v>0.46583358771370431</v>
      </c>
      <c r="T39"/>
      <c r="U39" s="250">
        <v>1.6814423676841692</v>
      </c>
      <c r="V39" s="252">
        <f t="shared" si="9"/>
        <v>0.73969424976152054</v>
      </c>
      <c r="W39" s="250">
        <v>2.2523540669561699</v>
      </c>
      <c r="X39" s="252">
        <f t="shared" si="10"/>
        <v>1</v>
      </c>
      <c r="Y39" s="251">
        <f t="shared" si="11"/>
        <v>-0.57091169927200069</v>
      </c>
      <c r="Z39" s="252">
        <f t="shared" si="12"/>
        <v>-0.2534733360299477</v>
      </c>
      <c r="AA39" s="253">
        <f t="shared" si="13"/>
        <v>-0.2534733360299477</v>
      </c>
      <c r="AB39"/>
      <c r="AC39" s="250">
        <v>1.3456899566538092</v>
      </c>
      <c r="AD39" s="252">
        <f t="shared" si="14"/>
        <v>0.86776061765066204</v>
      </c>
      <c r="AE39" s="251">
        <f t="shared" si="15"/>
        <v>0.33575241103036002</v>
      </c>
      <c r="AF39" s="252">
        <f t="shared" si="16"/>
        <v>0.249502056079278</v>
      </c>
      <c r="AG39" s="253">
        <f t="shared" si="17"/>
        <v>0.249502056079278</v>
      </c>
      <c r="AH39"/>
      <c r="AI39" s="250">
        <v>1.1584737200000002</v>
      </c>
      <c r="AJ39" s="252">
        <f t="shared" si="18"/>
        <v>0.74703527794692237</v>
      </c>
      <c r="AK39" s="251">
        <f t="shared" si="19"/>
        <v>0.52296864768416906</v>
      </c>
      <c r="AL39" s="252">
        <f t="shared" si="20"/>
        <v>0.45142901272216074</v>
      </c>
      <c r="AM39" s="253">
        <f t="shared" si="21"/>
        <v>0.45142901272216074</v>
      </c>
      <c r="AN39"/>
      <c r="AO39" s="250">
        <v>0</v>
      </c>
      <c r="AP39" s="252">
        <f t="shared" si="22"/>
        <v>0</v>
      </c>
      <c r="AQ39" s="250">
        <v>0</v>
      </c>
      <c r="AR39" s="252">
        <f t="shared" si="23"/>
        <v>0</v>
      </c>
      <c r="AS39" s="251">
        <f t="shared" si="24"/>
        <v>0</v>
      </c>
      <c r="AT39" s="252">
        <f t="shared" si="25"/>
        <v>0</v>
      </c>
      <c r="AU39" s="253">
        <f t="shared" si="26"/>
        <v>0</v>
      </c>
      <c r="AV39"/>
      <c r="AW39" s="250">
        <v>0</v>
      </c>
      <c r="AX39" s="252">
        <f t="shared" si="27"/>
        <v>0</v>
      </c>
      <c r="AY39" s="251">
        <f t="shared" si="28"/>
        <v>0</v>
      </c>
      <c r="AZ39" s="252">
        <f t="shared" si="29"/>
        <v>0</v>
      </c>
      <c r="BA39" s="253">
        <f t="shared" si="30"/>
        <v>0</v>
      </c>
      <c r="BB39"/>
      <c r="BC39" s="250">
        <v>7.6170200000000004E-3</v>
      </c>
      <c r="BD39" s="252">
        <f t="shared" si="31"/>
        <v>4.9117926065921167E-3</v>
      </c>
      <c r="BE39" s="251">
        <f t="shared" si="32"/>
        <v>-7.6170200000000004E-3</v>
      </c>
      <c r="BF39" s="252">
        <f t="shared" si="33"/>
        <v>-1</v>
      </c>
      <c r="BG39" s="253">
        <f t="shared" si="34"/>
        <v>-1</v>
      </c>
      <c r="BH39"/>
      <c r="BI39" s="250">
        <f t="shared" si="60"/>
        <v>1.6814423676841692</v>
      </c>
      <c r="BJ39" s="252">
        <f t="shared" si="35"/>
        <v>0.73969424976152054</v>
      </c>
      <c r="BK39" s="250">
        <f t="shared" si="61"/>
        <v>2.2523540669561699</v>
      </c>
      <c r="BL39" s="252">
        <f t="shared" si="36"/>
        <v>1</v>
      </c>
      <c r="BM39" s="251">
        <f t="shared" si="37"/>
        <v>-0.57091169927200069</v>
      </c>
      <c r="BN39" s="252">
        <f t="shared" si="38"/>
        <v>-0.25347333602994776</v>
      </c>
      <c r="BO39" s="253">
        <f t="shared" si="39"/>
        <v>-0.25347333602994776</v>
      </c>
      <c r="BP39"/>
      <c r="BQ39" s="250">
        <f t="shared" si="62"/>
        <v>1.3456899566538092</v>
      </c>
      <c r="BR39" s="252">
        <f t="shared" si="40"/>
        <v>0.86776061765066204</v>
      </c>
      <c r="BS39" s="251">
        <f t="shared" si="41"/>
        <v>0.33575241103036002</v>
      </c>
      <c r="BT39" s="252">
        <f t="shared" si="42"/>
        <v>0.24950205607927811</v>
      </c>
      <c r="BU39" s="253">
        <f t="shared" si="43"/>
        <v>0.24950205607927811</v>
      </c>
      <c r="BV39"/>
      <c r="BW39" s="250">
        <f t="shared" si="63"/>
        <v>1.1660907400000002</v>
      </c>
      <c r="BX39" s="252">
        <f t="shared" si="44"/>
        <v>0.75194707055351451</v>
      </c>
      <c r="BY39" s="251">
        <f t="shared" si="45"/>
        <v>0.51535162768416898</v>
      </c>
      <c r="BZ39" s="252">
        <f t="shared" si="46"/>
        <v>0.44194813491458551</v>
      </c>
      <c r="CA39" s="253">
        <f t="shared" si="47"/>
        <v>0.44194813491458551</v>
      </c>
      <c r="CC39" s="95"/>
    </row>
    <row r="40" spans="2:81" x14ac:dyDescent="0.35">
      <c r="B40" s="239" t="s">
        <v>169</v>
      </c>
      <c r="C40" s="239" t="s">
        <v>170</v>
      </c>
      <c r="D40"/>
      <c r="E40" s="240">
        <f>SUM(E41)</f>
        <v>30.919516667548809</v>
      </c>
      <c r="F40" s="240">
        <f>SUM(F41)</f>
        <v>30.481559736436992</v>
      </c>
      <c r="G40" s="241">
        <f t="shared" si="0"/>
        <v>0.43795693111181677</v>
      </c>
      <c r="H40" s="242">
        <f t="shared" si="1"/>
        <v>1.4367930476611779E-2</v>
      </c>
      <c r="I40" s="243">
        <f t="shared" si="2"/>
        <v>1.4367930476611779E-2</v>
      </c>
      <c r="J40"/>
      <c r="K40" s="240">
        <f>SUM(K41)</f>
        <v>30.984820166155799</v>
      </c>
      <c r="L40" s="241">
        <f t="shared" si="3"/>
        <v>-6.5303498606990473E-2</v>
      </c>
      <c r="M40" s="242">
        <f t="shared" si="4"/>
        <v>-2.1075965023130694E-3</v>
      </c>
      <c r="N40" s="243">
        <f t="shared" si="5"/>
        <v>-2.1075965023130694E-3</v>
      </c>
      <c r="O40"/>
      <c r="P40" s="240">
        <f>SUM(P41)</f>
        <v>27.693664362971255</v>
      </c>
      <c r="Q40" s="241">
        <f t="shared" si="6"/>
        <v>3.225852304577554</v>
      </c>
      <c r="R40" s="242">
        <f t="shared" si="7"/>
        <v>0.1164834043735572</v>
      </c>
      <c r="S40" s="243">
        <f t="shared" si="8"/>
        <v>0.1164834043735572</v>
      </c>
      <c r="T40"/>
      <c r="U40" s="240">
        <f>SUM(U41)</f>
        <v>17.620641301172252</v>
      </c>
      <c r="V40" s="242">
        <f t="shared" si="9"/>
        <v>0.56988734625550519</v>
      </c>
      <c r="W40" s="240">
        <f>SUM(W41)</f>
        <v>12.579188208401469</v>
      </c>
      <c r="X40" s="242">
        <f t="shared" si="10"/>
        <v>0.41268190726357684</v>
      </c>
      <c r="Y40" s="241">
        <f t="shared" si="11"/>
        <v>5.0414530927707837</v>
      </c>
      <c r="Z40" s="242">
        <f t="shared" si="12"/>
        <v>0.40077730051003346</v>
      </c>
      <c r="AA40" s="243">
        <f t="shared" si="13"/>
        <v>0.40077730051003346</v>
      </c>
      <c r="AB40"/>
      <c r="AC40" s="240">
        <f>SUM(AC41)</f>
        <v>17.731052666816087</v>
      </c>
      <c r="AD40" s="242">
        <f t="shared" si="14"/>
        <v>0.64025664622858602</v>
      </c>
      <c r="AE40" s="241">
        <f t="shared" si="15"/>
        <v>-0.11041136564383436</v>
      </c>
      <c r="AF40" s="242">
        <f t="shared" si="16"/>
        <v>-6.2270056786007943E-3</v>
      </c>
      <c r="AG40" s="243">
        <f t="shared" si="17"/>
        <v>-6.2270056786007943E-3</v>
      </c>
      <c r="AH40"/>
      <c r="AI40" s="240">
        <f>SUM(AI41)</f>
        <v>11.04552243893184</v>
      </c>
      <c r="AJ40" s="242">
        <f t="shared" si="18"/>
        <v>0.39884654822713267</v>
      </c>
      <c r="AK40" s="241">
        <f t="shared" si="19"/>
        <v>6.5751188622404122</v>
      </c>
      <c r="AL40" s="242">
        <f t="shared" si="20"/>
        <v>0.59527459190751153</v>
      </c>
      <c r="AM40" s="243">
        <f t="shared" si="21"/>
        <v>0.59527459190751153</v>
      </c>
      <c r="AN40"/>
      <c r="AO40" s="240">
        <f>SUM(AO41)</f>
        <v>-4.4823216899999991</v>
      </c>
      <c r="AP40" s="242">
        <f t="shared" si="22"/>
        <v>-0.14496739189666452</v>
      </c>
      <c r="AQ40" s="240">
        <f>SUM(AQ41)</f>
        <v>0</v>
      </c>
      <c r="AR40" s="242">
        <f t="shared" si="23"/>
        <v>0</v>
      </c>
      <c r="AS40" s="241">
        <f t="shared" si="24"/>
        <v>-4.4823216899999991</v>
      </c>
      <c r="AT40" s="242">
        <f t="shared" si="25"/>
        <v>0</v>
      </c>
      <c r="AU40" s="243">
        <f t="shared" si="26"/>
        <v>0</v>
      </c>
      <c r="AV40"/>
      <c r="AW40" s="240">
        <f>SUM(AW41)</f>
        <v>-4.4698634090347404</v>
      </c>
      <c r="AX40" s="242">
        <f t="shared" si="27"/>
        <v>-0.16140382689880944</v>
      </c>
      <c r="AY40" s="241">
        <f t="shared" si="28"/>
        <v>-1.2458280965258695E-2</v>
      </c>
      <c r="AZ40" s="242">
        <f t="shared" si="29"/>
        <v>2.78717263263073E-3</v>
      </c>
      <c r="BA40" s="243">
        <f t="shared" si="30"/>
        <v>2.78717263263073E-3</v>
      </c>
      <c r="BB40"/>
      <c r="BC40" s="240">
        <f>SUM(BC41)</f>
        <v>-6.288009999999962E-2</v>
      </c>
      <c r="BD40" s="242">
        <f t="shared" si="31"/>
        <v>-2.2705590410807309E-3</v>
      </c>
      <c r="BE40" s="241">
        <f t="shared" si="32"/>
        <v>-4.4194415899999999</v>
      </c>
      <c r="BF40" s="242">
        <f t="shared" si="33"/>
        <v>70.283628524764211</v>
      </c>
      <c r="BG40" s="243">
        <f t="shared" si="34"/>
        <v>70.283628524764211</v>
      </c>
      <c r="BH40"/>
      <c r="BI40" s="240">
        <f>SUM(BI41)</f>
        <v>13.138319611172253</v>
      </c>
      <c r="BJ40" s="242">
        <f t="shared" si="35"/>
        <v>0.42491995435884067</v>
      </c>
      <c r="BK40" s="240">
        <f>SUM(BK41)</f>
        <v>12.579188208401469</v>
      </c>
      <c r="BL40" s="242">
        <f t="shared" si="36"/>
        <v>0.41268190726357684</v>
      </c>
      <c r="BM40" s="241">
        <f t="shared" si="37"/>
        <v>0.55913140277078455</v>
      </c>
      <c r="BN40" s="242">
        <f t="shared" si="38"/>
        <v>4.4448925757971269E-2</v>
      </c>
      <c r="BO40" s="243">
        <f t="shared" si="39"/>
        <v>4.4448925757971269E-2</v>
      </c>
      <c r="BP40"/>
      <c r="BQ40" s="240">
        <f>SUM(BQ41)</f>
        <v>13.261189257781346</v>
      </c>
      <c r="BR40" s="242">
        <f t="shared" si="40"/>
        <v>0.47885281932977658</v>
      </c>
      <c r="BS40" s="241">
        <f t="shared" si="41"/>
        <v>-0.12286964660909305</v>
      </c>
      <c r="BT40" s="242">
        <f t="shared" si="42"/>
        <v>-9.2653565393462818E-3</v>
      </c>
      <c r="BU40" s="243">
        <f t="shared" si="43"/>
        <v>-9.2653565393462818E-3</v>
      </c>
      <c r="BV40"/>
      <c r="BW40" s="240">
        <f>SUM(BW41)</f>
        <v>10.982642338931841</v>
      </c>
      <c r="BX40" s="242">
        <f t="shared" si="44"/>
        <v>0.39657598918605197</v>
      </c>
      <c r="BY40" s="241">
        <f t="shared" si="45"/>
        <v>2.1556772722404123</v>
      </c>
      <c r="BZ40" s="242">
        <f t="shared" si="46"/>
        <v>0.19628038551331636</v>
      </c>
      <c r="CA40" s="243">
        <f t="shared" si="47"/>
        <v>0.19628038551331636</v>
      </c>
      <c r="CC40" s="95"/>
    </row>
    <row r="41" spans="2:81" outlineLevel="1" x14ac:dyDescent="0.35">
      <c r="B41" s="255" t="s">
        <v>171</v>
      </c>
      <c r="C41" s="255" t="s">
        <v>172</v>
      </c>
      <c r="D41"/>
      <c r="E41" s="250">
        <v>30.919516667548809</v>
      </c>
      <c r="F41" s="250">
        <v>30.481559736436992</v>
      </c>
      <c r="G41" s="251">
        <f t="shared" si="0"/>
        <v>0.43795693111181677</v>
      </c>
      <c r="H41" s="252">
        <f t="shared" si="1"/>
        <v>1.4367930476611779E-2</v>
      </c>
      <c r="I41" s="253">
        <f t="shared" si="2"/>
        <v>1.4367930476611779E-2</v>
      </c>
      <c r="J41"/>
      <c r="K41" s="250">
        <v>30.984820166155799</v>
      </c>
      <c r="L41" s="251">
        <f t="shared" si="3"/>
        <v>-6.5303498606990473E-2</v>
      </c>
      <c r="M41" s="252">
        <f t="shared" si="4"/>
        <v>-2.1075965023130694E-3</v>
      </c>
      <c r="N41" s="253">
        <f t="shared" si="5"/>
        <v>-2.1075965023130694E-3</v>
      </c>
      <c r="O41"/>
      <c r="P41" s="250">
        <v>27.693664362971255</v>
      </c>
      <c r="Q41" s="251">
        <f t="shared" si="6"/>
        <v>3.225852304577554</v>
      </c>
      <c r="R41" s="252">
        <f t="shared" si="7"/>
        <v>0.1164834043735572</v>
      </c>
      <c r="S41" s="253">
        <f t="shared" si="8"/>
        <v>0.1164834043735572</v>
      </c>
      <c r="T41"/>
      <c r="U41" s="250">
        <v>17.620641301172252</v>
      </c>
      <c r="V41" s="252">
        <f t="shared" si="9"/>
        <v>0.56988734625550519</v>
      </c>
      <c r="W41" s="250">
        <v>12.579188208401469</v>
      </c>
      <c r="X41" s="252">
        <f t="shared" si="10"/>
        <v>0.41268190726357684</v>
      </c>
      <c r="Y41" s="251">
        <f t="shared" si="11"/>
        <v>5.0414530927707837</v>
      </c>
      <c r="Z41" s="252">
        <f t="shared" si="12"/>
        <v>0.40077730051003346</v>
      </c>
      <c r="AA41" s="253">
        <f t="shared" si="13"/>
        <v>0.40077730051003346</v>
      </c>
      <c r="AB41"/>
      <c r="AC41" s="250">
        <v>17.731052666816087</v>
      </c>
      <c r="AD41" s="252">
        <f t="shared" si="14"/>
        <v>0.64025664622858602</v>
      </c>
      <c r="AE41" s="251">
        <f t="shared" si="15"/>
        <v>-0.11041136564383436</v>
      </c>
      <c r="AF41" s="252">
        <f t="shared" si="16"/>
        <v>-6.2270056786007943E-3</v>
      </c>
      <c r="AG41" s="253">
        <f t="shared" si="17"/>
        <v>-6.2270056786007943E-3</v>
      </c>
      <c r="AH41"/>
      <c r="AI41" s="250">
        <v>11.04552243893184</v>
      </c>
      <c r="AJ41" s="252">
        <f t="shared" si="18"/>
        <v>0.39884654822713267</v>
      </c>
      <c r="AK41" s="251">
        <f t="shared" si="19"/>
        <v>6.5751188622404122</v>
      </c>
      <c r="AL41" s="252">
        <f t="shared" si="20"/>
        <v>0.59527459190751153</v>
      </c>
      <c r="AM41" s="253">
        <f t="shared" si="21"/>
        <v>0.59527459190751153</v>
      </c>
      <c r="AN41"/>
      <c r="AO41" s="250">
        <v>-4.4823216899999991</v>
      </c>
      <c r="AP41" s="252">
        <f t="shared" si="22"/>
        <v>-0.14496739189666452</v>
      </c>
      <c r="AQ41" s="250">
        <v>0</v>
      </c>
      <c r="AR41" s="252">
        <f t="shared" si="23"/>
        <v>0</v>
      </c>
      <c r="AS41" s="251">
        <f t="shared" si="24"/>
        <v>-4.4823216899999991</v>
      </c>
      <c r="AT41" s="252">
        <f t="shared" si="25"/>
        <v>0</v>
      </c>
      <c r="AU41" s="253">
        <f t="shared" si="26"/>
        <v>0</v>
      </c>
      <c r="AV41"/>
      <c r="AW41" s="250">
        <v>-4.4698634090347404</v>
      </c>
      <c r="AX41" s="252">
        <f t="shared" si="27"/>
        <v>-0.16140382689880944</v>
      </c>
      <c r="AY41" s="251">
        <f t="shared" si="28"/>
        <v>-1.2458280965258695E-2</v>
      </c>
      <c r="AZ41" s="252">
        <f t="shared" si="29"/>
        <v>2.78717263263073E-3</v>
      </c>
      <c r="BA41" s="253">
        <f t="shared" si="30"/>
        <v>2.78717263263073E-3</v>
      </c>
      <c r="BB41"/>
      <c r="BC41" s="250">
        <v>-6.288009999999962E-2</v>
      </c>
      <c r="BD41" s="252">
        <f t="shared" si="31"/>
        <v>-2.2705590410807309E-3</v>
      </c>
      <c r="BE41" s="251">
        <f t="shared" si="32"/>
        <v>-4.4194415899999999</v>
      </c>
      <c r="BF41" s="252">
        <f t="shared" si="33"/>
        <v>70.283628524764211</v>
      </c>
      <c r="BG41" s="253">
        <f t="shared" si="34"/>
        <v>70.283628524764211</v>
      </c>
      <c r="BH41"/>
      <c r="BI41" s="250">
        <f t="shared" ref="BI41" si="64">SUM(U41,AO41)</f>
        <v>13.138319611172253</v>
      </c>
      <c r="BJ41" s="252">
        <f t="shared" si="35"/>
        <v>0.42491995435884067</v>
      </c>
      <c r="BK41" s="250">
        <f t="shared" ref="BK41" si="65">SUM(W41,AQ41)</f>
        <v>12.579188208401469</v>
      </c>
      <c r="BL41" s="252">
        <f t="shared" si="36"/>
        <v>0.41268190726357684</v>
      </c>
      <c r="BM41" s="251">
        <f t="shared" si="37"/>
        <v>0.55913140277078455</v>
      </c>
      <c r="BN41" s="252">
        <f t="shared" si="38"/>
        <v>4.4448925757971269E-2</v>
      </c>
      <c r="BO41" s="253">
        <f t="shared" si="39"/>
        <v>4.4448925757971269E-2</v>
      </c>
      <c r="BP41"/>
      <c r="BQ41" s="250">
        <f t="shared" ref="BQ41" si="66">SUM(AC41,AW41)</f>
        <v>13.261189257781346</v>
      </c>
      <c r="BR41" s="252">
        <f t="shared" si="40"/>
        <v>0.47885281932977658</v>
      </c>
      <c r="BS41" s="251">
        <f t="shared" si="41"/>
        <v>-0.12286964660909305</v>
      </c>
      <c r="BT41" s="252">
        <f t="shared" si="42"/>
        <v>-9.2653565393462818E-3</v>
      </c>
      <c r="BU41" s="253">
        <f t="shared" si="43"/>
        <v>-9.2653565393462818E-3</v>
      </c>
      <c r="BV41"/>
      <c r="BW41" s="250">
        <f t="shared" ref="BW41" si="67">SUM(AI41,BC41)</f>
        <v>10.982642338931841</v>
      </c>
      <c r="BX41" s="252">
        <f t="shared" si="44"/>
        <v>0.39657598918605197</v>
      </c>
      <c r="BY41" s="251">
        <f t="shared" si="45"/>
        <v>2.1556772722404123</v>
      </c>
      <c r="BZ41" s="252">
        <f t="shared" si="46"/>
        <v>0.19628038551331636</v>
      </c>
      <c r="CA41" s="253">
        <f t="shared" si="47"/>
        <v>0.19628038551331636</v>
      </c>
    </row>
    <row r="42" spans="2:81" x14ac:dyDescent="0.35">
      <c r="B42" s="239" t="s">
        <v>173</v>
      </c>
      <c r="C42" s="239" t="s">
        <v>174</v>
      </c>
      <c r="D42"/>
      <c r="E42" s="240">
        <f>SUM(E43:E44)</f>
        <v>70.828321529597332</v>
      </c>
      <c r="F42" s="240">
        <f>SUM(F43:F44)</f>
        <v>74.531842198634678</v>
      </c>
      <c r="G42" s="241">
        <f t="shared" si="0"/>
        <v>-3.7035206690373457</v>
      </c>
      <c r="H42" s="242">
        <f t="shared" si="1"/>
        <v>-4.9690448535635312E-2</v>
      </c>
      <c r="I42" s="243">
        <f t="shared" si="2"/>
        <v>-4.9690448535635312E-2</v>
      </c>
      <c r="J42"/>
      <c r="K42" s="240">
        <f>SUM(K43:K44)</f>
        <v>70.842990183160694</v>
      </c>
      <c r="L42" s="241">
        <f t="shared" si="3"/>
        <v>-1.4668653563362E-2</v>
      </c>
      <c r="M42" s="242">
        <f t="shared" si="4"/>
        <v>-2.0705864511694205E-4</v>
      </c>
      <c r="N42" s="243">
        <f t="shared" si="5"/>
        <v>-2.0705864511694205E-4</v>
      </c>
      <c r="O42"/>
      <c r="P42" s="240">
        <f>SUM(P43:P44)</f>
        <v>71.067475720000488</v>
      </c>
      <c r="Q42" s="241">
        <f t="shared" si="6"/>
        <v>-0.23915419040315555</v>
      </c>
      <c r="R42" s="242">
        <f t="shared" si="7"/>
        <v>-3.3651707476624049E-3</v>
      </c>
      <c r="S42" s="243">
        <f t="shared" si="8"/>
        <v>-3.3651707476624049E-3</v>
      </c>
      <c r="T42"/>
      <c r="U42" s="240">
        <f>SUM(U43:U44)</f>
        <v>31.470906234336237</v>
      </c>
      <c r="V42" s="242">
        <f t="shared" si="9"/>
        <v>0.44432658511024231</v>
      </c>
      <c r="W42" s="240">
        <f>SUM(W43:W44)</f>
        <v>29.192991518333919</v>
      </c>
      <c r="X42" s="242">
        <f t="shared" si="10"/>
        <v>0.39168482432691965</v>
      </c>
      <c r="Y42" s="241">
        <f t="shared" si="11"/>
        <v>2.2779147160023179</v>
      </c>
      <c r="Z42" s="242">
        <f t="shared" si="12"/>
        <v>7.8029506313929131E-2</v>
      </c>
      <c r="AA42" s="243">
        <f t="shared" si="13"/>
        <v>7.8029506313929131E-2</v>
      </c>
      <c r="AB42"/>
      <c r="AC42" s="240">
        <f>SUM(AC43:AC44)</f>
        <v>31.468462518111604</v>
      </c>
      <c r="AD42" s="242">
        <f t="shared" si="14"/>
        <v>0.44279696442426825</v>
      </c>
      <c r="AE42" s="241">
        <f t="shared" si="15"/>
        <v>2.4437162246329081E-3</v>
      </c>
      <c r="AF42" s="242">
        <f t="shared" si="16"/>
        <v>7.7656041289841937E-5</v>
      </c>
      <c r="AG42" s="243">
        <f t="shared" si="17"/>
        <v>7.7656041289841937E-5</v>
      </c>
      <c r="AH42"/>
      <c r="AI42" s="240">
        <f>SUM(AI43:AI44)</f>
        <v>28.238469948817109</v>
      </c>
      <c r="AJ42" s="242">
        <f t="shared" si="18"/>
        <v>0.39734730497638837</v>
      </c>
      <c r="AK42" s="241">
        <f t="shared" si="19"/>
        <v>3.2324362855191282</v>
      </c>
      <c r="AL42" s="242">
        <f t="shared" si="20"/>
        <v>0.1144692432478811</v>
      </c>
      <c r="AM42" s="243">
        <f t="shared" si="21"/>
        <v>0.1144692432478811</v>
      </c>
      <c r="AN42"/>
      <c r="AO42" s="240">
        <f>SUM(AO43:AO44)</f>
        <v>-1.7154607290047861</v>
      </c>
      <c r="AP42" s="242">
        <f t="shared" si="22"/>
        <v>-2.4219982797247838E-2</v>
      </c>
      <c r="AQ42" s="240">
        <f>SUM(AQ43:AQ44)</f>
        <v>-1.5445711214811966</v>
      </c>
      <c r="AR42" s="242">
        <f t="shared" si="23"/>
        <v>-2.072364074088982E-2</v>
      </c>
      <c r="AS42" s="241">
        <f t="shared" si="24"/>
        <v>-0.1708896075235895</v>
      </c>
      <c r="AT42" s="242">
        <f t="shared" si="25"/>
        <v>0.11063887259507443</v>
      </c>
      <c r="AU42" s="243">
        <f t="shared" si="26"/>
        <v>0.11063887259507443</v>
      </c>
      <c r="AV42"/>
      <c r="AW42" s="240">
        <f>SUM(AW43:AW44)</f>
        <v>-1.6823180052847866</v>
      </c>
      <c r="AX42" s="242">
        <f t="shared" si="27"/>
        <v>-2.3672122700867684E-2</v>
      </c>
      <c r="AY42" s="241">
        <f t="shared" si="28"/>
        <v>-3.314272371999949E-2</v>
      </c>
      <c r="AZ42" s="242">
        <f t="shared" si="29"/>
        <v>1.97006294980413E-2</v>
      </c>
      <c r="BA42" s="243">
        <f t="shared" si="30"/>
        <v>1.97006294980413E-2</v>
      </c>
      <c r="BB42"/>
      <c r="BC42" s="240">
        <f>SUM(BC43:BC44)</f>
        <v>-2.5345990496762378</v>
      </c>
      <c r="BD42" s="242">
        <f t="shared" si="31"/>
        <v>-3.5664683795191096E-2</v>
      </c>
      <c r="BE42" s="241">
        <f t="shared" si="32"/>
        <v>0.81913832067145176</v>
      </c>
      <c r="BF42" s="242">
        <f t="shared" si="33"/>
        <v>-0.32318260388209574</v>
      </c>
      <c r="BG42" s="243">
        <f t="shared" si="34"/>
        <v>-0.32318260388209574</v>
      </c>
      <c r="BH42"/>
      <c r="BI42" s="240">
        <f>SUM(BI43:BI44)</f>
        <v>29.755445505331451</v>
      </c>
      <c r="BJ42" s="242">
        <f t="shared" si="35"/>
        <v>0.42010660231299446</v>
      </c>
      <c r="BK42" s="240">
        <f>SUM(BK43:BK44)</f>
        <v>27.648420396852721</v>
      </c>
      <c r="BL42" s="242">
        <f t="shared" si="36"/>
        <v>0.37096118358602981</v>
      </c>
      <c r="BM42" s="241">
        <f t="shared" si="37"/>
        <v>2.1070251084787301</v>
      </c>
      <c r="BN42" s="242">
        <f t="shared" si="38"/>
        <v>7.620779336524329E-2</v>
      </c>
      <c r="BO42" s="243">
        <f t="shared" si="39"/>
        <v>7.620779336524329E-2</v>
      </c>
      <c r="BP42"/>
      <c r="BQ42" s="240">
        <f>SUM(BQ43:BQ44)</f>
        <v>29.786144512826816</v>
      </c>
      <c r="BR42" s="242">
        <f t="shared" si="40"/>
        <v>0.41912484172340053</v>
      </c>
      <c r="BS42" s="241">
        <f t="shared" si="41"/>
        <v>-3.0699007495364583E-2</v>
      </c>
      <c r="BT42" s="242">
        <f t="shared" si="42"/>
        <v>-1.0306472353998235E-3</v>
      </c>
      <c r="BU42" s="243">
        <f t="shared" si="43"/>
        <v>-1.0306472353998235E-3</v>
      </c>
      <c r="BV42"/>
      <c r="BW42" s="240">
        <f>SUM(BW43:BW44)</f>
        <v>25.70387089914087</v>
      </c>
      <c r="BX42" s="242">
        <f t="shared" si="44"/>
        <v>0.36168262118119726</v>
      </c>
      <c r="BY42" s="241">
        <f t="shared" si="45"/>
        <v>4.0515746061905809</v>
      </c>
      <c r="BZ42" s="242">
        <f t="shared" si="46"/>
        <v>0.15762507608634158</v>
      </c>
      <c r="CA42" s="243">
        <f t="shared" si="47"/>
        <v>0.15762507608634158</v>
      </c>
    </row>
    <row r="43" spans="2:81" hidden="1" outlineLevel="1" x14ac:dyDescent="0.35">
      <c r="B43" s="255" t="s">
        <v>175</v>
      </c>
      <c r="C43" s="255" t="s">
        <v>176</v>
      </c>
      <c r="D43"/>
      <c r="E43" s="250">
        <v>70.828321529597332</v>
      </c>
      <c r="F43" s="250">
        <v>74.531842198634678</v>
      </c>
      <c r="G43" s="251">
        <f>$E43-F43</f>
        <v>-3.7035206690373457</v>
      </c>
      <c r="H43" s="252">
        <f>IFERROR($E43/F43-1,0)</f>
        <v>-4.9690448535635312E-2</v>
      </c>
      <c r="I43" s="253">
        <f>H43</f>
        <v>-4.9690448535635312E-2</v>
      </c>
      <c r="J43"/>
      <c r="K43" s="250">
        <v>70.842990183160694</v>
      </c>
      <c r="L43" s="251">
        <f>$E43-K43</f>
        <v>-1.4668653563362E-2</v>
      </c>
      <c r="M43" s="252">
        <f>IFERROR($E43/K43-1,0)</f>
        <v>-2.0705864511694205E-4</v>
      </c>
      <c r="N43" s="253">
        <f>M43</f>
        <v>-2.0705864511694205E-4</v>
      </c>
      <c r="O43"/>
      <c r="P43" s="250">
        <v>71.067475720000488</v>
      </c>
      <c r="Q43" s="251">
        <f>$E43-P43</f>
        <v>-0.23915419040315555</v>
      </c>
      <c r="R43" s="252">
        <f>IFERROR($E43/P43-1,0)</f>
        <v>-3.3651707476624049E-3</v>
      </c>
      <c r="S43" s="253">
        <f>R43</f>
        <v>-3.3651707476624049E-3</v>
      </c>
      <c r="T43"/>
      <c r="U43" s="250">
        <v>34.928040055136698</v>
      </c>
      <c r="V43" s="252">
        <f>IFERROR(U43/$E43,0)</f>
        <v>0.49313663377637956</v>
      </c>
      <c r="W43" s="250">
        <v>29.192991518333919</v>
      </c>
      <c r="X43" s="252">
        <f>IFERROR(W43/$F43,0)</f>
        <v>0.39168482432691965</v>
      </c>
      <c r="Y43" s="251">
        <f>$U43-W43</f>
        <v>5.735048536802779</v>
      </c>
      <c r="Z43" s="252">
        <f>IFERROR($U43/W43-1,0)</f>
        <v>0.19645292375058676</v>
      </c>
      <c r="AA43" s="253">
        <f>Z43</f>
        <v>0.19645292375058676</v>
      </c>
      <c r="AB43"/>
      <c r="AC43" s="250">
        <v>31.468462518111604</v>
      </c>
      <c r="AD43" s="252">
        <f>IFERROR(AC43/$P43,0)</f>
        <v>0.44279696442426825</v>
      </c>
      <c r="AE43" s="251">
        <f>$U43-AC43</f>
        <v>3.4595775370250941</v>
      </c>
      <c r="AF43" s="252">
        <f>IFERROR($U43/AC43-1,0)</f>
        <v>0.10993792706059091</v>
      </c>
      <c r="AG43" s="253">
        <f>AF43</f>
        <v>0.10993792706059091</v>
      </c>
      <c r="AH43"/>
      <c r="AI43" s="250">
        <v>31.816202049917109</v>
      </c>
      <c r="AJ43" s="252">
        <f>IFERROR(AI43/$P43,0)</f>
        <v>0.44769005410112084</v>
      </c>
      <c r="AK43" s="251">
        <f>$U43-AI43</f>
        <v>3.1118380052195889</v>
      </c>
      <c r="AL43" s="252">
        <f>IFERROR($U43/AI43-1,0)</f>
        <v>9.7806708680607368E-2</v>
      </c>
      <c r="AM43" s="253">
        <f>AL43</f>
        <v>9.7806708680607368E-2</v>
      </c>
      <c r="AN43"/>
      <c r="AO43" s="261">
        <v>-0.32601142000000088</v>
      </c>
      <c r="AP43" s="252">
        <f>IFERROR(AO43/$E43,0)</f>
        <v>-4.6028398380691419E-3</v>
      </c>
      <c r="AQ43" s="250">
        <v>-1.5445711214811966</v>
      </c>
      <c r="AR43" s="252">
        <f>IFERROR(AQ43/$F43,0)</f>
        <v>-2.072364074088982E-2</v>
      </c>
      <c r="AS43" s="251">
        <f>$AO43-AQ43</f>
        <v>1.2185597014811957</v>
      </c>
      <c r="AT43" s="252">
        <f>IFERROR($AO43/AQ43-1,0)</f>
        <v>-0.78893078119486926</v>
      </c>
      <c r="AU43" s="253">
        <f>AT43</f>
        <v>-0.78893078119486926</v>
      </c>
      <c r="AV43"/>
      <c r="AW43" s="250">
        <v>-1.6823180052847866</v>
      </c>
      <c r="AX43" s="252">
        <f>IFERROR(AW43/$P43,0)</f>
        <v>-2.3672122700867684E-2</v>
      </c>
      <c r="AY43" s="251">
        <f>$AO43-AW43</f>
        <v>1.3563065852847858</v>
      </c>
      <c r="AZ43" s="252">
        <f>IFERROR($AO43/AW43-1,0)</f>
        <v>-0.80621296391295949</v>
      </c>
      <c r="BA43" s="253">
        <f>AZ43</f>
        <v>-0.80621296391295949</v>
      </c>
      <c r="BB43"/>
      <c r="BC43" s="250">
        <v>-1.1903318200000013</v>
      </c>
      <c r="BD43" s="252">
        <f>IFERROR(BC43/$P43,0)</f>
        <v>-1.6749318980876744E-2</v>
      </c>
      <c r="BE43" s="251">
        <f>$AO43-BC43</f>
        <v>0.86432040000000043</v>
      </c>
      <c r="BF43" s="252">
        <f>IFERROR($AO43/BC43-1,0)</f>
        <v>-0.72611719310334788</v>
      </c>
      <c r="BG43" s="253">
        <f>BF43</f>
        <v>-0.72611719310334788</v>
      </c>
      <c r="BH43"/>
      <c r="BI43" s="250">
        <f>SUM(U43,AO43)</f>
        <v>34.602028635136698</v>
      </c>
      <c r="BJ43" s="252">
        <f>IFERROR(BI43/$E43,0)</f>
        <v>0.48853379393831042</v>
      </c>
      <c r="BK43" s="250">
        <f>SUM(W43,AQ43)</f>
        <v>27.648420396852721</v>
      </c>
      <c r="BL43" s="252">
        <f>IFERROR(BK43/$F43,0)</f>
        <v>0.37096118358602981</v>
      </c>
      <c r="BM43" s="251">
        <f>$BI43-BK43</f>
        <v>6.9536082382839766</v>
      </c>
      <c r="BN43" s="252">
        <f>BM43/ABS(BK43)</f>
        <v>0.2515011034437078</v>
      </c>
      <c r="BO43" s="253">
        <f>BN43</f>
        <v>0.2515011034437078</v>
      </c>
      <c r="BP43"/>
      <c r="BQ43" s="250">
        <f>SUM(AC43,AW43)</f>
        <v>29.786144512826816</v>
      </c>
      <c r="BR43" s="252">
        <f>IFERROR(BQ43/$P43,0)</f>
        <v>0.41912484172340053</v>
      </c>
      <c r="BS43" s="251">
        <f>$BI43-BQ43</f>
        <v>4.8158841223098818</v>
      </c>
      <c r="BT43" s="252">
        <f>IFERROR(BS43/ABS(BQ43),"")</f>
        <v>0.16168202367500151</v>
      </c>
      <c r="BU43" s="253">
        <f>BT43</f>
        <v>0.16168202367500151</v>
      </c>
      <c r="BV43"/>
      <c r="BW43" s="250">
        <f>SUM(AI43,BC43)</f>
        <v>30.625870229917108</v>
      </c>
      <c r="BX43" s="252">
        <f>IFERROR(BW43/$P43,0)</f>
        <v>0.43094073512024411</v>
      </c>
      <c r="BY43" s="251">
        <f>$BI43-BW43</f>
        <v>3.9761584052195893</v>
      </c>
      <c r="BZ43" s="252">
        <f>IFERROR(BY43/ABS(BW43),"")</f>
        <v>0.12983005463581732</v>
      </c>
      <c r="CA43" s="253">
        <f>BZ43</f>
        <v>0.12983005463581732</v>
      </c>
    </row>
    <row r="44" spans="2:81" hidden="1" outlineLevel="1" x14ac:dyDescent="0.35">
      <c r="B44" s="255" t="s">
        <v>177</v>
      </c>
      <c r="C44" s="255" t="s">
        <v>178</v>
      </c>
      <c r="D44"/>
      <c r="E44" s="250">
        <v>0</v>
      </c>
      <c r="F44" s="250">
        <v>0</v>
      </c>
      <c r="G44" s="251">
        <f t="shared" si="0"/>
        <v>0</v>
      </c>
      <c r="H44" s="252">
        <f t="shared" si="1"/>
        <v>0</v>
      </c>
      <c r="I44" s="253">
        <f t="shared" si="2"/>
        <v>0</v>
      </c>
      <c r="J44"/>
      <c r="K44" s="250">
        <v>0</v>
      </c>
      <c r="L44" s="251">
        <f t="shared" si="3"/>
        <v>0</v>
      </c>
      <c r="M44" s="252">
        <f t="shared" si="4"/>
        <v>0</v>
      </c>
      <c r="N44" s="253">
        <f t="shared" si="5"/>
        <v>0</v>
      </c>
      <c r="O44"/>
      <c r="P44" s="250">
        <v>0</v>
      </c>
      <c r="Q44" s="251">
        <f t="shared" si="6"/>
        <v>0</v>
      </c>
      <c r="R44" s="252">
        <f t="shared" si="7"/>
        <v>0</v>
      </c>
      <c r="S44" s="253">
        <f t="shared" si="8"/>
        <v>0</v>
      </c>
      <c r="T44"/>
      <c r="U44" s="250">
        <v>-3.4571338208004616</v>
      </c>
      <c r="V44" s="252">
        <f t="shared" si="9"/>
        <v>0</v>
      </c>
      <c r="W44" s="250">
        <v>0</v>
      </c>
      <c r="X44" s="252">
        <f t="shared" si="10"/>
        <v>0</v>
      </c>
      <c r="Y44" s="251">
        <f t="shared" si="11"/>
        <v>-3.4571338208004616</v>
      </c>
      <c r="Z44" s="252">
        <f t="shared" si="12"/>
        <v>0</v>
      </c>
      <c r="AA44" s="253">
        <f t="shared" si="13"/>
        <v>0</v>
      </c>
      <c r="AB44"/>
      <c r="AC44" s="250">
        <v>0</v>
      </c>
      <c r="AD44" s="252">
        <f t="shared" si="14"/>
        <v>0</v>
      </c>
      <c r="AE44" s="251">
        <f t="shared" si="15"/>
        <v>-3.4571338208004616</v>
      </c>
      <c r="AF44" s="252">
        <f t="shared" si="16"/>
        <v>0</v>
      </c>
      <c r="AG44" s="253">
        <f t="shared" si="17"/>
        <v>0</v>
      </c>
      <c r="AH44"/>
      <c r="AI44" s="250">
        <v>-3.5777321011000005</v>
      </c>
      <c r="AJ44" s="252">
        <f t="shared" si="18"/>
        <v>0</v>
      </c>
      <c r="AK44" s="251">
        <f t="shared" si="19"/>
        <v>0.1205982802995389</v>
      </c>
      <c r="AL44" s="252">
        <f t="shared" si="20"/>
        <v>-3.3708024215245214E-2</v>
      </c>
      <c r="AM44" s="253">
        <f t="shared" si="21"/>
        <v>-3.3708024215245214E-2</v>
      </c>
      <c r="AN44"/>
      <c r="AO44" s="261">
        <v>-1.3894493090047852</v>
      </c>
      <c r="AP44" s="252">
        <f t="shared" si="22"/>
        <v>0</v>
      </c>
      <c r="AQ44" s="250">
        <v>0</v>
      </c>
      <c r="AR44" s="252">
        <f t="shared" si="23"/>
        <v>0</v>
      </c>
      <c r="AS44" s="251">
        <f t="shared" si="24"/>
        <v>-1.3894493090047852</v>
      </c>
      <c r="AT44" s="252">
        <f t="shared" si="25"/>
        <v>0</v>
      </c>
      <c r="AU44" s="253">
        <f t="shared" si="26"/>
        <v>0</v>
      </c>
      <c r="AV44"/>
      <c r="AW44" s="250">
        <v>0</v>
      </c>
      <c r="AX44" s="252">
        <f t="shared" si="27"/>
        <v>0</v>
      </c>
      <c r="AY44" s="251">
        <f t="shared" si="28"/>
        <v>-1.3894493090047852</v>
      </c>
      <c r="AZ44" s="252">
        <f t="shared" si="29"/>
        <v>0</v>
      </c>
      <c r="BA44" s="253">
        <f t="shared" si="30"/>
        <v>0</v>
      </c>
      <c r="BB44"/>
      <c r="BC44" s="250">
        <v>-1.3442672296762366</v>
      </c>
      <c r="BD44" s="252">
        <f t="shared" si="31"/>
        <v>0</v>
      </c>
      <c r="BE44" s="251">
        <f t="shared" si="32"/>
        <v>-4.5182079328548674E-2</v>
      </c>
      <c r="BF44" s="252">
        <f t="shared" si="33"/>
        <v>3.3610935631772199E-2</v>
      </c>
      <c r="BG44" s="253">
        <f t="shared" si="34"/>
        <v>3.3610935631772199E-2</v>
      </c>
      <c r="BH44"/>
      <c r="BI44" s="250">
        <f t="shared" ref="BI44:BI49" si="68">SUM(U44,AO44)</f>
        <v>-4.8465831298052464</v>
      </c>
      <c r="BJ44" s="252">
        <f t="shared" si="35"/>
        <v>0</v>
      </c>
      <c r="BK44" s="250">
        <f t="shared" ref="BK44:BK49" si="69">SUM(W44,AQ44)</f>
        <v>0</v>
      </c>
      <c r="BL44" s="252">
        <f t="shared" si="36"/>
        <v>0</v>
      </c>
      <c r="BM44" s="251">
        <f t="shared" si="37"/>
        <v>-4.8465831298052464</v>
      </c>
      <c r="BN44" s="252" t="str">
        <f>IFERROR(BM44/ABS(BK44),"")</f>
        <v/>
      </c>
      <c r="BO44" s="253" t="str">
        <f t="shared" si="39"/>
        <v/>
      </c>
      <c r="BP44"/>
      <c r="BQ44" s="250">
        <f t="shared" ref="BQ44:BQ45" si="70">SUM(AC44,AW44)</f>
        <v>0</v>
      </c>
      <c r="BR44" s="252">
        <f t="shared" si="40"/>
        <v>0</v>
      </c>
      <c r="BS44" s="251">
        <f t="shared" si="41"/>
        <v>-4.8465831298052464</v>
      </c>
      <c r="BT44" s="252" t="str">
        <f t="shared" si="42"/>
        <v/>
      </c>
      <c r="BU44" s="253" t="str">
        <f t="shared" si="43"/>
        <v/>
      </c>
      <c r="BV44"/>
      <c r="BW44" s="250">
        <f t="shared" ref="BW44:BW45" si="71">SUM(AI44,BC44)</f>
        <v>-4.9219993307762371</v>
      </c>
      <c r="BX44" s="252">
        <f t="shared" si="44"/>
        <v>0</v>
      </c>
      <c r="BY44" s="251">
        <f t="shared" si="45"/>
        <v>7.5416200970990666E-2</v>
      </c>
      <c r="BZ44" s="252">
        <f t="shared" si="46"/>
        <v>1.5322269651567985E-2</v>
      </c>
      <c r="CA44" s="253">
        <f t="shared" si="47"/>
        <v>1.5322269651567985E-2</v>
      </c>
    </row>
    <row r="45" spans="2:81" collapsed="1" x14ac:dyDescent="0.35">
      <c r="B45" s="239" t="s">
        <v>179</v>
      </c>
      <c r="C45" s="239" t="s">
        <v>180</v>
      </c>
      <c r="D45"/>
      <c r="E45" s="240">
        <v>0.44484279835200002</v>
      </c>
      <c r="F45" s="240">
        <v>0.47413837766670192</v>
      </c>
      <c r="G45" s="241">
        <f t="shared" si="0"/>
        <v>-2.9295579314701892E-2</v>
      </c>
      <c r="H45" s="242">
        <f t="shared" si="1"/>
        <v>-6.1786981806596919E-2</v>
      </c>
      <c r="I45" s="243">
        <f t="shared" si="2"/>
        <v>-6.1786981806596919E-2</v>
      </c>
      <c r="J45"/>
      <c r="K45" s="240">
        <v>0.43555565215243269</v>
      </c>
      <c r="L45" s="241">
        <f t="shared" si="3"/>
        <v>9.287146199567331E-3</v>
      </c>
      <c r="M45" s="242">
        <f t="shared" si="4"/>
        <v>2.1322524810944543E-2</v>
      </c>
      <c r="N45" s="243">
        <f t="shared" si="5"/>
        <v>2.1322524810944543E-2</v>
      </c>
      <c r="O45"/>
      <c r="P45" s="240">
        <v>0.45560011000000045</v>
      </c>
      <c r="Q45" s="241">
        <f t="shared" si="6"/>
        <v>-1.0757311648000423E-2</v>
      </c>
      <c r="R45" s="242">
        <f t="shared" si="7"/>
        <v>-2.3611301691741082E-2</v>
      </c>
      <c r="S45" s="243">
        <f t="shared" si="8"/>
        <v>-2.3611301691741082E-2</v>
      </c>
      <c r="T45"/>
      <c r="U45" s="240">
        <v>0.2193608116380005</v>
      </c>
      <c r="V45" s="242">
        <f t="shared" si="9"/>
        <v>0.49311984469718739</v>
      </c>
      <c r="W45" s="240">
        <v>0.18952586625884921</v>
      </c>
      <c r="X45" s="242">
        <f t="shared" si="10"/>
        <v>0.39972690502618924</v>
      </c>
      <c r="Y45" s="241">
        <f t="shared" si="11"/>
        <v>2.9834945379151295E-2</v>
      </c>
      <c r="Z45" s="242">
        <f t="shared" si="12"/>
        <v>0.15741885774263409</v>
      </c>
      <c r="AA45" s="243">
        <f t="shared" si="13"/>
        <v>0.15741885774263409</v>
      </c>
      <c r="AB45"/>
      <c r="AC45" s="240">
        <v>0.19891143725602339</v>
      </c>
      <c r="AD45" s="242">
        <f t="shared" si="14"/>
        <v>0.43659216249096866</v>
      </c>
      <c r="AE45" s="241">
        <f t="shared" si="15"/>
        <v>2.0449374381977109E-2</v>
      </c>
      <c r="AF45" s="242">
        <f t="shared" si="16"/>
        <v>0.10280642814749896</v>
      </c>
      <c r="AG45" s="243">
        <f t="shared" si="17"/>
        <v>0.10280642814749896</v>
      </c>
      <c r="AH45"/>
      <c r="AI45" s="240">
        <v>0.32727951000000022</v>
      </c>
      <c r="AJ45" s="242">
        <f t="shared" si="18"/>
        <v>0.71834818038125559</v>
      </c>
      <c r="AK45" s="241">
        <f t="shared" si="19"/>
        <v>-0.10791869836199972</v>
      </c>
      <c r="AL45" s="242">
        <f t="shared" si="20"/>
        <v>-0.3297447443685052</v>
      </c>
      <c r="AM45" s="243">
        <f t="shared" si="21"/>
        <v>-0.3297447443685052</v>
      </c>
      <c r="AN45"/>
      <c r="AO45" s="240">
        <v>0</v>
      </c>
      <c r="AP45" s="242">
        <f t="shared" si="22"/>
        <v>0</v>
      </c>
      <c r="AQ45" s="240">
        <v>0</v>
      </c>
      <c r="AR45" s="242">
        <f t="shared" si="23"/>
        <v>0</v>
      </c>
      <c r="AS45" s="241">
        <f t="shared" si="24"/>
        <v>0</v>
      </c>
      <c r="AT45" s="242">
        <f t="shared" si="25"/>
        <v>0</v>
      </c>
      <c r="AU45" s="243">
        <f t="shared" si="26"/>
        <v>0</v>
      </c>
      <c r="AV45"/>
      <c r="AW45" s="240">
        <v>0</v>
      </c>
      <c r="AX45" s="242">
        <f t="shared" si="27"/>
        <v>0</v>
      </c>
      <c r="AY45" s="241">
        <f t="shared" si="28"/>
        <v>0</v>
      </c>
      <c r="AZ45" s="242">
        <f t="shared" si="29"/>
        <v>0</v>
      </c>
      <c r="BA45" s="243">
        <f t="shared" si="30"/>
        <v>0</v>
      </c>
      <c r="BB45"/>
      <c r="BC45" s="240">
        <v>0</v>
      </c>
      <c r="BD45" s="242">
        <f t="shared" si="31"/>
        <v>0</v>
      </c>
      <c r="BE45" s="241">
        <f t="shared" si="32"/>
        <v>0</v>
      </c>
      <c r="BF45" s="242">
        <f t="shared" si="33"/>
        <v>0</v>
      </c>
      <c r="BG45" s="243">
        <f t="shared" si="34"/>
        <v>0</v>
      </c>
      <c r="BH45"/>
      <c r="BI45" s="240">
        <f t="shared" si="68"/>
        <v>0.2193608116380005</v>
      </c>
      <c r="BJ45" s="242">
        <f t="shared" si="35"/>
        <v>0.49311984469718739</v>
      </c>
      <c r="BK45" s="240">
        <f t="shared" si="69"/>
        <v>0.18952586625884921</v>
      </c>
      <c r="BL45" s="242">
        <f t="shared" si="36"/>
        <v>0.39972690502618924</v>
      </c>
      <c r="BM45" s="241">
        <f t="shared" si="37"/>
        <v>2.9834945379151295E-2</v>
      </c>
      <c r="BN45" s="242">
        <f t="shared" si="38"/>
        <v>0.15741885774263417</v>
      </c>
      <c r="BO45" s="243">
        <f t="shared" si="39"/>
        <v>0.15741885774263417</v>
      </c>
      <c r="BP45"/>
      <c r="BQ45" s="240">
        <f t="shared" si="70"/>
        <v>0.19891143725602339</v>
      </c>
      <c r="BR45" s="242">
        <f t="shared" si="40"/>
        <v>0.43659216249096866</v>
      </c>
      <c r="BS45" s="241">
        <f t="shared" si="41"/>
        <v>2.0449374381977109E-2</v>
      </c>
      <c r="BT45" s="242">
        <f t="shared" si="42"/>
        <v>0.10280642814749892</v>
      </c>
      <c r="BU45" s="243">
        <f t="shared" si="43"/>
        <v>0.10280642814749892</v>
      </c>
      <c r="BV45"/>
      <c r="BW45" s="240">
        <f t="shared" si="71"/>
        <v>0.32727951000000022</v>
      </c>
      <c r="BX45" s="242">
        <f t="shared" si="44"/>
        <v>0.71834818038125559</v>
      </c>
      <c r="BY45" s="241">
        <f t="shared" si="45"/>
        <v>-0.10791869836199972</v>
      </c>
      <c r="BZ45" s="242">
        <f t="shared" si="46"/>
        <v>-0.3297447443685052</v>
      </c>
      <c r="CA45" s="243">
        <f t="shared" si="47"/>
        <v>-0.3297447443685052</v>
      </c>
    </row>
    <row r="46" spans="2:81" x14ac:dyDescent="0.35">
      <c r="B46" s="239" t="s">
        <v>181</v>
      </c>
      <c r="C46" s="239" t="s">
        <v>182</v>
      </c>
      <c r="D46"/>
      <c r="E46" s="240">
        <f>SUM(E47:E49)</f>
        <v>0</v>
      </c>
      <c r="F46" s="240">
        <f>SUM(F47:F49)</f>
        <v>0</v>
      </c>
      <c r="G46" s="241">
        <f t="shared" si="0"/>
        <v>0</v>
      </c>
      <c r="H46" s="242">
        <f t="shared" si="1"/>
        <v>0</v>
      </c>
      <c r="I46" s="243">
        <f t="shared" si="2"/>
        <v>0</v>
      </c>
      <c r="J46"/>
      <c r="K46" s="240">
        <f>SUM(K47:K49)</f>
        <v>0</v>
      </c>
      <c r="L46" s="241">
        <f t="shared" si="3"/>
        <v>0</v>
      </c>
      <c r="M46" s="242">
        <f t="shared" si="4"/>
        <v>0</v>
      </c>
      <c r="N46" s="243">
        <f t="shared" si="5"/>
        <v>0</v>
      </c>
      <c r="O46"/>
      <c r="P46" s="240">
        <f>SUM(P47:P49)</f>
        <v>0</v>
      </c>
      <c r="Q46" s="241">
        <f t="shared" si="6"/>
        <v>0</v>
      </c>
      <c r="R46" s="242">
        <f t="shared" si="7"/>
        <v>0</v>
      </c>
      <c r="S46" s="243">
        <f t="shared" si="8"/>
        <v>0</v>
      </c>
      <c r="T46"/>
      <c r="U46" s="240">
        <f>SUM(U47:U49)</f>
        <v>-4.9718742300000009</v>
      </c>
      <c r="V46" s="242">
        <f t="shared" si="9"/>
        <v>0</v>
      </c>
      <c r="W46" s="240">
        <f>SUM(W47:W49)</f>
        <v>-5.4126687263315354</v>
      </c>
      <c r="X46" s="242">
        <f t="shared" si="10"/>
        <v>0</v>
      </c>
      <c r="Y46" s="241">
        <f t="shared" si="11"/>
        <v>0.44079449633153445</v>
      </c>
      <c r="Z46" s="242">
        <f t="shared" si="12"/>
        <v>-8.1437553010986763E-2</v>
      </c>
      <c r="AA46" s="243">
        <f t="shared" si="13"/>
        <v>-8.1437553010986763E-2</v>
      </c>
      <c r="AB46"/>
      <c r="AC46" s="240">
        <f>SUM(AC47:AC49)</f>
        <v>-5.1401953108739358</v>
      </c>
      <c r="AD46" s="242">
        <f t="shared" si="14"/>
        <v>0</v>
      </c>
      <c r="AE46" s="241">
        <f t="shared" si="15"/>
        <v>0.16832108087393483</v>
      </c>
      <c r="AF46" s="242">
        <f t="shared" si="16"/>
        <v>-3.274604770714773E-2</v>
      </c>
      <c r="AG46" s="243">
        <f t="shared" si="17"/>
        <v>-3.274604770714773E-2</v>
      </c>
      <c r="AH46"/>
      <c r="AI46" s="240">
        <f>SUM(AI47:AI49)</f>
        <v>-4.5544314000000004</v>
      </c>
      <c r="AJ46" s="242">
        <f t="shared" si="18"/>
        <v>0</v>
      </c>
      <c r="AK46" s="241">
        <f t="shared" si="19"/>
        <v>-0.4174428300000006</v>
      </c>
      <c r="AL46" s="242">
        <f t="shared" si="20"/>
        <v>9.1656409623383617E-2</v>
      </c>
      <c r="AM46" s="243">
        <f t="shared" si="21"/>
        <v>9.1656409623383617E-2</v>
      </c>
      <c r="AN46"/>
      <c r="AO46" s="240">
        <f>SUM(AO47:AO49)</f>
        <v>0</v>
      </c>
      <c r="AP46" s="242">
        <f t="shared" si="22"/>
        <v>0</v>
      </c>
      <c r="AQ46" s="240">
        <f>SUM(AQ47:AQ49)</f>
        <v>0</v>
      </c>
      <c r="AR46" s="242">
        <f t="shared" si="23"/>
        <v>0</v>
      </c>
      <c r="AS46" s="241">
        <f t="shared" si="24"/>
        <v>0</v>
      </c>
      <c r="AT46" s="242">
        <f t="shared" si="25"/>
        <v>0</v>
      </c>
      <c r="AU46" s="243">
        <f t="shared" si="26"/>
        <v>0</v>
      </c>
      <c r="AV46"/>
      <c r="AW46" s="240">
        <f>SUM(AW47:AW49)</f>
        <v>0</v>
      </c>
      <c r="AX46" s="242">
        <f t="shared" si="27"/>
        <v>0</v>
      </c>
      <c r="AY46" s="241">
        <f t="shared" si="28"/>
        <v>0</v>
      </c>
      <c r="AZ46" s="242">
        <f t="shared" si="29"/>
        <v>0</v>
      </c>
      <c r="BA46" s="243">
        <f t="shared" si="30"/>
        <v>0</v>
      </c>
      <c r="BB46"/>
      <c r="BC46" s="240">
        <f>SUM(BC47:BC49)</f>
        <v>0</v>
      </c>
      <c r="BD46" s="242">
        <f t="shared" si="31"/>
        <v>0</v>
      </c>
      <c r="BE46" s="241">
        <f t="shared" si="32"/>
        <v>0</v>
      </c>
      <c r="BF46" s="242">
        <f t="shared" si="33"/>
        <v>0</v>
      </c>
      <c r="BG46" s="243">
        <f t="shared" si="34"/>
        <v>0</v>
      </c>
      <c r="BH46"/>
      <c r="BI46" s="240">
        <f>SUM(BI47:BI49)</f>
        <v>-4.9718742300000009</v>
      </c>
      <c r="BJ46" s="242">
        <f t="shared" si="35"/>
        <v>0</v>
      </c>
      <c r="BK46" s="240">
        <f>SUM(BK47:BK49)</f>
        <v>-5.4126687263315354</v>
      </c>
      <c r="BL46" s="242">
        <f t="shared" si="36"/>
        <v>0</v>
      </c>
      <c r="BM46" s="241">
        <f t="shared" si="37"/>
        <v>0.44079449633153445</v>
      </c>
      <c r="BN46" s="242">
        <f t="shared" si="38"/>
        <v>8.1437553010986735E-2</v>
      </c>
      <c r="BO46" s="243">
        <f t="shared" si="39"/>
        <v>8.1437553010986735E-2</v>
      </c>
      <c r="BP46"/>
      <c r="BQ46" s="240">
        <f>SUM(BQ47:BQ49)</f>
        <v>-5.1401953108739358</v>
      </c>
      <c r="BR46" s="242">
        <f t="shared" si="40"/>
        <v>0</v>
      </c>
      <c r="BS46" s="241">
        <f t="shared" si="41"/>
        <v>0.16832108087393483</v>
      </c>
      <c r="BT46" s="242">
        <f t="shared" si="42"/>
        <v>3.2746047707147702E-2</v>
      </c>
      <c r="BU46" s="243">
        <f t="shared" si="43"/>
        <v>3.2746047707147702E-2</v>
      </c>
      <c r="BV46"/>
      <c r="BW46" s="240">
        <f>SUM(BW47:BW49)</f>
        <v>-4.5544314000000004</v>
      </c>
      <c r="BX46" s="242">
        <f t="shared" si="44"/>
        <v>0</v>
      </c>
      <c r="BY46" s="241">
        <f t="shared" si="45"/>
        <v>-0.4174428300000006</v>
      </c>
      <c r="BZ46" s="242">
        <f t="shared" si="46"/>
        <v>-9.1656409623383631E-2</v>
      </c>
      <c r="CA46" s="243">
        <f t="shared" si="47"/>
        <v>-9.1656409623383631E-2</v>
      </c>
    </row>
    <row r="47" spans="2:81" hidden="1" outlineLevel="1" x14ac:dyDescent="0.35">
      <c r="B47" s="255" t="s">
        <v>183</v>
      </c>
      <c r="C47" s="255" t="s">
        <v>184</v>
      </c>
      <c r="D47"/>
      <c r="E47" s="250">
        <v>0</v>
      </c>
      <c r="F47" s="250">
        <v>0</v>
      </c>
      <c r="G47" s="251">
        <f t="shared" si="0"/>
        <v>0</v>
      </c>
      <c r="H47" s="252">
        <f t="shared" si="1"/>
        <v>0</v>
      </c>
      <c r="I47" s="253">
        <f t="shared" si="2"/>
        <v>0</v>
      </c>
      <c r="J47"/>
      <c r="K47" s="250">
        <v>0</v>
      </c>
      <c r="L47" s="251">
        <f t="shared" si="3"/>
        <v>0</v>
      </c>
      <c r="M47" s="252">
        <f t="shared" si="4"/>
        <v>0</v>
      </c>
      <c r="N47" s="253">
        <f t="shared" si="5"/>
        <v>0</v>
      </c>
      <c r="O47"/>
      <c r="P47" s="250">
        <v>0</v>
      </c>
      <c r="Q47" s="251">
        <f t="shared" si="6"/>
        <v>0</v>
      </c>
      <c r="R47" s="252">
        <f t="shared" si="7"/>
        <v>0</v>
      </c>
      <c r="S47" s="253">
        <f t="shared" si="8"/>
        <v>0</v>
      </c>
      <c r="T47"/>
      <c r="U47" s="250">
        <v>-1.4843395700000006</v>
      </c>
      <c r="V47" s="252">
        <f t="shared" si="9"/>
        <v>0</v>
      </c>
      <c r="W47" s="250">
        <v>-1.9554945779768542</v>
      </c>
      <c r="X47" s="252">
        <f t="shared" si="10"/>
        <v>0</v>
      </c>
      <c r="Y47" s="251">
        <f t="shared" si="11"/>
        <v>0.47115500797685361</v>
      </c>
      <c r="Z47" s="252">
        <f t="shared" si="12"/>
        <v>-0.2409390510631374</v>
      </c>
      <c r="AA47" s="253">
        <f t="shared" si="13"/>
        <v>-0.2409390510631374</v>
      </c>
      <c r="AB47"/>
      <c r="AC47" s="250">
        <v>-1.5812861400894094</v>
      </c>
      <c r="AD47" s="252">
        <f t="shared" si="14"/>
        <v>0</v>
      </c>
      <c r="AE47" s="251">
        <f t="shared" si="15"/>
        <v>9.6946570089408768E-2</v>
      </c>
      <c r="AF47" s="252">
        <f t="shared" si="16"/>
        <v>-6.1308682617003951E-2</v>
      </c>
      <c r="AG47" s="253">
        <f t="shared" si="17"/>
        <v>-6.1308682617003951E-2</v>
      </c>
      <c r="AH47"/>
      <c r="AI47" s="250">
        <v>-1.7064882100000001</v>
      </c>
      <c r="AJ47" s="252">
        <f t="shared" si="18"/>
        <v>0</v>
      </c>
      <c r="AK47" s="251">
        <f t="shared" si="19"/>
        <v>0.22214863999999945</v>
      </c>
      <c r="AL47" s="252">
        <f t="shared" si="20"/>
        <v>-0.13017883082825366</v>
      </c>
      <c r="AM47" s="253">
        <f t="shared" si="21"/>
        <v>-0.13017883082825366</v>
      </c>
      <c r="AN47"/>
      <c r="AO47" s="250">
        <v>0</v>
      </c>
      <c r="AP47" s="252">
        <f t="shared" si="22"/>
        <v>0</v>
      </c>
      <c r="AQ47" s="250">
        <v>0</v>
      </c>
      <c r="AR47" s="252">
        <f t="shared" si="23"/>
        <v>0</v>
      </c>
      <c r="AS47" s="251">
        <f t="shared" si="24"/>
        <v>0</v>
      </c>
      <c r="AT47" s="252">
        <f t="shared" si="25"/>
        <v>0</v>
      </c>
      <c r="AU47" s="253">
        <f t="shared" si="26"/>
        <v>0</v>
      </c>
      <c r="AV47"/>
      <c r="AW47" s="250">
        <v>0</v>
      </c>
      <c r="AX47" s="252">
        <f t="shared" si="27"/>
        <v>0</v>
      </c>
      <c r="AY47" s="251">
        <f t="shared" si="28"/>
        <v>0</v>
      </c>
      <c r="AZ47" s="252">
        <f t="shared" si="29"/>
        <v>0</v>
      </c>
      <c r="BA47" s="253">
        <f t="shared" si="30"/>
        <v>0</v>
      </c>
      <c r="BB47"/>
      <c r="BC47" s="250">
        <v>0</v>
      </c>
      <c r="BD47" s="252">
        <f t="shared" si="31"/>
        <v>0</v>
      </c>
      <c r="BE47" s="251">
        <f t="shared" si="32"/>
        <v>0</v>
      </c>
      <c r="BF47" s="252">
        <f t="shared" si="33"/>
        <v>0</v>
      </c>
      <c r="BG47" s="253">
        <f t="shared" si="34"/>
        <v>0</v>
      </c>
      <c r="BH47"/>
      <c r="BI47" s="250">
        <f t="shared" si="68"/>
        <v>-1.4843395700000006</v>
      </c>
      <c r="BJ47" s="252">
        <f t="shared" si="35"/>
        <v>0</v>
      </c>
      <c r="BK47" s="250">
        <f t="shared" si="69"/>
        <v>-1.9554945779768542</v>
      </c>
      <c r="BL47" s="252">
        <f t="shared" si="36"/>
        <v>0</v>
      </c>
      <c r="BM47" s="251">
        <f t="shared" si="37"/>
        <v>0.47115500797685361</v>
      </c>
      <c r="BN47" s="252">
        <f t="shared" si="38"/>
        <v>0.2409390510631374</v>
      </c>
      <c r="BO47" s="253">
        <f t="shared" si="39"/>
        <v>0.2409390510631374</v>
      </c>
      <c r="BP47"/>
      <c r="BQ47" s="250">
        <f t="shared" ref="BQ47:BQ49" si="72">SUM(AC47,AW47)</f>
        <v>-1.5812861400894094</v>
      </c>
      <c r="BR47" s="252">
        <f t="shared" si="40"/>
        <v>0</v>
      </c>
      <c r="BS47" s="251">
        <f t="shared" si="41"/>
        <v>9.6946570089408768E-2</v>
      </c>
      <c r="BT47" s="252">
        <f t="shared" ref="BT47:BT49" si="73">IFERROR($BI47/BQ47-1,0)</f>
        <v>-6.1308682617003951E-2</v>
      </c>
      <c r="BU47" s="253">
        <f t="shared" si="43"/>
        <v>-6.1308682617003951E-2</v>
      </c>
      <c r="BV47"/>
      <c r="BW47" s="250">
        <f t="shared" ref="BW47:BW49" si="74">SUM(AI47,BC47)</f>
        <v>-1.7064882100000001</v>
      </c>
      <c r="BX47" s="252">
        <f t="shared" si="44"/>
        <v>0</v>
      </c>
      <c r="BY47" s="251">
        <f t="shared" si="45"/>
        <v>0.22214863999999945</v>
      </c>
      <c r="BZ47" s="252">
        <f t="shared" ref="BZ47:BZ49" si="75">IFERROR($BI47/BW47-1,0)</f>
        <v>-0.13017883082825366</v>
      </c>
      <c r="CA47" s="253">
        <f t="shared" si="47"/>
        <v>-0.13017883082825366</v>
      </c>
    </row>
    <row r="48" spans="2:81" hidden="1" outlineLevel="1" x14ac:dyDescent="0.35">
      <c r="B48" s="255" t="s">
        <v>185</v>
      </c>
      <c r="C48" s="255" t="s">
        <v>186</v>
      </c>
      <c r="D48"/>
      <c r="E48" s="250">
        <v>0</v>
      </c>
      <c r="F48" s="250">
        <v>0</v>
      </c>
      <c r="G48" s="251">
        <f t="shared" si="0"/>
        <v>0</v>
      </c>
      <c r="H48" s="252">
        <f t="shared" si="1"/>
        <v>0</v>
      </c>
      <c r="I48" s="253">
        <f t="shared" si="2"/>
        <v>0</v>
      </c>
      <c r="J48"/>
      <c r="K48" s="250">
        <v>0</v>
      </c>
      <c r="L48" s="251">
        <f t="shared" si="3"/>
        <v>0</v>
      </c>
      <c r="M48" s="252">
        <f t="shared" si="4"/>
        <v>0</v>
      </c>
      <c r="N48" s="253">
        <f t="shared" si="5"/>
        <v>0</v>
      </c>
      <c r="O48"/>
      <c r="P48" s="250">
        <v>0</v>
      </c>
      <c r="Q48" s="251">
        <f t="shared" si="6"/>
        <v>0</v>
      </c>
      <c r="R48" s="252">
        <f t="shared" si="7"/>
        <v>0</v>
      </c>
      <c r="S48" s="253">
        <f t="shared" si="8"/>
        <v>0</v>
      </c>
      <c r="T48"/>
      <c r="U48" s="250">
        <v>-2.9771335300000001</v>
      </c>
      <c r="V48" s="252">
        <f t="shared" si="9"/>
        <v>0</v>
      </c>
      <c r="W48" s="250">
        <v>-2.4039936611315111</v>
      </c>
      <c r="X48" s="252">
        <f t="shared" si="10"/>
        <v>0</v>
      </c>
      <c r="Y48" s="251">
        <f t="shared" si="11"/>
        <v>-0.573139868868489</v>
      </c>
      <c r="Z48" s="252">
        <f t="shared" si="12"/>
        <v>0.2384115557936719</v>
      </c>
      <c r="AA48" s="253">
        <f t="shared" si="13"/>
        <v>0.2384115557936719</v>
      </c>
      <c r="AB48"/>
      <c r="AC48" s="250">
        <v>-2.9337552743198345</v>
      </c>
      <c r="AD48" s="252">
        <f t="shared" si="14"/>
        <v>0</v>
      </c>
      <c r="AE48" s="251">
        <f t="shared" si="15"/>
        <v>-4.3378255680165623E-2</v>
      </c>
      <c r="AF48" s="252">
        <f t="shared" si="16"/>
        <v>1.478591485113645E-2</v>
      </c>
      <c r="AG48" s="253">
        <f t="shared" si="17"/>
        <v>1.478591485113645E-2</v>
      </c>
      <c r="AH48"/>
      <c r="AI48" s="250">
        <v>-2.4109715000000005</v>
      </c>
      <c r="AJ48" s="252">
        <f t="shared" si="18"/>
        <v>0</v>
      </c>
      <c r="AK48" s="251">
        <f t="shared" si="19"/>
        <v>-0.56616202999999965</v>
      </c>
      <c r="AL48" s="252">
        <f t="shared" si="20"/>
        <v>0.23482734242192382</v>
      </c>
      <c r="AM48" s="253">
        <f t="shared" si="21"/>
        <v>0.23482734242192382</v>
      </c>
      <c r="AN48"/>
      <c r="AO48" s="250">
        <v>0</v>
      </c>
      <c r="AP48" s="252">
        <f t="shared" si="22"/>
        <v>0</v>
      </c>
      <c r="AQ48" s="250">
        <v>0</v>
      </c>
      <c r="AR48" s="252">
        <f t="shared" si="23"/>
        <v>0</v>
      </c>
      <c r="AS48" s="251">
        <f t="shared" si="24"/>
        <v>0</v>
      </c>
      <c r="AT48" s="252">
        <f t="shared" si="25"/>
        <v>0</v>
      </c>
      <c r="AU48" s="253">
        <f t="shared" si="26"/>
        <v>0</v>
      </c>
      <c r="AV48"/>
      <c r="AW48" s="250">
        <v>0</v>
      </c>
      <c r="AX48" s="252">
        <f t="shared" si="27"/>
        <v>0</v>
      </c>
      <c r="AY48" s="251">
        <f t="shared" si="28"/>
        <v>0</v>
      </c>
      <c r="AZ48" s="252">
        <f t="shared" si="29"/>
        <v>0</v>
      </c>
      <c r="BA48" s="253">
        <f t="shared" si="30"/>
        <v>0</v>
      </c>
      <c r="BB48"/>
      <c r="BC48" s="250">
        <v>0</v>
      </c>
      <c r="BD48" s="252">
        <f t="shared" si="31"/>
        <v>0</v>
      </c>
      <c r="BE48" s="251">
        <f t="shared" si="32"/>
        <v>0</v>
      </c>
      <c r="BF48" s="252">
        <f t="shared" si="33"/>
        <v>0</v>
      </c>
      <c r="BG48" s="253">
        <f t="shared" si="34"/>
        <v>0</v>
      </c>
      <c r="BH48"/>
      <c r="BI48" s="250">
        <f t="shared" si="68"/>
        <v>-2.9771335300000001</v>
      </c>
      <c r="BJ48" s="252">
        <f t="shared" si="35"/>
        <v>0</v>
      </c>
      <c r="BK48" s="250">
        <f t="shared" si="69"/>
        <v>-2.4039936611315111</v>
      </c>
      <c r="BL48" s="252">
        <f t="shared" si="36"/>
        <v>0</v>
      </c>
      <c r="BM48" s="251">
        <f t="shared" si="37"/>
        <v>-0.573139868868489</v>
      </c>
      <c r="BN48" s="252">
        <f t="shared" si="38"/>
        <v>-0.23841155579367196</v>
      </c>
      <c r="BO48" s="253">
        <f t="shared" si="39"/>
        <v>-0.23841155579367196</v>
      </c>
      <c r="BP48"/>
      <c r="BQ48" s="250">
        <f t="shared" si="72"/>
        <v>-2.9337552743198345</v>
      </c>
      <c r="BR48" s="252">
        <f t="shared" si="40"/>
        <v>0</v>
      </c>
      <c r="BS48" s="251">
        <f t="shared" si="41"/>
        <v>-4.3378255680165623E-2</v>
      </c>
      <c r="BT48" s="252">
        <f t="shared" si="73"/>
        <v>1.478591485113645E-2</v>
      </c>
      <c r="BU48" s="253">
        <f t="shared" si="43"/>
        <v>1.478591485113645E-2</v>
      </c>
      <c r="BV48"/>
      <c r="BW48" s="250">
        <f t="shared" si="74"/>
        <v>-2.4109715000000005</v>
      </c>
      <c r="BX48" s="252">
        <f t="shared" si="44"/>
        <v>0</v>
      </c>
      <c r="BY48" s="251">
        <f t="shared" si="45"/>
        <v>-0.56616202999999965</v>
      </c>
      <c r="BZ48" s="252">
        <f t="shared" si="75"/>
        <v>0.23482734242192382</v>
      </c>
      <c r="CA48" s="253">
        <f t="shared" si="47"/>
        <v>0.23482734242192382</v>
      </c>
    </row>
    <row r="49" spans="2:82" hidden="1" outlineLevel="1" x14ac:dyDescent="0.35">
      <c r="B49" s="255" t="s">
        <v>187</v>
      </c>
      <c r="C49" s="255" t="s">
        <v>188</v>
      </c>
      <c r="D49"/>
      <c r="E49" s="250">
        <v>0</v>
      </c>
      <c r="F49" s="250">
        <v>0</v>
      </c>
      <c r="G49" s="251">
        <f t="shared" si="0"/>
        <v>0</v>
      </c>
      <c r="H49" s="252">
        <f t="shared" si="1"/>
        <v>0</v>
      </c>
      <c r="I49" s="253">
        <f t="shared" si="2"/>
        <v>0</v>
      </c>
      <c r="J49"/>
      <c r="K49" s="250">
        <v>0</v>
      </c>
      <c r="L49" s="251">
        <f t="shared" si="3"/>
        <v>0</v>
      </c>
      <c r="M49" s="252">
        <f t="shared" si="4"/>
        <v>0</v>
      </c>
      <c r="N49" s="253">
        <f t="shared" si="5"/>
        <v>0</v>
      </c>
      <c r="O49"/>
      <c r="P49" s="250">
        <v>0</v>
      </c>
      <c r="Q49" s="251">
        <f t="shared" si="6"/>
        <v>0</v>
      </c>
      <c r="R49" s="252">
        <f t="shared" si="7"/>
        <v>0</v>
      </c>
      <c r="S49" s="253">
        <f t="shared" si="8"/>
        <v>0</v>
      </c>
      <c r="T49"/>
      <c r="U49" s="250">
        <v>-0.51040113000000009</v>
      </c>
      <c r="V49" s="252">
        <f t="shared" si="9"/>
        <v>0</v>
      </c>
      <c r="W49" s="250">
        <v>-1.0531804872231696</v>
      </c>
      <c r="X49" s="252">
        <f t="shared" si="10"/>
        <v>0</v>
      </c>
      <c r="Y49" s="251">
        <f t="shared" si="11"/>
        <v>0.5427793572231695</v>
      </c>
      <c r="Z49" s="252">
        <f t="shared" si="12"/>
        <v>-0.51537164219047504</v>
      </c>
      <c r="AA49" s="253">
        <f t="shared" si="13"/>
        <v>-0.51537164219047504</v>
      </c>
      <c r="AB49"/>
      <c r="AC49" s="250">
        <v>-0.62515389646469222</v>
      </c>
      <c r="AD49" s="252">
        <f t="shared" si="14"/>
        <v>0</v>
      </c>
      <c r="AE49" s="251">
        <f t="shared" si="15"/>
        <v>0.11475276646469212</v>
      </c>
      <c r="AF49" s="252">
        <f t="shared" si="16"/>
        <v>-0.18355922775756572</v>
      </c>
      <c r="AG49" s="253">
        <f t="shared" si="17"/>
        <v>-0.18355922775756572</v>
      </c>
      <c r="AH49"/>
      <c r="AI49" s="250">
        <v>-0.43697169000000008</v>
      </c>
      <c r="AJ49" s="252">
        <f t="shared" si="18"/>
        <v>0</v>
      </c>
      <c r="AK49" s="251">
        <f t="shared" si="19"/>
        <v>-7.3429440000000012E-2</v>
      </c>
      <c r="AL49" s="252">
        <f t="shared" si="20"/>
        <v>0.16804164132463595</v>
      </c>
      <c r="AM49" s="253">
        <f t="shared" si="21"/>
        <v>0.16804164132463595</v>
      </c>
      <c r="AN49"/>
      <c r="AO49" s="250">
        <v>0</v>
      </c>
      <c r="AP49" s="252">
        <f t="shared" si="22"/>
        <v>0</v>
      </c>
      <c r="AQ49" s="250">
        <v>0</v>
      </c>
      <c r="AR49" s="252">
        <f t="shared" si="23"/>
        <v>0</v>
      </c>
      <c r="AS49" s="251">
        <f t="shared" si="24"/>
        <v>0</v>
      </c>
      <c r="AT49" s="252">
        <f t="shared" si="25"/>
        <v>0</v>
      </c>
      <c r="AU49" s="253">
        <f t="shared" si="26"/>
        <v>0</v>
      </c>
      <c r="AV49"/>
      <c r="AW49" s="250">
        <v>0</v>
      </c>
      <c r="AX49" s="252">
        <f t="shared" si="27"/>
        <v>0</v>
      </c>
      <c r="AY49" s="251">
        <f t="shared" si="28"/>
        <v>0</v>
      </c>
      <c r="AZ49" s="252">
        <f t="shared" si="29"/>
        <v>0</v>
      </c>
      <c r="BA49" s="253">
        <f t="shared" si="30"/>
        <v>0</v>
      </c>
      <c r="BB49"/>
      <c r="BC49" s="250">
        <v>0</v>
      </c>
      <c r="BD49" s="252">
        <f t="shared" si="31"/>
        <v>0</v>
      </c>
      <c r="BE49" s="251">
        <f t="shared" si="32"/>
        <v>0</v>
      </c>
      <c r="BF49" s="252">
        <f t="shared" si="33"/>
        <v>0</v>
      </c>
      <c r="BG49" s="253">
        <f t="shared" si="34"/>
        <v>0</v>
      </c>
      <c r="BH49"/>
      <c r="BI49" s="250">
        <f t="shared" si="68"/>
        <v>-0.51040113000000009</v>
      </c>
      <c r="BJ49" s="252">
        <f t="shared" si="35"/>
        <v>0</v>
      </c>
      <c r="BK49" s="250">
        <f t="shared" si="69"/>
        <v>-1.0531804872231696</v>
      </c>
      <c r="BL49" s="252">
        <f t="shared" si="36"/>
        <v>0</v>
      </c>
      <c r="BM49" s="251">
        <f t="shared" si="37"/>
        <v>0.5427793572231695</v>
      </c>
      <c r="BN49" s="252">
        <f t="shared" si="38"/>
        <v>0.51537164219047504</v>
      </c>
      <c r="BO49" s="253">
        <f t="shared" si="39"/>
        <v>0.51537164219047504</v>
      </c>
      <c r="BP49"/>
      <c r="BQ49" s="250">
        <f t="shared" si="72"/>
        <v>-0.62515389646469222</v>
      </c>
      <c r="BR49" s="252">
        <f t="shared" si="40"/>
        <v>0</v>
      </c>
      <c r="BS49" s="251">
        <f t="shared" si="41"/>
        <v>0.11475276646469212</v>
      </c>
      <c r="BT49" s="252">
        <f t="shared" si="73"/>
        <v>-0.18355922775756572</v>
      </c>
      <c r="BU49" s="253">
        <f t="shared" si="43"/>
        <v>-0.18355922775756572</v>
      </c>
      <c r="BV49"/>
      <c r="BW49" s="250">
        <f t="shared" si="74"/>
        <v>-0.43697169000000008</v>
      </c>
      <c r="BX49" s="252">
        <f t="shared" si="44"/>
        <v>0</v>
      </c>
      <c r="BY49" s="251">
        <f t="shared" si="45"/>
        <v>-7.3429440000000012E-2</v>
      </c>
      <c r="BZ49" s="252">
        <f t="shared" si="75"/>
        <v>0.16804164132463595</v>
      </c>
      <c r="CA49" s="253">
        <f t="shared" si="47"/>
        <v>0.16804164132463595</v>
      </c>
    </row>
    <row r="50" spans="2:82" ht="7.5" customHeight="1" collapsed="1" x14ac:dyDescent="0.3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</row>
    <row r="51" spans="2:82" x14ac:dyDescent="0.35">
      <c r="B51" s="234">
        <v>2</v>
      </c>
      <c r="C51" s="234" t="s">
        <v>189</v>
      </c>
      <c r="D51"/>
      <c r="E51" s="235">
        <f>SUM(E80,E77,E59,E52,E83)</f>
        <v>298.24990736718894</v>
      </c>
      <c r="F51" s="235">
        <f>SUM(F80,F77,F59,F52,F83)</f>
        <v>296.78967407882959</v>
      </c>
      <c r="G51" s="236">
        <f t="shared" ref="G51" si="76">$E51-F51</f>
        <v>1.4602332883593476</v>
      </c>
      <c r="H51" s="237">
        <f t="shared" ref="H51" si="77">IFERROR($E51/F51-1,0)</f>
        <v>4.9200946525231881E-3</v>
      </c>
      <c r="I51" s="238">
        <f t="shared" ref="I51" si="78">H51</f>
        <v>4.9200946525231881E-3</v>
      </c>
      <c r="J51"/>
      <c r="K51" s="235">
        <f>SUM(K80,K77,K59,K52,K83)</f>
        <v>296.5471387602995</v>
      </c>
      <c r="L51" s="236">
        <f t="shared" ref="L51:L59" si="79">$E51-K51</f>
        <v>1.7027686068894354</v>
      </c>
      <c r="M51" s="237">
        <f t="shared" ref="M51:M65" si="80">IFERROR($E51/K51-1,0)</f>
        <v>5.7419829238878339E-3</v>
      </c>
      <c r="N51" s="238">
        <f t="shared" ref="N51:N65" si="81">M51</f>
        <v>5.7419829238878339E-3</v>
      </c>
      <c r="O51"/>
      <c r="P51" s="235">
        <f>SUM(P80,P77,P59,P52,P83)</f>
        <v>250.02401671203705</v>
      </c>
      <c r="Q51" s="236">
        <f t="shared" ref="Q51" si="82">$E51-P51</f>
        <v>48.225890655151886</v>
      </c>
      <c r="R51" s="237">
        <f t="shared" ref="R51" si="83">IFERROR($E51/P51-1,0)</f>
        <v>0.19288503276345503</v>
      </c>
      <c r="S51" s="238">
        <f t="shared" ref="S51" si="84">R51</f>
        <v>0.19288503276345503</v>
      </c>
      <c r="T51"/>
      <c r="U51" s="235">
        <f>SUM(U80,U77,U59,U52,U83)</f>
        <v>62.871667667414421</v>
      </c>
      <c r="V51" s="237">
        <f t="shared" ref="V51" si="85">IFERROR(U51/$E51,0)</f>
        <v>0.21080196879997776</v>
      </c>
      <c r="W51" s="235">
        <f>SUM(W80,W77,W59,W52,W83)</f>
        <v>50.450755598241102</v>
      </c>
      <c r="X51" s="237">
        <f t="shared" ref="X51" si="86">IFERROR(W51/$F51,0)</f>
        <v>0.16998824421647837</v>
      </c>
      <c r="Y51" s="236">
        <f t="shared" ref="Y51" si="87">$U51-W51</f>
        <v>12.420912069173319</v>
      </c>
      <c r="Z51" s="237">
        <f t="shared" ref="Z51" si="88">IFERROR($U51/W51-1,0)</f>
        <v>0.24619873224666544</v>
      </c>
      <c r="AA51" s="238">
        <f t="shared" ref="AA51" si="89">Z51</f>
        <v>0.24619873224666544</v>
      </c>
      <c r="AB51"/>
      <c r="AC51" s="235">
        <f>SUM(AC80,AC77,AC59,AC52,AC83)</f>
        <v>59.896932335670293</v>
      </c>
      <c r="AD51" s="237">
        <f t="shared" ref="AD51:AD65" si="90">IFERROR(AC51/$P51,0)</f>
        <v>0.23956471511557251</v>
      </c>
      <c r="AE51" s="236">
        <f t="shared" ref="AE51:AE65" si="91">$U51-AC51</f>
        <v>2.9747353317441281</v>
      </c>
      <c r="AF51" s="237">
        <f t="shared" ref="AF51:AF65" si="92">IFERROR($U51/AC51-1,0)</f>
        <v>4.9664235141013924E-2</v>
      </c>
      <c r="AG51" s="238">
        <f t="shared" ref="AG51:AG65" si="93">AF51</f>
        <v>4.9664235141013924E-2</v>
      </c>
      <c r="AH51"/>
      <c r="AI51" s="235">
        <f>SUM(AI80,AI77,AI59,AI52,AI83)</f>
        <v>53.88554915980702</v>
      </c>
      <c r="AJ51" s="237">
        <f t="shared" ref="AJ51" si="94">IFERROR(AI51/$P51,0)</f>
        <v>0.21552149216876723</v>
      </c>
      <c r="AK51" s="236">
        <f t="shared" ref="AK51" si="95">$U51-AI51</f>
        <v>8.9861185076074008</v>
      </c>
      <c r="AL51" s="237">
        <f t="shared" ref="AL51" si="96">IFERROR($U51/AI51-1,0)</f>
        <v>0.1667630496064445</v>
      </c>
      <c r="AM51" s="238">
        <f t="shared" ref="AM51" si="97">AL51</f>
        <v>0.1667630496064445</v>
      </c>
      <c r="AN51"/>
      <c r="AO51" s="235">
        <f>SUM(AO80,AO77,AO59,AO52,AO83)</f>
        <v>-7.9370785689752168</v>
      </c>
      <c r="AP51" s="237">
        <f t="shared" ref="AP51" si="98">IFERROR(AO51/$E51,0)</f>
        <v>-2.6612174464830666E-2</v>
      </c>
      <c r="AQ51" s="235">
        <f>SUM(AQ80,AQ77,AQ59,AQ52,AQ83)</f>
        <v>-0.47963641098484849</v>
      </c>
      <c r="AR51" s="237">
        <f t="shared" ref="AR51" si="99">IFERROR(AQ51/$F51,0)</f>
        <v>-1.6160818683248845E-3</v>
      </c>
      <c r="AS51" s="236">
        <f t="shared" ref="AS51" si="100">$AO51-AQ51</f>
        <v>-7.4574421579903687</v>
      </c>
      <c r="AT51" s="237">
        <f t="shared" ref="AT51" si="101">IFERROR($AO51/AQ51-1,0)</f>
        <v>15.548115170568121</v>
      </c>
      <c r="AU51" s="238">
        <f t="shared" ref="AU51" si="102">AT51</f>
        <v>15.548115170568121</v>
      </c>
      <c r="AV51"/>
      <c r="AW51" s="235">
        <f>SUM(AW80,AW77,AW59,AW52,AW83)</f>
        <v>-8.0943891297599553</v>
      </c>
      <c r="AX51" s="237">
        <f t="shared" ref="AX51:AX65" si="103">IFERROR(AW51/$P51,0)</f>
        <v>-3.2374446408012861E-2</v>
      </c>
      <c r="AY51" s="236">
        <f t="shared" ref="AY51:AY65" si="104">$AO51-AW51</f>
        <v>0.15731056078473848</v>
      </c>
      <c r="AZ51" s="237">
        <f t="shared" ref="AZ51:AZ65" si="105">IFERROR($AO51/AW51-1,0)</f>
        <v>-1.9434519179015952E-2</v>
      </c>
      <c r="BA51" s="238">
        <f t="shared" ref="BA51:BA65" si="106">AZ51</f>
        <v>-1.9434519179015952E-2</v>
      </c>
      <c r="BB51"/>
      <c r="BC51" s="235">
        <f>SUM(BC80,BC77,BC59,BC52,BC83)</f>
        <v>-8.7508344603237624</v>
      </c>
      <c r="BD51" s="237">
        <f t="shared" ref="BD51" si="107">IFERROR(BC51/$P51,0)</f>
        <v>-3.4999975503963117E-2</v>
      </c>
      <c r="BE51" s="236">
        <f t="shared" ref="BE51" si="108">$AO51-BC51</f>
        <v>0.81375589134854565</v>
      </c>
      <c r="BF51" s="237">
        <f t="shared" ref="BF51" si="109">IFERROR($AO51/BC51-1,0)</f>
        <v>-9.2991804957357038E-2</v>
      </c>
      <c r="BG51" s="238">
        <f t="shared" ref="BG51" si="110">BF51</f>
        <v>-9.2991804957357038E-2</v>
      </c>
      <c r="BH51"/>
      <c r="BI51" s="235">
        <f>SUM(BI80,BI77,BI59,BI52,BI83)</f>
        <v>54.934589098439204</v>
      </c>
      <c r="BJ51" s="237">
        <f t="shared" ref="BJ51" si="111">IFERROR(BI51/$E51,0)</f>
        <v>0.18418979433514709</v>
      </c>
      <c r="BK51" s="235">
        <f>SUM(BK80,BK77,BK59,BK52,BK83)</f>
        <v>49.971119187256257</v>
      </c>
      <c r="BL51" s="237">
        <f t="shared" ref="BL51" si="112">IFERROR(BK51/$F51,0)</f>
        <v>0.1683721623481535</v>
      </c>
      <c r="BM51" s="236">
        <f t="shared" ref="BM51" si="113">$BI51-BK51</f>
        <v>4.9634699111829477</v>
      </c>
      <c r="BN51" s="237">
        <f t="shared" ref="BN51:BN83" si="114">BM51/ABS(BK51)</f>
        <v>9.9326770981121887E-2</v>
      </c>
      <c r="BO51" s="238">
        <f t="shared" ref="BO51" si="115">BN51</f>
        <v>9.9326770981121887E-2</v>
      </c>
      <c r="BP51"/>
      <c r="BQ51" s="235">
        <f>SUM(BQ80,BQ77,BQ59,BQ52,BQ83)</f>
        <v>51.802543205910361</v>
      </c>
      <c r="BR51" s="237">
        <f t="shared" ref="BR51:BR65" si="116">IFERROR(BQ51/$P51,0)</f>
        <v>0.20719026870755972</v>
      </c>
      <c r="BS51" s="236">
        <f t="shared" ref="BS51:BS65" si="117">$BI51-BQ51</f>
        <v>3.1320458925288435</v>
      </c>
      <c r="BT51" s="237">
        <f t="shared" ref="BT51:BT65" si="118">IFERROR(BS51/ABS(BQ51),"")</f>
        <v>6.0461237975889488E-2</v>
      </c>
      <c r="BU51" s="238">
        <f t="shared" ref="BU51:BU65" si="119">BT51</f>
        <v>6.0461237975889488E-2</v>
      </c>
      <c r="BV51"/>
      <c r="BW51" s="235">
        <f>SUM(BW80,BW77,BW59,BW52,BW83)</f>
        <v>45.134714699483247</v>
      </c>
      <c r="BX51" s="237">
        <f t="shared" ref="BX51" si="120">IFERROR(BW51/$P51,0)</f>
        <v>0.18052151666480407</v>
      </c>
      <c r="BY51" s="236">
        <f t="shared" ref="BY51" si="121">$BI51-BW51</f>
        <v>9.7998743989559571</v>
      </c>
      <c r="BZ51" s="237">
        <f t="shared" ref="BZ51:BZ83" si="122">IFERROR(BY51/ABS(BW51),"")</f>
        <v>0.2171249882536237</v>
      </c>
      <c r="CA51" s="238">
        <f t="shared" ref="CA51" si="123">BZ51</f>
        <v>0.2171249882536237</v>
      </c>
    </row>
    <row r="52" spans="2:82" x14ac:dyDescent="0.35">
      <c r="B52" s="239" t="s">
        <v>190</v>
      </c>
      <c r="C52" s="239" t="s">
        <v>191</v>
      </c>
      <c r="D52"/>
      <c r="E52" s="240">
        <f>SUM(E53:E58)</f>
        <v>182.27733381156074</v>
      </c>
      <c r="F52" s="240">
        <f>SUM(F53:F58)</f>
        <v>176.16088878505914</v>
      </c>
      <c r="G52" s="241">
        <f t="shared" si="0"/>
        <v>6.1164450265015944</v>
      </c>
      <c r="H52" s="242">
        <f t="shared" si="1"/>
        <v>3.4720788869114561E-2</v>
      </c>
      <c r="I52" s="243">
        <f t="shared" si="2"/>
        <v>3.4720788869114561E-2</v>
      </c>
      <c r="J52"/>
      <c r="K52" s="240">
        <f>SUM(K53:K58)</f>
        <v>180.65602162601365</v>
      </c>
      <c r="L52" s="241">
        <f t="shared" si="79"/>
        <v>1.6213121855470831</v>
      </c>
      <c r="M52" s="242">
        <f t="shared" si="80"/>
        <v>8.974581477851018E-3</v>
      </c>
      <c r="N52" s="243">
        <f t="shared" si="81"/>
        <v>8.974581477851018E-3</v>
      </c>
      <c r="O52"/>
      <c r="P52" s="240">
        <f>SUM(P53:P58)</f>
        <v>143.95767435999971</v>
      </c>
      <c r="Q52" s="241">
        <f t="shared" si="6"/>
        <v>38.319659451561023</v>
      </c>
      <c r="R52" s="242">
        <f t="shared" si="7"/>
        <v>0.26618698601460999</v>
      </c>
      <c r="S52" s="243">
        <f t="shared" si="8"/>
        <v>0.26618698601460999</v>
      </c>
      <c r="T52"/>
      <c r="U52" s="240">
        <f>SUM(U53:U58)</f>
        <v>59.366278206457707</v>
      </c>
      <c r="V52" s="242">
        <f t="shared" si="9"/>
        <v>0.32569204829290993</v>
      </c>
      <c r="W52" s="240">
        <f>SUM(W53:W58)</f>
        <v>56.151489664452811</v>
      </c>
      <c r="X52" s="242">
        <f t="shared" si="10"/>
        <v>0.31875117145307696</v>
      </c>
      <c r="Y52" s="241">
        <f t="shared" si="11"/>
        <v>3.2147885420048965</v>
      </c>
      <c r="Z52" s="242">
        <f t="shared" si="12"/>
        <v>5.725206154308049E-2</v>
      </c>
      <c r="AA52" s="243">
        <f t="shared" si="13"/>
        <v>5.725206154308049E-2</v>
      </c>
      <c r="AB52"/>
      <c r="AC52" s="240">
        <f>SUM(AC53:AC58)</f>
        <v>57.120705093705659</v>
      </c>
      <c r="AD52" s="242">
        <f t="shared" si="90"/>
        <v>0.3967881903319862</v>
      </c>
      <c r="AE52" s="241">
        <f t="shared" si="91"/>
        <v>2.245573112752048</v>
      </c>
      <c r="AF52" s="242">
        <f t="shared" si="92"/>
        <v>3.9312769495198241E-2</v>
      </c>
      <c r="AG52" s="243">
        <f t="shared" si="93"/>
        <v>3.9312769495198241E-2</v>
      </c>
      <c r="AH52"/>
      <c r="AI52" s="240">
        <f>SUM(AI53:AI58)</f>
        <v>43.260098659893991</v>
      </c>
      <c r="AJ52" s="242">
        <f t="shared" si="18"/>
        <v>0.30050567885468915</v>
      </c>
      <c r="AK52" s="241">
        <f t="shared" si="19"/>
        <v>16.106179546563716</v>
      </c>
      <c r="AL52" s="242">
        <f t="shared" si="20"/>
        <v>0.3723102823502249</v>
      </c>
      <c r="AM52" s="243">
        <f t="shared" si="21"/>
        <v>0.3723102823502249</v>
      </c>
      <c r="AN52"/>
      <c r="AO52" s="240">
        <f>SUM(AO53:AO58)</f>
        <v>-1.9899329909952157</v>
      </c>
      <c r="AP52" s="242">
        <f t="shared" si="22"/>
        <v>-1.0917062200681621E-2</v>
      </c>
      <c r="AQ52" s="240">
        <f>SUM(AQ53:AQ58)</f>
        <v>-0.31383641098484849</v>
      </c>
      <c r="AR52" s="242">
        <f t="shared" si="23"/>
        <v>-1.7815328541386545E-3</v>
      </c>
      <c r="AS52" s="241">
        <f t="shared" si="24"/>
        <v>-1.6760965800103671</v>
      </c>
      <c r="AT52" s="242">
        <f t="shared" si="25"/>
        <v>5.3406696015628548</v>
      </c>
      <c r="AU52" s="243">
        <f t="shared" si="26"/>
        <v>5.3406696015628548</v>
      </c>
      <c r="AV52"/>
      <c r="AW52" s="240">
        <f>SUM(AW53:AW58)</f>
        <v>-2.1439513447152154</v>
      </c>
      <c r="AX52" s="242">
        <f t="shared" si="103"/>
        <v>-1.4892928454468954E-2</v>
      </c>
      <c r="AY52" s="241">
        <f t="shared" si="104"/>
        <v>0.15401835371999972</v>
      </c>
      <c r="AZ52" s="242">
        <f t="shared" si="105"/>
        <v>-7.1838548994897167E-2</v>
      </c>
      <c r="BA52" s="243">
        <f t="shared" si="106"/>
        <v>-7.1838548994897167E-2</v>
      </c>
      <c r="BB52"/>
      <c r="BC52" s="240">
        <f>SUM(BC53:BC58)</f>
        <v>-2.6971990003237631</v>
      </c>
      <c r="BD52" s="242">
        <f t="shared" si="31"/>
        <v>-1.8736055665770125E-2</v>
      </c>
      <c r="BE52" s="241">
        <f t="shared" si="32"/>
        <v>0.70726600932854744</v>
      </c>
      <c r="BF52" s="242">
        <f t="shared" si="33"/>
        <v>-0.26222240525954865</v>
      </c>
      <c r="BG52" s="243">
        <f t="shared" si="34"/>
        <v>-0.26222240525954865</v>
      </c>
      <c r="BH52"/>
      <c r="BI52" s="240">
        <f>SUM(BI53:BI58)</f>
        <v>57.376345215462493</v>
      </c>
      <c r="BJ52" s="242">
        <f t="shared" si="35"/>
        <v>0.31477498609222831</v>
      </c>
      <c r="BK52" s="240">
        <f>SUM(BK53:BK58)</f>
        <v>55.837653253467963</v>
      </c>
      <c r="BL52" s="242">
        <f t="shared" si="36"/>
        <v>0.31696963859893834</v>
      </c>
      <c r="BM52" s="241">
        <f t="shared" si="37"/>
        <v>1.5386919619945303</v>
      </c>
      <c r="BN52" s="242">
        <f t="shared" si="114"/>
        <v>2.7556529910199357E-2</v>
      </c>
      <c r="BO52" s="243">
        <f t="shared" si="39"/>
        <v>2.7556529910199357E-2</v>
      </c>
      <c r="BP52"/>
      <c r="BQ52" s="240">
        <f>SUM(BQ53:BQ58)</f>
        <v>54.976753748990461</v>
      </c>
      <c r="BR52" s="242">
        <f t="shared" si="116"/>
        <v>0.38189526187751738</v>
      </c>
      <c r="BS52" s="241">
        <f t="shared" si="117"/>
        <v>2.3995914664720317</v>
      </c>
      <c r="BT52" s="242">
        <f t="shared" si="118"/>
        <v>4.3647383718361063E-2</v>
      </c>
      <c r="BU52" s="243">
        <f t="shared" si="119"/>
        <v>4.3647383718361063E-2</v>
      </c>
      <c r="BV52"/>
      <c r="BW52" s="240">
        <f>SUM(BW53:BW58)</f>
        <v>40.56289965957022</v>
      </c>
      <c r="BX52" s="242">
        <f t="shared" si="44"/>
        <v>0.28176962318891896</v>
      </c>
      <c r="BY52" s="241">
        <f t="shared" si="45"/>
        <v>16.813445555892272</v>
      </c>
      <c r="BZ52" s="242">
        <f t="shared" si="122"/>
        <v>0.41450304827814216</v>
      </c>
      <c r="CA52" s="243">
        <f t="shared" si="47"/>
        <v>0.41450304827814216</v>
      </c>
    </row>
    <row r="53" spans="2:82" outlineLevel="1" x14ac:dyDescent="0.35">
      <c r="B53" s="255" t="s">
        <v>192</v>
      </c>
      <c r="C53" s="255" t="s">
        <v>193</v>
      </c>
      <c r="D53"/>
      <c r="E53" s="250">
        <v>72.566961241810816</v>
      </c>
      <c r="F53" s="250">
        <v>73.446559866722154</v>
      </c>
      <c r="G53" s="251">
        <f t="shared" si="0"/>
        <v>-0.87959862491133833</v>
      </c>
      <c r="H53" s="252">
        <f t="shared" si="1"/>
        <v>-1.1976035725941081E-2</v>
      </c>
      <c r="I53" s="253">
        <f t="shared" si="2"/>
        <v>-1.1976035725941081E-2</v>
      </c>
      <c r="J53"/>
      <c r="K53" s="250">
        <v>72.996454240265905</v>
      </c>
      <c r="L53" s="251">
        <f t="shared" si="79"/>
        <v>-0.42949299845508904</v>
      </c>
      <c r="M53" s="252">
        <f t="shared" si="80"/>
        <v>-5.8837515181412448E-3</v>
      </c>
      <c r="N53" s="253">
        <f t="shared" si="81"/>
        <v>-5.8837515181412448E-3</v>
      </c>
      <c r="O53"/>
      <c r="P53" s="250">
        <v>58.182300849999756</v>
      </c>
      <c r="Q53" s="251">
        <f t="shared" si="6"/>
        <v>14.38466039181106</v>
      </c>
      <c r="R53" s="252">
        <f t="shared" si="7"/>
        <v>0.24723429946327258</v>
      </c>
      <c r="S53" s="253">
        <f t="shared" si="8"/>
        <v>0.24723429946327258</v>
      </c>
      <c r="T53"/>
      <c r="U53" s="250">
        <v>25.040906954040096</v>
      </c>
      <c r="V53" s="252">
        <f t="shared" si="9"/>
        <v>0.34507310938097141</v>
      </c>
      <c r="W53" s="250">
        <v>24.135427454692</v>
      </c>
      <c r="X53" s="252">
        <f t="shared" si="10"/>
        <v>0.3286120888233392</v>
      </c>
      <c r="Y53" s="251">
        <f t="shared" si="11"/>
        <v>0.90547949934809679</v>
      </c>
      <c r="Z53" s="252">
        <f t="shared" si="12"/>
        <v>3.7516613329011905E-2</v>
      </c>
      <c r="AA53" s="253">
        <f t="shared" si="13"/>
        <v>3.7516613329011905E-2</v>
      </c>
      <c r="AB53"/>
      <c r="AC53" s="250">
        <v>26.206957734925329</v>
      </c>
      <c r="AD53" s="252">
        <f t="shared" si="90"/>
        <v>0.45042834937878601</v>
      </c>
      <c r="AE53" s="251">
        <f t="shared" si="91"/>
        <v>-1.1660507808852323</v>
      </c>
      <c r="AF53" s="252">
        <f t="shared" si="92"/>
        <v>-4.4493939078295464E-2</v>
      </c>
      <c r="AG53" s="253">
        <f t="shared" si="93"/>
        <v>-4.4493939078295464E-2</v>
      </c>
      <c r="AH53"/>
      <c r="AI53" s="250">
        <v>18.301553840394028</v>
      </c>
      <c r="AJ53" s="252">
        <f t="shared" si="18"/>
        <v>0.31455534712484828</v>
      </c>
      <c r="AK53" s="251">
        <f t="shared" si="19"/>
        <v>6.739353113646068</v>
      </c>
      <c r="AL53" s="252">
        <f t="shared" si="20"/>
        <v>0.36823939499450553</v>
      </c>
      <c r="AM53" s="253">
        <f t="shared" si="21"/>
        <v>0.36823939499450553</v>
      </c>
      <c r="AN53"/>
      <c r="AO53" s="250">
        <v>-0.82525539331796671</v>
      </c>
      <c r="AP53" s="252">
        <f t="shared" si="22"/>
        <v>-1.1372329489835112E-2</v>
      </c>
      <c r="AQ53" s="250">
        <v>-4.0000000000000001E-3</v>
      </c>
      <c r="AR53" s="252">
        <f t="shared" si="23"/>
        <v>-5.4461366294874721E-5</v>
      </c>
      <c r="AS53" s="251">
        <f t="shared" si="24"/>
        <v>-0.82125539331796671</v>
      </c>
      <c r="AT53" s="252">
        <f t="shared" si="25"/>
        <v>205.31384832949166</v>
      </c>
      <c r="AU53" s="253">
        <f t="shared" si="26"/>
        <v>205.31384832949166</v>
      </c>
      <c r="AV53"/>
      <c r="AW53" s="250">
        <v>-0.65945579393796694</v>
      </c>
      <c r="AX53" s="252">
        <f t="shared" si="103"/>
        <v>-1.1334302430529778E-2</v>
      </c>
      <c r="AY53" s="251">
        <f t="shared" si="104"/>
        <v>-0.16579959937999977</v>
      </c>
      <c r="AZ53" s="252">
        <f t="shared" si="105"/>
        <v>0.2514188227688785</v>
      </c>
      <c r="BA53" s="253">
        <f t="shared" si="106"/>
        <v>0.2514188227688785</v>
      </c>
      <c r="BB53"/>
      <c r="BC53" s="250">
        <v>-0.95364794576281631</v>
      </c>
      <c r="BD53" s="252">
        <f t="shared" si="31"/>
        <v>-1.6390688092954995E-2</v>
      </c>
      <c r="BE53" s="251">
        <f t="shared" si="32"/>
        <v>0.12839255244484959</v>
      </c>
      <c r="BF53" s="252">
        <f t="shared" si="33"/>
        <v>-0.13463307189546692</v>
      </c>
      <c r="BG53" s="253">
        <f t="shared" si="34"/>
        <v>-0.13463307189546692</v>
      </c>
      <c r="BH53"/>
      <c r="BI53" s="250">
        <f t="shared" ref="BI53:BI58" si="124">SUM(U53,AO53)</f>
        <v>24.215651560722129</v>
      </c>
      <c r="BJ53" s="252">
        <f t="shared" si="35"/>
        <v>0.33370077989113628</v>
      </c>
      <c r="BK53" s="250">
        <f t="shared" ref="BK53:BK58" si="125">SUM(W53,AQ53)</f>
        <v>24.131427454691998</v>
      </c>
      <c r="BL53" s="252">
        <f t="shared" si="36"/>
        <v>0.32855762745704431</v>
      </c>
      <c r="BM53" s="251">
        <f t="shared" si="37"/>
        <v>8.4224106030131196E-2</v>
      </c>
      <c r="BN53" s="252">
        <f t="shared" si="114"/>
        <v>3.4902247779691571E-3</v>
      </c>
      <c r="BO53" s="253">
        <f t="shared" si="39"/>
        <v>3.4902247779691571E-3</v>
      </c>
      <c r="BP53"/>
      <c r="BQ53" s="250">
        <f t="shared" ref="BQ53:BQ58" si="126">SUM(AC53,AW53)</f>
        <v>25.547501940987363</v>
      </c>
      <c r="BR53" s="252">
        <f t="shared" si="116"/>
        <v>0.43909404694825627</v>
      </c>
      <c r="BS53" s="251">
        <f t="shared" si="117"/>
        <v>-1.3318503802652337</v>
      </c>
      <c r="BT53" s="252">
        <f t="shared" si="118"/>
        <v>-5.2132313497487898E-2</v>
      </c>
      <c r="BU53" s="253">
        <f t="shared" si="119"/>
        <v>-5.2132313497487898E-2</v>
      </c>
      <c r="BV53"/>
      <c r="BW53" s="250">
        <f t="shared" ref="BW53:BW58" si="127">SUM(AI53,BC53)</f>
        <v>17.347905894631211</v>
      </c>
      <c r="BX53" s="252">
        <f t="shared" si="44"/>
        <v>0.29816465903189326</v>
      </c>
      <c r="BY53" s="251">
        <f t="shared" si="45"/>
        <v>6.8677456660909186</v>
      </c>
      <c r="BZ53" s="252">
        <f t="shared" si="122"/>
        <v>0.39588326728336315</v>
      </c>
      <c r="CA53" s="253">
        <f t="shared" si="47"/>
        <v>0.39588326728336315</v>
      </c>
    </row>
    <row r="54" spans="2:82" outlineLevel="1" x14ac:dyDescent="0.35">
      <c r="B54" s="255" t="s">
        <v>194</v>
      </c>
      <c r="C54" s="255" t="s">
        <v>195</v>
      </c>
      <c r="D54"/>
      <c r="E54" s="250">
        <v>74.243077748523902</v>
      </c>
      <c r="F54" s="250">
        <v>69.104125445526819</v>
      </c>
      <c r="G54" s="251">
        <f t="shared" si="0"/>
        <v>5.1389523029970832</v>
      </c>
      <c r="H54" s="252">
        <f t="shared" si="1"/>
        <v>7.4365347508058788E-2</v>
      </c>
      <c r="I54" s="253">
        <f t="shared" si="2"/>
        <v>7.4365347508058788E-2</v>
      </c>
      <c r="J54"/>
      <c r="K54" s="250">
        <v>73.535042329901202</v>
      </c>
      <c r="L54" s="251">
        <f t="shared" si="79"/>
        <v>0.70803541862269981</v>
      </c>
      <c r="M54" s="252">
        <f t="shared" si="80"/>
        <v>9.6285443808712401E-3</v>
      </c>
      <c r="N54" s="253">
        <f t="shared" si="81"/>
        <v>9.6285443808712401E-3</v>
      </c>
      <c r="O54"/>
      <c r="P54" s="250">
        <v>56.944892319999994</v>
      </c>
      <c r="Q54" s="251">
        <f t="shared" si="6"/>
        <v>17.298185428523908</v>
      </c>
      <c r="R54" s="252">
        <f t="shared" si="7"/>
        <v>0.30377062320738646</v>
      </c>
      <c r="S54" s="253">
        <f t="shared" si="8"/>
        <v>0.30377062320738646</v>
      </c>
      <c r="T54"/>
      <c r="U54" s="250">
        <v>25.571695990872779</v>
      </c>
      <c r="V54" s="252">
        <f t="shared" si="9"/>
        <v>0.34443205705303881</v>
      </c>
      <c r="W54" s="250">
        <v>26.180969845351168</v>
      </c>
      <c r="X54" s="252">
        <f t="shared" si="10"/>
        <v>0.3788626174856814</v>
      </c>
      <c r="Y54" s="251">
        <f t="shared" si="11"/>
        <v>-0.60927385447838844</v>
      </c>
      <c r="Z54" s="252">
        <f t="shared" si="12"/>
        <v>-2.3271630427647239E-2</v>
      </c>
      <c r="AA54" s="253">
        <f t="shared" si="13"/>
        <v>-2.3271630427647239E-2</v>
      </c>
      <c r="AB54"/>
      <c r="AC54" s="250">
        <v>25.563301005787324</v>
      </c>
      <c r="AD54" s="252">
        <f t="shared" si="90"/>
        <v>0.44891297470781355</v>
      </c>
      <c r="AE54" s="251">
        <f t="shared" si="91"/>
        <v>8.3949850854558861E-3</v>
      </c>
      <c r="AF54" s="252">
        <f t="shared" si="92"/>
        <v>3.28399884019559E-4</v>
      </c>
      <c r="AG54" s="253">
        <f t="shared" si="93"/>
        <v>3.28399884019559E-4</v>
      </c>
      <c r="AH54"/>
      <c r="AI54" s="250">
        <v>20.071889450999969</v>
      </c>
      <c r="AJ54" s="252">
        <f t="shared" si="18"/>
        <v>0.35247918879548723</v>
      </c>
      <c r="AK54" s="251">
        <f t="shared" si="19"/>
        <v>5.4998065398728109</v>
      </c>
      <c r="AL54" s="252">
        <f t="shared" si="20"/>
        <v>0.27400542202561873</v>
      </c>
      <c r="AM54" s="253">
        <f t="shared" si="21"/>
        <v>0.27400542202561873</v>
      </c>
      <c r="AN54"/>
      <c r="AO54" s="250">
        <v>-0.96378890495838709</v>
      </c>
      <c r="AP54" s="252">
        <f t="shared" si="22"/>
        <v>-1.2981532207257519E-2</v>
      </c>
      <c r="AQ54" s="250">
        <v>-0.13333333333333333</v>
      </c>
      <c r="AR54" s="252">
        <f t="shared" si="23"/>
        <v>-1.9294554771326483E-3</v>
      </c>
      <c r="AS54" s="251">
        <f t="shared" si="24"/>
        <v>-0.83045557162505379</v>
      </c>
      <c r="AT54" s="252">
        <f t="shared" si="25"/>
        <v>6.2284167871879035</v>
      </c>
      <c r="AU54" s="253">
        <f t="shared" si="26"/>
        <v>6.2284167871879035</v>
      </c>
      <c r="AV54"/>
      <c r="AW54" s="250">
        <v>-0.78153950010838713</v>
      </c>
      <c r="AX54" s="252">
        <f t="shared" si="103"/>
        <v>-1.372448815455741E-2</v>
      </c>
      <c r="AY54" s="251">
        <f t="shared" si="104"/>
        <v>-0.18224940484999996</v>
      </c>
      <c r="AZ54" s="252">
        <f t="shared" si="105"/>
        <v>0.23319282624195559</v>
      </c>
      <c r="BA54" s="253">
        <f t="shared" si="106"/>
        <v>0.23319282624195559</v>
      </c>
      <c r="BB54"/>
      <c r="BC54" s="250">
        <v>-0.93053476896055787</v>
      </c>
      <c r="BD54" s="252">
        <f t="shared" si="31"/>
        <v>-1.6340969857866226E-2</v>
      </c>
      <c r="BE54" s="251">
        <f t="shared" si="32"/>
        <v>-3.3254135997829226E-2</v>
      </c>
      <c r="BF54" s="252">
        <f t="shared" si="33"/>
        <v>3.5736586215876054E-2</v>
      </c>
      <c r="BG54" s="253">
        <f t="shared" si="34"/>
        <v>3.5736586215876054E-2</v>
      </c>
      <c r="BH54"/>
      <c r="BI54" s="250">
        <f t="shared" si="124"/>
        <v>24.607907085914391</v>
      </c>
      <c r="BJ54" s="252">
        <f t="shared" si="35"/>
        <v>0.33145052484578125</v>
      </c>
      <c r="BK54" s="250">
        <f t="shared" si="125"/>
        <v>26.047636512017835</v>
      </c>
      <c r="BL54" s="252">
        <f t="shared" si="36"/>
        <v>0.37693316200854871</v>
      </c>
      <c r="BM54" s="251">
        <f t="shared" si="37"/>
        <v>-1.4397294261034439</v>
      </c>
      <c r="BN54" s="252">
        <f t="shared" si="114"/>
        <v>-5.5272939079873247E-2</v>
      </c>
      <c r="BO54" s="253">
        <f t="shared" si="39"/>
        <v>-5.5272939079873247E-2</v>
      </c>
      <c r="BP54"/>
      <c r="BQ54" s="250">
        <f t="shared" si="126"/>
        <v>24.781761505678936</v>
      </c>
      <c r="BR54" s="252">
        <f t="shared" si="116"/>
        <v>0.43518848655325615</v>
      </c>
      <c r="BS54" s="251">
        <f t="shared" si="117"/>
        <v>-0.1738544197645453</v>
      </c>
      <c r="BT54" s="252">
        <f t="shared" si="118"/>
        <v>-7.0154181624540769E-3</v>
      </c>
      <c r="BU54" s="253">
        <f t="shared" si="119"/>
        <v>-7.0154181624540769E-3</v>
      </c>
      <c r="BV54"/>
      <c r="BW54" s="250">
        <f t="shared" si="127"/>
        <v>19.14135468203941</v>
      </c>
      <c r="BX54" s="252">
        <f t="shared" si="44"/>
        <v>0.33613821893762097</v>
      </c>
      <c r="BY54" s="251">
        <f t="shared" si="45"/>
        <v>5.4665524038749815</v>
      </c>
      <c r="BZ54" s="252">
        <f t="shared" si="122"/>
        <v>0.28558858527418235</v>
      </c>
      <c r="CA54" s="253">
        <f t="shared" si="47"/>
        <v>0.28558858527418235</v>
      </c>
    </row>
    <row r="55" spans="2:82" outlineLevel="1" x14ac:dyDescent="0.35">
      <c r="B55" s="255" t="s">
        <v>196</v>
      </c>
      <c r="C55" s="255" t="s">
        <v>197</v>
      </c>
      <c r="D55"/>
      <c r="E55" s="250">
        <v>24.87798695812327</v>
      </c>
      <c r="F55" s="250">
        <v>24.353285722813041</v>
      </c>
      <c r="G55" s="251">
        <f t="shared" si="0"/>
        <v>0.5247012353102285</v>
      </c>
      <c r="H55" s="252">
        <f t="shared" si="1"/>
        <v>2.1545398074096944E-2</v>
      </c>
      <c r="I55" s="253">
        <f t="shared" si="2"/>
        <v>2.1545398074096944E-2</v>
      </c>
      <c r="J55"/>
      <c r="K55" s="250">
        <v>24.102630451218552</v>
      </c>
      <c r="L55" s="251">
        <f t="shared" si="79"/>
        <v>0.77535650690471769</v>
      </c>
      <c r="M55" s="252">
        <f t="shared" si="80"/>
        <v>3.2168958009540338E-2</v>
      </c>
      <c r="N55" s="253">
        <f t="shared" si="81"/>
        <v>3.2168958009540338E-2</v>
      </c>
      <c r="O55"/>
      <c r="P55" s="250">
        <v>21.376889939999998</v>
      </c>
      <c r="Q55" s="251">
        <f t="shared" si="6"/>
        <v>3.5010970181232715</v>
      </c>
      <c r="R55" s="252">
        <f t="shared" si="7"/>
        <v>0.16377953144494084</v>
      </c>
      <c r="S55" s="253">
        <f t="shared" si="8"/>
        <v>0.16377953144494084</v>
      </c>
      <c r="T55"/>
      <c r="U55" s="250">
        <v>4.6453058869637607</v>
      </c>
      <c r="V55" s="252">
        <f t="shared" si="9"/>
        <v>0.18672354378122041</v>
      </c>
      <c r="W55" s="250">
        <v>4.1292650666102304</v>
      </c>
      <c r="X55" s="252">
        <f t="shared" si="10"/>
        <v>0.16955679466044798</v>
      </c>
      <c r="Y55" s="251">
        <f t="shared" si="11"/>
        <v>0.51604082035353027</v>
      </c>
      <c r="Z55" s="252">
        <f t="shared" si="12"/>
        <v>0.12497158986627022</v>
      </c>
      <c r="AA55" s="253">
        <f t="shared" si="13"/>
        <v>0.12497158986627022</v>
      </c>
      <c r="AB55"/>
      <c r="AC55" s="250">
        <v>3.6306641870159906</v>
      </c>
      <c r="AD55" s="252">
        <f t="shared" si="90"/>
        <v>0.1698406174708495</v>
      </c>
      <c r="AE55" s="251">
        <f t="shared" si="91"/>
        <v>1.0146416999477701</v>
      </c>
      <c r="AF55" s="252">
        <f t="shared" si="92"/>
        <v>0.27946448574790805</v>
      </c>
      <c r="AG55" s="253">
        <f t="shared" si="93"/>
        <v>0.27946448574790805</v>
      </c>
      <c r="AH55"/>
      <c r="AI55" s="250">
        <v>3.4274094572999956</v>
      </c>
      <c r="AJ55" s="252">
        <f t="shared" si="18"/>
        <v>0.16033246496192588</v>
      </c>
      <c r="AK55" s="251">
        <f t="shared" si="19"/>
        <v>1.2178964296637651</v>
      </c>
      <c r="AL55" s="252">
        <f t="shared" si="20"/>
        <v>0.35534021973061414</v>
      </c>
      <c r="AM55" s="253">
        <f t="shared" si="21"/>
        <v>0.35534021973061414</v>
      </c>
      <c r="AN55"/>
      <c r="AO55" s="250">
        <v>-0.18405181498848566</v>
      </c>
      <c r="AP55" s="252">
        <f t="shared" si="22"/>
        <v>-7.3981795753127952E-3</v>
      </c>
      <c r="AQ55" s="250">
        <v>-0.17650307765151513</v>
      </c>
      <c r="AR55" s="252">
        <f t="shared" si="23"/>
        <v>-7.2476083786170648E-3</v>
      </c>
      <c r="AS55" s="251">
        <f t="shared" si="24"/>
        <v>-7.5487373369705346E-3</v>
      </c>
      <c r="AT55" s="252">
        <f t="shared" si="25"/>
        <v>4.2768304311807226E-2</v>
      </c>
      <c r="AU55" s="253">
        <f t="shared" si="26"/>
        <v>4.2768304311807226E-2</v>
      </c>
      <c r="AV55"/>
      <c r="AW55" s="250">
        <v>-0.14833682083848573</v>
      </c>
      <c r="AX55" s="252">
        <f t="shared" si="103"/>
        <v>-6.9391207633492519E-3</v>
      </c>
      <c r="AY55" s="251">
        <f t="shared" si="104"/>
        <v>-3.5714994149999929E-2</v>
      </c>
      <c r="AZ55" s="252">
        <f t="shared" si="105"/>
        <v>0.2407695806618888</v>
      </c>
      <c r="BA55" s="253">
        <f t="shared" si="106"/>
        <v>0.2407695806618888</v>
      </c>
      <c r="BB55"/>
      <c r="BC55" s="250">
        <v>-0.76791718065102221</v>
      </c>
      <c r="BD55" s="252">
        <f t="shared" si="31"/>
        <v>-3.5922773743345675E-2</v>
      </c>
      <c r="BE55" s="251">
        <f t="shared" si="32"/>
        <v>0.58386536566253655</v>
      </c>
      <c r="BF55" s="252">
        <f t="shared" si="33"/>
        <v>-0.76032335305683507</v>
      </c>
      <c r="BG55" s="253">
        <f t="shared" si="34"/>
        <v>-0.76032335305683507</v>
      </c>
      <c r="BH55"/>
      <c r="BI55" s="250">
        <f t="shared" si="124"/>
        <v>4.4612540719752749</v>
      </c>
      <c r="BJ55" s="252">
        <f t="shared" si="35"/>
        <v>0.17932536420590761</v>
      </c>
      <c r="BK55" s="250">
        <f t="shared" si="125"/>
        <v>3.9527619889587151</v>
      </c>
      <c r="BL55" s="252">
        <f t="shared" si="36"/>
        <v>0.16230918628183091</v>
      </c>
      <c r="BM55" s="251">
        <f t="shared" si="37"/>
        <v>0.50849208301655979</v>
      </c>
      <c r="BN55" s="252">
        <f t="shared" si="114"/>
        <v>0.12864222142313025</v>
      </c>
      <c r="BO55" s="253">
        <f t="shared" si="39"/>
        <v>0.12864222142313025</v>
      </c>
      <c r="BP55"/>
      <c r="BQ55" s="250">
        <f t="shared" si="126"/>
        <v>3.4823273661775049</v>
      </c>
      <c r="BR55" s="252">
        <f t="shared" si="116"/>
        <v>0.16290149670750026</v>
      </c>
      <c r="BS55" s="251">
        <f t="shared" si="117"/>
        <v>0.97892670579776997</v>
      </c>
      <c r="BT55" s="252">
        <f t="shared" si="118"/>
        <v>0.28111277397573398</v>
      </c>
      <c r="BU55" s="253">
        <f t="shared" si="119"/>
        <v>0.28111277397573398</v>
      </c>
      <c r="BV55"/>
      <c r="BW55" s="250">
        <f t="shared" si="127"/>
        <v>2.6594922766489733</v>
      </c>
      <c r="BX55" s="252">
        <f t="shared" si="44"/>
        <v>0.1244096912185802</v>
      </c>
      <c r="BY55" s="251">
        <f t="shared" si="45"/>
        <v>1.8017617953263017</v>
      </c>
      <c r="BZ55" s="252">
        <f t="shared" si="122"/>
        <v>0.67748337197525788</v>
      </c>
      <c r="CA55" s="253">
        <f t="shared" si="47"/>
        <v>0.67748337197525788</v>
      </c>
    </row>
    <row r="56" spans="2:82" outlineLevel="1" x14ac:dyDescent="0.35">
      <c r="B56" s="255" t="s">
        <v>198</v>
      </c>
      <c r="C56" s="255" t="s">
        <v>199</v>
      </c>
      <c r="D56"/>
      <c r="E56" s="250">
        <v>5.6577784266470017</v>
      </c>
      <c r="F56" s="250">
        <v>4.440688577524786</v>
      </c>
      <c r="G56" s="251">
        <f t="shared" si="0"/>
        <v>1.2170898491222157</v>
      </c>
      <c r="H56" s="252">
        <f t="shared" si="1"/>
        <v>0.27407683017497586</v>
      </c>
      <c r="I56" s="253">
        <f t="shared" si="2"/>
        <v>0.27407683017497586</v>
      </c>
      <c r="J56"/>
      <c r="K56" s="250">
        <v>5.1109596325376634</v>
      </c>
      <c r="L56" s="251">
        <f t="shared" si="79"/>
        <v>0.54681879410933831</v>
      </c>
      <c r="M56" s="252">
        <f t="shared" si="80"/>
        <v>0.10698945666253201</v>
      </c>
      <c r="N56" s="253">
        <f t="shared" si="81"/>
        <v>0.10698945666253201</v>
      </c>
      <c r="O56"/>
      <c r="P56" s="250">
        <v>2.9746233399999999</v>
      </c>
      <c r="Q56" s="251">
        <f t="shared" si="6"/>
        <v>2.6831550866470018</v>
      </c>
      <c r="R56" s="252">
        <f t="shared" si="7"/>
        <v>0.90201507214926968</v>
      </c>
      <c r="S56" s="253">
        <f t="shared" si="8"/>
        <v>0.90201507214926968</v>
      </c>
      <c r="T56"/>
      <c r="U56" s="250">
        <v>3.1922871813719125</v>
      </c>
      <c r="V56" s="252">
        <f t="shared" si="9"/>
        <v>0.56422979845532306</v>
      </c>
      <c r="W56" s="250">
        <v>1.0668207105336984</v>
      </c>
      <c r="X56" s="252">
        <f t="shared" si="10"/>
        <v>0.2402376775379142</v>
      </c>
      <c r="Y56" s="251">
        <f t="shared" si="11"/>
        <v>2.1254664708382141</v>
      </c>
      <c r="Z56" s="252">
        <f t="shared" si="12"/>
        <v>1.9923370908077955</v>
      </c>
      <c r="AA56" s="253">
        <f t="shared" si="13"/>
        <v>1.9923370908077955</v>
      </c>
      <c r="AB56"/>
      <c r="AC56" s="250">
        <v>2.7994522236432475</v>
      </c>
      <c r="AD56" s="252">
        <f t="shared" si="90"/>
        <v>0.94111149670574679</v>
      </c>
      <c r="AE56" s="251">
        <f t="shared" si="91"/>
        <v>0.39283495772866495</v>
      </c>
      <c r="AF56" s="252">
        <f t="shared" si="92"/>
        <v>0.14032565171532885</v>
      </c>
      <c r="AG56" s="253">
        <f t="shared" si="93"/>
        <v>0.14032565171532885</v>
      </c>
      <c r="AH56"/>
      <c r="AI56" s="250">
        <v>0.8609252932</v>
      </c>
      <c r="AJ56" s="252">
        <f t="shared" si="18"/>
        <v>0.28942329659794841</v>
      </c>
      <c r="AK56" s="251">
        <f t="shared" si="19"/>
        <v>2.3313618881719123</v>
      </c>
      <c r="AL56" s="252">
        <f t="shared" si="20"/>
        <v>2.7079723485720821</v>
      </c>
      <c r="AM56" s="253">
        <f t="shared" si="21"/>
        <v>2.7079723485720821</v>
      </c>
      <c r="AN56"/>
      <c r="AO56" s="250">
        <v>0</v>
      </c>
      <c r="AP56" s="252">
        <f t="shared" si="22"/>
        <v>0</v>
      </c>
      <c r="AQ56" s="250">
        <v>0</v>
      </c>
      <c r="AR56" s="252">
        <f t="shared" si="23"/>
        <v>0</v>
      </c>
      <c r="AS56" s="251">
        <f t="shared" si="24"/>
        <v>0</v>
      </c>
      <c r="AT56" s="252">
        <f t="shared" si="25"/>
        <v>0</v>
      </c>
      <c r="AU56" s="253">
        <f t="shared" si="26"/>
        <v>0</v>
      </c>
      <c r="AV56"/>
      <c r="AW56" s="250">
        <v>0</v>
      </c>
      <c r="AX56" s="252">
        <f t="shared" si="103"/>
        <v>0</v>
      </c>
      <c r="AY56" s="251">
        <f t="shared" si="104"/>
        <v>0</v>
      </c>
      <c r="AZ56" s="252">
        <f t="shared" si="105"/>
        <v>0</v>
      </c>
      <c r="BA56" s="253">
        <f t="shared" si="106"/>
        <v>0</v>
      </c>
      <c r="BB56"/>
      <c r="BC56" s="250">
        <v>0</v>
      </c>
      <c r="BD56" s="252">
        <f t="shared" si="31"/>
        <v>0</v>
      </c>
      <c r="BE56" s="251">
        <f t="shared" si="32"/>
        <v>0</v>
      </c>
      <c r="BF56" s="252">
        <f t="shared" si="33"/>
        <v>0</v>
      </c>
      <c r="BG56" s="253">
        <f t="shared" si="34"/>
        <v>0</v>
      </c>
      <c r="BH56"/>
      <c r="BI56" s="250">
        <f t="shared" si="124"/>
        <v>3.1922871813719125</v>
      </c>
      <c r="BJ56" s="252">
        <f t="shared" si="35"/>
        <v>0.56422979845532306</v>
      </c>
      <c r="BK56" s="250">
        <f t="shared" si="125"/>
        <v>1.0668207105336984</v>
      </c>
      <c r="BL56" s="252">
        <f t="shared" si="36"/>
        <v>0.2402376775379142</v>
      </c>
      <c r="BM56" s="251">
        <f t="shared" si="37"/>
        <v>2.1254664708382141</v>
      </c>
      <c r="BN56" s="252">
        <f t="shared" si="114"/>
        <v>1.9923370908077955</v>
      </c>
      <c r="BO56" s="253">
        <f t="shared" si="39"/>
        <v>1.9923370908077955</v>
      </c>
      <c r="BP56"/>
      <c r="BQ56" s="250">
        <f t="shared" si="126"/>
        <v>2.7994522236432475</v>
      </c>
      <c r="BR56" s="252">
        <f t="shared" si="116"/>
        <v>0.94111149670574679</v>
      </c>
      <c r="BS56" s="251">
        <f t="shared" si="117"/>
        <v>0.39283495772866495</v>
      </c>
      <c r="BT56" s="252">
        <f t="shared" si="118"/>
        <v>0.14032565171532874</v>
      </c>
      <c r="BU56" s="253">
        <f t="shared" si="119"/>
        <v>0.14032565171532874</v>
      </c>
      <c r="BV56"/>
      <c r="BW56" s="250">
        <f t="shared" si="127"/>
        <v>0.8609252932</v>
      </c>
      <c r="BX56" s="252">
        <f t="shared" si="44"/>
        <v>0.28942329659794841</v>
      </c>
      <c r="BY56" s="251">
        <f t="shared" si="45"/>
        <v>2.3313618881719123</v>
      </c>
      <c r="BZ56" s="252">
        <f t="shared" si="122"/>
        <v>2.7079723485720821</v>
      </c>
      <c r="CA56" s="253">
        <f t="shared" si="47"/>
        <v>2.7079723485720821</v>
      </c>
    </row>
    <row r="57" spans="2:82" outlineLevel="1" x14ac:dyDescent="0.35">
      <c r="B57" s="255" t="s">
        <v>200</v>
      </c>
      <c r="C57" s="255" t="s">
        <v>201</v>
      </c>
      <c r="D57"/>
      <c r="E57" s="250">
        <v>4.9315294364557607</v>
      </c>
      <c r="F57" s="250">
        <v>4.8162291724723572</v>
      </c>
      <c r="G57" s="251">
        <f t="shared" si="0"/>
        <v>0.11530026398340354</v>
      </c>
      <c r="H57" s="252">
        <f t="shared" si="1"/>
        <v>2.3939945516383121E-2</v>
      </c>
      <c r="I57" s="253">
        <f t="shared" si="2"/>
        <v>2.3939945516383121E-2</v>
      </c>
      <c r="J57"/>
      <c r="K57" s="250">
        <v>4.9109349720903319</v>
      </c>
      <c r="L57" s="251">
        <f t="shared" si="79"/>
        <v>2.0594464365428777E-2</v>
      </c>
      <c r="M57" s="252">
        <f t="shared" si="80"/>
        <v>4.1935933752881294E-3</v>
      </c>
      <c r="N57" s="253">
        <f t="shared" si="81"/>
        <v>4.1935933752881294E-3</v>
      </c>
      <c r="O57"/>
      <c r="P57" s="250">
        <v>4.4789679099999988</v>
      </c>
      <c r="Q57" s="251">
        <f t="shared" si="6"/>
        <v>0.45256152645576186</v>
      </c>
      <c r="R57" s="252">
        <f t="shared" si="7"/>
        <v>0.10104147552505283</v>
      </c>
      <c r="S57" s="253">
        <f t="shared" si="8"/>
        <v>0.10104147552505283</v>
      </c>
      <c r="T57"/>
      <c r="U57" s="250">
        <v>0.91608219320915985</v>
      </c>
      <c r="V57" s="252">
        <f t="shared" si="9"/>
        <v>0.18576026058713718</v>
      </c>
      <c r="W57" s="250">
        <v>0.63900658726571546</v>
      </c>
      <c r="X57" s="252">
        <f t="shared" si="10"/>
        <v>0.13267777848239073</v>
      </c>
      <c r="Y57" s="251">
        <f t="shared" si="11"/>
        <v>0.27707560594344438</v>
      </c>
      <c r="Z57" s="252">
        <f t="shared" si="12"/>
        <v>0.43360367712176529</v>
      </c>
      <c r="AA57" s="253">
        <f t="shared" si="13"/>
        <v>0.43360367712176529</v>
      </c>
      <c r="AB57"/>
      <c r="AC57" s="250">
        <v>0.7273192123337765</v>
      </c>
      <c r="AD57" s="252">
        <f t="shared" si="90"/>
        <v>0.16238544837749835</v>
      </c>
      <c r="AE57" s="251">
        <f t="shared" si="91"/>
        <v>0.18876298087538335</v>
      </c>
      <c r="AF57" s="252">
        <f t="shared" si="92"/>
        <v>0.2595325101748549</v>
      </c>
      <c r="AG57" s="253">
        <f t="shared" si="93"/>
        <v>0.2595325101748549</v>
      </c>
      <c r="AH57"/>
      <c r="AI57" s="250">
        <v>0.59832061799999925</v>
      </c>
      <c r="AJ57" s="252">
        <f t="shared" si="18"/>
        <v>0.13358448419872679</v>
      </c>
      <c r="AK57" s="251">
        <f t="shared" si="19"/>
        <v>0.3177615752091606</v>
      </c>
      <c r="AL57" s="252">
        <f t="shared" si="20"/>
        <v>0.5310891278848775</v>
      </c>
      <c r="AM57" s="253">
        <f t="shared" si="21"/>
        <v>0.5310891278848775</v>
      </c>
      <c r="AN57"/>
      <c r="AO57" s="250">
        <v>-1.6836877730375992E-2</v>
      </c>
      <c r="AP57" s="252">
        <f t="shared" si="22"/>
        <v>-3.4141290135898455E-3</v>
      </c>
      <c r="AQ57" s="250">
        <v>0</v>
      </c>
      <c r="AR57" s="252">
        <f t="shared" si="23"/>
        <v>0</v>
      </c>
      <c r="AS57" s="251">
        <f t="shared" si="24"/>
        <v>-1.6836877730375992E-2</v>
      </c>
      <c r="AT57" s="252">
        <f t="shared" si="25"/>
        <v>0</v>
      </c>
      <c r="AU57" s="253">
        <f t="shared" si="26"/>
        <v>0</v>
      </c>
      <c r="AV57"/>
      <c r="AW57" s="250">
        <v>-1.5103489830375991E-2</v>
      </c>
      <c r="AX57" s="252">
        <f t="shared" si="103"/>
        <v>-3.372091547397578E-3</v>
      </c>
      <c r="AY57" s="251">
        <f t="shared" si="104"/>
        <v>-1.733387900000001E-3</v>
      </c>
      <c r="AZ57" s="252">
        <f t="shared" si="105"/>
        <v>0.11476737624663591</v>
      </c>
      <c r="BA57" s="253">
        <f t="shared" si="106"/>
        <v>0.11476737624663591</v>
      </c>
      <c r="BB57"/>
      <c r="BC57" s="250">
        <v>-4.5099104949366593E-2</v>
      </c>
      <c r="BD57" s="252">
        <f t="shared" si="31"/>
        <v>-1.0069084185371313E-2</v>
      </c>
      <c r="BE57" s="251">
        <f t="shared" si="32"/>
        <v>2.8262227218990601E-2</v>
      </c>
      <c r="BF57" s="252">
        <f t="shared" si="33"/>
        <v>-0.62666935964075132</v>
      </c>
      <c r="BG57" s="253">
        <f t="shared" si="34"/>
        <v>-0.62666935964075132</v>
      </c>
      <c r="BH57"/>
      <c r="BI57" s="250">
        <f t="shared" si="124"/>
        <v>0.89924531547878384</v>
      </c>
      <c r="BJ57" s="252">
        <f t="shared" si="35"/>
        <v>0.18234613157354732</v>
      </c>
      <c r="BK57" s="250">
        <f t="shared" si="125"/>
        <v>0.63900658726571546</v>
      </c>
      <c r="BL57" s="252">
        <f t="shared" si="36"/>
        <v>0.13267777848239073</v>
      </c>
      <c r="BM57" s="251">
        <f t="shared" si="37"/>
        <v>0.26023872821306837</v>
      </c>
      <c r="BN57" s="252">
        <f t="shared" si="114"/>
        <v>0.40725515730067802</v>
      </c>
      <c r="BO57" s="253">
        <f t="shared" si="39"/>
        <v>0.40725515730067802</v>
      </c>
      <c r="BP57"/>
      <c r="BQ57" s="250">
        <f t="shared" si="126"/>
        <v>0.71221572250340048</v>
      </c>
      <c r="BR57" s="252">
        <f t="shared" si="116"/>
        <v>0.15901335683010076</v>
      </c>
      <c r="BS57" s="251">
        <f t="shared" si="117"/>
        <v>0.18702959297538335</v>
      </c>
      <c r="BT57" s="252">
        <f t="shared" si="118"/>
        <v>0.26260244904168117</v>
      </c>
      <c r="BU57" s="253">
        <f t="shared" si="119"/>
        <v>0.26260244904168117</v>
      </c>
      <c r="BV57"/>
      <c r="BW57" s="250">
        <f t="shared" si="127"/>
        <v>0.55322151305063261</v>
      </c>
      <c r="BX57" s="252">
        <f t="shared" si="44"/>
        <v>0.12351540001335548</v>
      </c>
      <c r="BY57" s="251">
        <f t="shared" si="45"/>
        <v>0.34602380242815123</v>
      </c>
      <c r="BZ57" s="252">
        <f t="shared" si="122"/>
        <v>0.62547061939090209</v>
      </c>
      <c r="CA57" s="253">
        <f t="shared" si="47"/>
        <v>0.62547061939090209</v>
      </c>
    </row>
    <row r="58" spans="2:82" outlineLevel="1" x14ac:dyDescent="0.35">
      <c r="B58" s="255" t="s">
        <v>202</v>
      </c>
      <c r="C58" s="255" t="s">
        <v>203</v>
      </c>
      <c r="D58"/>
      <c r="E58" s="250">
        <v>0</v>
      </c>
      <c r="F58" s="250">
        <v>0</v>
      </c>
      <c r="G58" s="251">
        <f t="shared" si="0"/>
        <v>0</v>
      </c>
      <c r="H58" s="252">
        <f t="shared" si="1"/>
        <v>0</v>
      </c>
      <c r="I58" s="253">
        <f t="shared" si="2"/>
        <v>0</v>
      </c>
      <c r="J58"/>
      <c r="K58" s="250">
        <v>0</v>
      </c>
      <c r="L58" s="251">
        <f t="shared" si="79"/>
        <v>0</v>
      </c>
      <c r="M58" s="252">
        <f t="shared" si="80"/>
        <v>0</v>
      </c>
      <c r="N58" s="253">
        <f t="shared" si="81"/>
        <v>0</v>
      </c>
      <c r="O58"/>
      <c r="P58" s="250">
        <v>0</v>
      </c>
      <c r="Q58" s="251">
        <f t="shared" si="6"/>
        <v>0</v>
      </c>
      <c r="R58" s="252">
        <f t="shared" si="7"/>
        <v>0</v>
      </c>
      <c r="S58" s="253">
        <f t="shared" si="8"/>
        <v>0</v>
      </c>
      <c r="T58"/>
      <c r="U58" s="250">
        <v>0</v>
      </c>
      <c r="V58" s="252">
        <f t="shared" si="9"/>
        <v>0</v>
      </c>
      <c r="W58" s="250">
        <v>0</v>
      </c>
      <c r="X58" s="252">
        <f t="shared" si="10"/>
        <v>0</v>
      </c>
      <c r="Y58" s="251">
        <f t="shared" si="11"/>
        <v>0</v>
      </c>
      <c r="Z58" s="252">
        <f t="shared" si="12"/>
        <v>0</v>
      </c>
      <c r="AA58" s="253">
        <f t="shared" si="13"/>
        <v>0</v>
      </c>
      <c r="AB58"/>
      <c r="AC58" s="250">
        <v>-1.8069892700000001</v>
      </c>
      <c r="AD58" s="252">
        <f t="shared" si="90"/>
        <v>0</v>
      </c>
      <c r="AE58" s="251">
        <f t="shared" si="91"/>
        <v>1.8069892700000001</v>
      </c>
      <c r="AF58" s="252">
        <f t="shared" si="92"/>
        <v>-1</v>
      </c>
      <c r="AG58" s="253">
        <f t="shared" si="93"/>
        <v>-1</v>
      </c>
      <c r="AH58"/>
      <c r="AI58" s="250">
        <v>0</v>
      </c>
      <c r="AJ58" s="252">
        <f t="shared" si="18"/>
        <v>0</v>
      </c>
      <c r="AK58" s="251">
        <f t="shared" si="19"/>
        <v>0</v>
      </c>
      <c r="AL58" s="252">
        <f t="shared" si="20"/>
        <v>0</v>
      </c>
      <c r="AM58" s="253">
        <f t="shared" si="21"/>
        <v>0</v>
      </c>
      <c r="AN58"/>
      <c r="AO58" s="250">
        <v>0</v>
      </c>
      <c r="AP58" s="252">
        <f t="shared" si="22"/>
        <v>0</v>
      </c>
      <c r="AQ58" s="250">
        <v>0</v>
      </c>
      <c r="AR58" s="252">
        <f t="shared" si="23"/>
        <v>0</v>
      </c>
      <c r="AS58" s="251">
        <f t="shared" si="24"/>
        <v>0</v>
      </c>
      <c r="AT58" s="252">
        <f t="shared" si="25"/>
        <v>0</v>
      </c>
      <c r="AU58" s="253">
        <f t="shared" si="26"/>
        <v>0</v>
      </c>
      <c r="AV58"/>
      <c r="AW58" s="250">
        <v>-0.53951574000000002</v>
      </c>
      <c r="AX58" s="252">
        <f t="shared" si="103"/>
        <v>0</v>
      </c>
      <c r="AY58" s="251">
        <f t="shared" si="104"/>
        <v>0.53951574000000002</v>
      </c>
      <c r="AZ58" s="252">
        <f t="shared" si="105"/>
        <v>-1</v>
      </c>
      <c r="BA58" s="253">
        <f t="shared" si="106"/>
        <v>-1</v>
      </c>
      <c r="BB58"/>
      <c r="BC58" s="250">
        <v>0</v>
      </c>
      <c r="BD58" s="252">
        <f t="shared" si="31"/>
        <v>0</v>
      </c>
      <c r="BE58" s="251">
        <f t="shared" si="32"/>
        <v>0</v>
      </c>
      <c r="BF58" s="252">
        <f t="shared" si="33"/>
        <v>0</v>
      </c>
      <c r="BG58" s="253">
        <f t="shared" si="34"/>
        <v>0</v>
      </c>
      <c r="BH58"/>
      <c r="BI58" s="250">
        <f t="shared" si="124"/>
        <v>0</v>
      </c>
      <c r="BJ58" s="252">
        <f t="shared" si="35"/>
        <v>0</v>
      </c>
      <c r="BK58" s="250">
        <f t="shared" si="125"/>
        <v>0</v>
      </c>
      <c r="BL58" s="252">
        <f t="shared" si="36"/>
        <v>0</v>
      </c>
      <c r="BM58" s="251">
        <f t="shared" si="37"/>
        <v>0</v>
      </c>
      <c r="BN58" s="252" t="e">
        <f t="shared" si="114"/>
        <v>#DIV/0!</v>
      </c>
      <c r="BO58" s="253" t="e">
        <f t="shared" si="39"/>
        <v>#DIV/0!</v>
      </c>
      <c r="BP58"/>
      <c r="BQ58" s="250">
        <f t="shared" si="126"/>
        <v>-2.34650501</v>
      </c>
      <c r="BR58" s="252">
        <f t="shared" si="116"/>
        <v>0</v>
      </c>
      <c r="BS58" s="251">
        <f t="shared" si="117"/>
        <v>2.34650501</v>
      </c>
      <c r="BT58" s="252">
        <f t="shared" si="118"/>
        <v>1</v>
      </c>
      <c r="BU58" s="253">
        <f t="shared" si="119"/>
        <v>1</v>
      </c>
      <c r="BV58"/>
      <c r="BW58" s="250">
        <f t="shared" si="127"/>
        <v>0</v>
      </c>
      <c r="BX58" s="252">
        <f t="shared" si="44"/>
        <v>0</v>
      </c>
      <c r="BY58" s="251">
        <f t="shared" si="45"/>
        <v>0</v>
      </c>
      <c r="BZ58" s="252" t="str">
        <f t="shared" si="122"/>
        <v/>
      </c>
      <c r="CA58" s="253" t="str">
        <f t="shared" si="47"/>
        <v/>
      </c>
      <c r="CD58" s="272"/>
    </row>
    <row r="59" spans="2:82" ht="15" customHeight="1" x14ac:dyDescent="0.35">
      <c r="B59" s="239" t="s">
        <v>204</v>
      </c>
      <c r="C59" s="239" t="s">
        <v>205</v>
      </c>
      <c r="D59"/>
      <c r="E59" s="240">
        <f>SUM(E60,E68,E72:E76)</f>
        <v>90.553388665628177</v>
      </c>
      <c r="F59" s="240">
        <f>SUM(F60,F68,F72:F76)</f>
        <v>95.87521660730917</v>
      </c>
      <c r="G59" s="241">
        <f t="shared" si="0"/>
        <v>-5.3218279416809935</v>
      </c>
      <c r="H59" s="242">
        <f t="shared" si="1"/>
        <v>-5.5507858339224669E-2</v>
      </c>
      <c r="I59" s="243">
        <f t="shared" si="2"/>
        <v>-5.5507858339224669E-2</v>
      </c>
      <c r="J59"/>
      <c r="K59" s="240">
        <f>SUM(K60,K68,K72:K76)</f>
        <v>90.581697020598568</v>
      </c>
      <c r="L59" s="241">
        <f t="shared" si="79"/>
        <v>-2.8308354970391747E-2</v>
      </c>
      <c r="M59" s="242">
        <f t="shared" si="80"/>
        <v>-3.1251738377069405E-4</v>
      </c>
      <c r="N59" s="243">
        <f t="shared" si="81"/>
        <v>-3.1251738377069405E-4</v>
      </c>
      <c r="O59"/>
      <c r="P59" s="240">
        <f>SUM(P60,P68,P72:P76)</f>
        <v>82.108173522037305</v>
      </c>
      <c r="Q59" s="241">
        <f t="shared" si="6"/>
        <v>8.4452151435908718</v>
      </c>
      <c r="R59" s="242">
        <f t="shared" si="7"/>
        <v>0.10285474370373415</v>
      </c>
      <c r="S59" s="243">
        <f t="shared" si="8"/>
        <v>0.10285474370373415</v>
      </c>
      <c r="T59"/>
      <c r="U59" s="240">
        <f>SUM(U60,U68,U72:U76)</f>
        <v>0.47677702939495631</v>
      </c>
      <c r="V59" s="242">
        <f t="shared" si="9"/>
        <v>5.2651483994207394E-3</v>
      </c>
      <c r="W59" s="240">
        <f>SUM(W60,W68,W72:W76)</f>
        <v>-5.4290748745255719</v>
      </c>
      <c r="X59" s="242">
        <f t="shared" si="10"/>
        <v>-5.6626467888591756E-2</v>
      </c>
      <c r="Y59" s="241">
        <f t="shared" si="11"/>
        <v>5.9058519039205279</v>
      </c>
      <c r="Z59" s="242">
        <f t="shared" si="12"/>
        <v>-1.087819203163342</v>
      </c>
      <c r="AA59" s="243">
        <f t="shared" si="13"/>
        <v>-1.087819203163342</v>
      </c>
      <c r="AB59"/>
      <c r="AC59" s="240">
        <f>SUM(AC60,AC68,AC72:AC76)</f>
        <v>0.32979922650719234</v>
      </c>
      <c r="AD59" s="242">
        <f t="shared" si="90"/>
        <v>4.0166430741353214E-3</v>
      </c>
      <c r="AE59" s="241">
        <f t="shared" si="91"/>
        <v>0.14697780288776396</v>
      </c>
      <c r="AF59" s="242">
        <f t="shared" si="92"/>
        <v>0.44565842207807194</v>
      </c>
      <c r="AG59" s="243">
        <f t="shared" si="93"/>
        <v>0.44565842207807194</v>
      </c>
      <c r="AH59"/>
      <c r="AI59" s="240">
        <f>SUM(AI60,AI68,AI72:AI76)</f>
        <v>6.6543340799130171</v>
      </c>
      <c r="AJ59" s="242">
        <f t="shared" si="18"/>
        <v>8.1043503886090426E-2</v>
      </c>
      <c r="AK59" s="241">
        <f t="shared" si="19"/>
        <v>-6.177557050518061</v>
      </c>
      <c r="AL59" s="242">
        <f t="shared" si="20"/>
        <v>-0.92835090278467225</v>
      </c>
      <c r="AM59" s="243">
        <f t="shared" si="21"/>
        <v>-0.92835090278467225</v>
      </c>
      <c r="AN59"/>
      <c r="AO59" s="240">
        <f>SUM(AO60,AO68,AO72:AO76)</f>
        <v>-5.358522207980001</v>
      </c>
      <c r="AP59" s="242">
        <f t="shared" si="22"/>
        <v>-5.9175280869571294E-2</v>
      </c>
      <c r="AQ59" s="240">
        <f>SUM(AQ60,AQ68,AQ72:AQ76)</f>
        <v>-0.1658</v>
      </c>
      <c r="AR59" s="242">
        <f t="shared" si="23"/>
        <v>-1.7293311646855776E-3</v>
      </c>
      <c r="AS59" s="241">
        <f t="shared" si="24"/>
        <v>-5.1927222079800011</v>
      </c>
      <c r="AT59" s="242">
        <f t="shared" si="25"/>
        <v>31.319193051749103</v>
      </c>
      <c r="AU59" s="243">
        <f t="shared" si="26"/>
        <v>31.319193051749103</v>
      </c>
      <c r="AV59"/>
      <c r="AW59" s="240">
        <f>SUM(AW60,AW68,AW72:AW76)</f>
        <v>-5.3249642779800013</v>
      </c>
      <c r="AX59" s="242">
        <f t="shared" si="103"/>
        <v>-6.4853035326024086E-2</v>
      </c>
      <c r="AY59" s="241">
        <f t="shared" si="104"/>
        <v>-3.3557929999999736E-2</v>
      </c>
      <c r="AZ59" s="242">
        <f t="shared" si="105"/>
        <v>6.3020009615406547E-3</v>
      </c>
      <c r="BA59" s="243">
        <f t="shared" si="106"/>
        <v>6.3020009615406547E-3</v>
      </c>
      <c r="BB59"/>
      <c r="BC59" s="240">
        <f>SUM(BC60,BC68,BC72:BC76)</f>
        <v>-5.2732239700000001</v>
      </c>
      <c r="BD59" s="242">
        <f t="shared" si="31"/>
        <v>-6.4222887245015875E-2</v>
      </c>
      <c r="BE59" s="241">
        <f t="shared" si="32"/>
        <v>-8.5298237980000913E-2</v>
      </c>
      <c r="BF59" s="242">
        <f t="shared" si="33"/>
        <v>1.6175728257565636E-2</v>
      </c>
      <c r="BG59" s="243">
        <f t="shared" si="34"/>
        <v>1.6175728257565636E-2</v>
      </c>
      <c r="BH59"/>
      <c r="BI59" s="240">
        <f>SUM(BI60,BI68,BI72:BI76)</f>
        <v>-4.881745178585045</v>
      </c>
      <c r="BJ59" s="242">
        <f t="shared" si="35"/>
        <v>-5.3910132470150557E-2</v>
      </c>
      <c r="BK59" s="240">
        <f>SUM(BK60,BK68,BK72:BK76)</f>
        <v>-5.594874874525571</v>
      </c>
      <c r="BL59" s="242">
        <f t="shared" si="36"/>
        <v>-5.8355799053277327E-2</v>
      </c>
      <c r="BM59" s="241">
        <f t="shared" si="37"/>
        <v>0.713129695940526</v>
      </c>
      <c r="BN59" s="242">
        <f>BM59/ABS(BK59)</f>
        <v>0.12746124121336982</v>
      </c>
      <c r="BO59" s="243">
        <f t="shared" si="39"/>
        <v>0.12746124121336982</v>
      </c>
      <c r="BP59"/>
      <c r="BQ59" s="240">
        <f>SUM(BQ60,BQ68,BQ72:BQ76)</f>
        <v>-4.9951650514728083</v>
      </c>
      <c r="BR59" s="242">
        <f t="shared" si="116"/>
        <v>-6.0836392251888763E-2</v>
      </c>
      <c r="BS59" s="241">
        <f t="shared" si="117"/>
        <v>0.11341987288776334</v>
      </c>
      <c r="BT59" s="242">
        <f t="shared" si="118"/>
        <v>2.2705930979061813E-2</v>
      </c>
      <c r="BU59" s="243">
        <f t="shared" si="119"/>
        <v>2.2705930979061813E-2</v>
      </c>
      <c r="BV59"/>
      <c r="BW59" s="240">
        <f>SUM(BW60,BW68,BW72:BW76)</f>
        <v>1.3811101099130183</v>
      </c>
      <c r="BX59" s="242">
        <f t="shared" si="44"/>
        <v>1.6820616641074562E-2</v>
      </c>
      <c r="BY59" s="241">
        <f t="shared" si="45"/>
        <v>-6.2628552884980628</v>
      </c>
      <c r="BZ59" s="242">
        <f t="shared" si="122"/>
        <v>-4.5346531341317124</v>
      </c>
      <c r="CA59" s="243">
        <f t="shared" si="47"/>
        <v>-4.5346531341317124</v>
      </c>
    </row>
    <row r="60" spans="2:82" x14ac:dyDescent="0.35">
      <c r="B60" s="256" t="s">
        <v>206</v>
      </c>
      <c r="C60" s="256" t="s">
        <v>207</v>
      </c>
      <c r="D60"/>
      <c r="E60" s="257">
        <f>SUM(E61:E67)</f>
        <v>33.831299094942814</v>
      </c>
      <c r="F60" s="257">
        <f>SUM(F61:F67)</f>
        <v>35.701412150350279</v>
      </c>
      <c r="G60" s="258">
        <f t="shared" si="0"/>
        <v>-1.8701130554074652</v>
      </c>
      <c r="H60" s="259">
        <f t="shared" si="1"/>
        <v>-5.2382047173142876E-2</v>
      </c>
      <c r="I60" s="260">
        <f t="shared" si="2"/>
        <v>-5.2382047173142876E-2</v>
      </c>
      <c r="J60"/>
      <c r="K60" s="257">
        <f>SUM(K61:K67)</f>
        <v>33.935940306440486</v>
      </c>
      <c r="L60" s="262">
        <f>SUM(L61:L67)</f>
        <v>-0.10464121149767092</v>
      </c>
      <c r="M60" s="259">
        <f t="shared" si="80"/>
        <v>-3.0834923256218838E-3</v>
      </c>
      <c r="N60" s="260">
        <f t="shared" si="81"/>
        <v>-3.0834923256218838E-3</v>
      </c>
      <c r="O60"/>
      <c r="P60" s="257">
        <f>SUM(P61:P67)</f>
        <v>33.516376290043176</v>
      </c>
      <c r="Q60" s="262">
        <f>SUM(Q61:Q67)</f>
        <v>0.31492280489963687</v>
      </c>
      <c r="R60" s="259">
        <f t="shared" si="7"/>
        <v>9.3960875177665493E-3</v>
      </c>
      <c r="S60" s="260">
        <f t="shared" si="8"/>
        <v>9.3960875177665493E-3</v>
      </c>
      <c r="T60"/>
      <c r="U60" s="257">
        <f>SUM(U61:U67)</f>
        <v>2.2275146052165375</v>
      </c>
      <c r="V60" s="259">
        <f t="shared" si="9"/>
        <v>6.584182886283288E-2</v>
      </c>
      <c r="W60" s="257">
        <f>SUM(W61:W67)</f>
        <v>1.6453554383794309</v>
      </c>
      <c r="X60" s="259">
        <f t="shared" si="10"/>
        <v>4.6086564628040567E-2</v>
      </c>
      <c r="Y60" s="258">
        <f t="shared" si="11"/>
        <v>0.58215916683710667</v>
      </c>
      <c r="Z60" s="259">
        <f t="shared" si="12"/>
        <v>0.35381969953586201</v>
      </c>
      <c r="AA60" s="260">
        <f t="shared" si="13"/>
        <v>0.35381969953586201</v>
      </c>
      <c r="AB60"/>
      <c r="AC60" s="257">
        <f>SUM(AC61:AC67)</f>
        <v>1.6888962879892548</v>
      </c>
      <c r="AD60" s="259">
        <f t="shared" si="90"/>
        <v>5.0390181604775125E-2</v>
      </c>
      <c r="AE60" s="258">
        <f t="shared" si="91"/>
        <v>0.53861831722728271</v>
      </c>
      <c r="AF60" s="259">
        <f t="shared" si="92"/>
        <v>0.3189173432718857</v>
      </c>
      <c r="AG60" s="260">
        <f t="shared" si="93"/>
        <v>0.3189173432718857</v>
      </c>
      <c r="AH60"/>
      <c r="AI60" s="257">
        <f>SUM(AI61:AI67)</f>
        <v>8.6166741316391597</v>
      </c>
      <c r="AJ60" s="259">
        <f t="shared" si="18"/>
        <v>0.25708847690073655</v>
      </c>
      <c r="AK60" s="258">
        <f t="shared" si="19"/>
        <v>-6.3891595264226222</v>
      </c>
      <c r="AL60" s="259">
        <f t="shared" si="20"/>
        <v>-0.74148789066567677</v>
      </c>
      <c r="AM60" s="260">
        <f t="shared" si="21"/>
        <v>-0.74148789066567677</v>
      </c>
      <c r="AN60"/>
      <c r="AO60" s="257">
        <f>SUM(AO61:AO67)</f>
        <v>-3.0115318731460006</v>
      </c>
      <c r="AP60" s="259">
        <f t="shared" si="22"/>
        <v>-8.9016146400247798E-2</v>
      </c>
      <c r="AQ60" s="257">
        <f>SUM(AQ61:AQ67)</f>
        <v>-1.6299999999999999E-2</v>
      </c>
      <c r="AR60" s="259">
        <f t="shared" si="23"/>
        <v>-4.5656457317025411E-4</v>
      </c>
      <c r="AS60" s="258">
        <f t="shared" si="24"/>
        <v>-2.9952318731460004</v>
      </c>
      <c r="AT60" s="259">
        <f t="shared" si="25"/>
        <v>183.75655663472398</v>
      </c>
      <c r="AU60" s="260">
        <f t="shared" si="26"/>
        <v>183.75655663472398</v>
      </c>
      <c r="AV60"/>
      <c r="AW60" s="257">
        <f>SUM(AW61:AW67)</f>
        <v>-2.88355756636712</v>
      </c>
      <c r="AX60" s="259">
        <f t="shared" si="103"/>
        <v>-8.6034287878064802E-2</v>
      </c>
      <c r="AY60" s="257">
        <f t="shared" si="104"/>
        <v>-0.12797430677888055</v>
      </c>
      <c r="AZ60" s="259">
        <f t="shared" si="105"/>
        <v>4.4380701211424123E-2</v>
      </c>
      <c r="BA60" s="260">
        <f t="shared" si="106"/>
        <v>4.4380701211424123E-2</v>
      </c>
      <c r="BB60"/>
      <c r="BC60" s="257">
        <f>SUM(BC61:BC67)</f>
        <v>-2.2788100900000012</v>
      </c>
      <c r="BD60" s="259">
        <f t="shared" si="31"/>
        <v>-6.799094479306747E-2</v>
      </c>
      <c r="BE60" s="257">
        <f t="shared" si="32"/>
        <v>-0.73272178314599934</v>
      </c>
      <c r="BF60" s="259">
        <f t="shared" si="33"/>
        <v>0.32153701019728187</v>
      </c>
      <c r="BG60" s="260">
        <f t="shared" si="34"/>
        <v>0.32153701019728187</v>
      </c>
      <c r="BH60"/>
      <c r="BI60" s="257">
        <f>SUM(BI61:BI67)</f>
        <v>-0.78401726792946269</v>
      </c>
      <c r="BJ60" s="259">
        <f t="shared" si="35"/>
        <v>-2.3174317537414918E-2</v>
      </c>
      <c r="BK60" s="257">
        <f>SUM(BK61:BK67)</f>
        <v>1.6290554383794307</v>
      </c>
      <c r="BL60" s="259">
        <f t="shared" si="36"/>
        <v>4.5630000054870307E-2</v>
      </c>
      <c r="BM60" s="258">
        <f t="shared" si="37"/>
        <v>-2.4130727063088933</v>
      </c>
      <c r="BN60" s="259">
        <f t="shared" si="114"/>
        <v>-1.4812710786008583</v>
      </c>
      <c r="BO60" s="260">
        <f t="shared" si="39"/>
        <v>-1.4812710786008583</v>
      </c>
      <c r="BP60"/>
      <c r="BQ60" s="257">
        <f>SUM(BQ61:BQ67)</f>
        <v>-1.1946612783778647</v>
      </c>
      <c r="BR60" s="259">
        <f t="shared" si="116"/>
        <v>-3.5644106273289657E-2</v>
      </c>
      <c r="BS60" s="258">
        <f t="shared" si="117"/>
        <v>0.41064401044840204</v>
      </c>
      <c r="BT60" s="259">
        <f t="shared" si="118"/>
        <v>0.3437325858639888</v>
      </c>
      <c r="BU60" s="260">
        <f t="shared" si="119"/>
        <v>0.3437325858639888</v>
      </c>
      <c r="BV60"/>
      <c r="BW60" s="257">
        <f>SUM(BW61:BW67)</f>
        <v>6.3378640416391585</v>
      </c>
      <c r="BX60" s="259">
        <f t="shared" si="44"/>
        <v>0.18909753210766908</v>
      </c>
      <c r="BY60" s="258">
        <f t="shared" si="45"/>
        <v>-7.1218813095686215</v>
      </c>
      <c r="BZ60" s="259">
        <f t="shared" si="122"/>
        <v>-1.1237037056614887</v>
      </c>
      <c r="CA60" s="260">
        <f t="shared" si="47"/>
        <v>-1.1237037056614887</v>
      </c>
    </row>
    <row r="61" spans="2:82" hidden="1" outlineLevel="1" x14ac:dyDescent="0.35">
      <c r="B61" s="255" t="s">
        <v>208</v>
      </c>
      <c r="C61" s="255" t="s">
        <v>209</v>
      </c>
      <c r="D61"/>
      <c r="E61" s="250">
        <v>14.832673620000001</v>
      </c>
      <c r="F61" s="250">
        <v>15.10648593211819</v>
      </c>
      <c r="G61" s="251">
        <f t="shared" si="0"/>
        <v>-0.27381231211818857</v>
      </c>
      <c r="H61" s="252">
        <f t="shared" si="1"/>
        <v>-1.8125480230715363E-2</v>
      </c>
      <c r="I61" s="253">
        <f t="shared" si="2"/>
        <v>-1.8125480230715363E-2</v>
      </c>
      <c r="J61"/>
      <c r="K61" s="250">
        <v>14.49428497243777</v>
      </c>
      <c r="L61" s="251">
        <f t="shared" ref="L61:L65" si="128">$E61-K61</f>
        <v>0.33838864756223153</v>
      </c>
      <c r="M61" s="263">
        <f t="shared" si="80"/>
        <v>2.3346349834138636E-2</v>
      </c>
      <c r="N61" s="253">
        <f t="shared" si="81"/>
        <v>2.3346349834138636E-2</v>
      </c>
      <c r="O61"/>
      <c r="P61" s="250">
        <v>14.041917730000002</v>
      </c>
      <c r="Q61" s="251">
        <f t="shared" si="6"/>
        <v>0.79075588999999979</v>
      </c>
      <c r="R61" s="263">
        <f t="shared" si="7"/>
        <v>5.6313952638433529E-2</v>
      </c>
      <c r="S61" s="253">
        <f t="shared" si="8"/>
        <v>5.6313952638433529E-2</v>
      </c>
      <c r="T61"/>
      <c r="U61" s="250">
        <v>2.0258846175667311</v>
      </c>
      <c r="V61" s="252">
        <f t="shared" si="9"/>
        <v>0.13658256558919221</v>
      </c>
      <c r="W61" s="250">
        <v>3.0704318162999384</v>
      </c>
      <c r="X61" s="252">
        <f t="shared" si="10"/>
        <v>0.2032525519235307</v>
      </c>
      <c r="Y61" s="251">
        <f t="shared" si="11"/>
        <v>-1.0445471987332073</v>
      </c>
      <c r="Z61" s="252">
        <f t="shared" si="12"/>
        <v>-0.34019553640241773</v>
      </c>
      <c r="AA61" s="253">
        <f t="shared" si="13"/>
        <v>-0.34019553640241773</v>
      </c>
      <c r="AB61"/>
      <c r="AC61" s="250">
        <v>1.9699942525605323</v>
      </c>
      <c r="AD61" s="252">
        <f t="shared" si="90"/>
        <v>0.14029381815503145</v>
      </c>
      <c r="AE61" s="251">
        <f t="shared" si="91"/>
        <v>5.5890365006198817E-2</v>
      </c>
      <c r="AF61" s="252">
        <f t="shared" si="92"/>
        <v>2.837082642934341E-2</v>
      </c>
      <c r="AG61" s="253">
        <f t="shared" si="93"/>
        <v>2.837082642934341E-2</v>
      </c>
      <c r="AH61"/>
      <c r="AI61" s="250">
        <v>4.2748978700000038</v>
      </c>
      <c r="AJ61" s="252">
        <f t="shared" si="18"/>
        <v>0.30443832190149167</v>
      </c>
      <c r="AK61" s="251">
        <f t="shared" si="19"/>
        <v>-2.2490132524332727</v>
      </c>
      <c r="AL61" s="252">
        <f t="shared" si="20"/>
        <v>-0.52609753983041252</v>
      </c>
      <c r="AM61" s="253">
        <f t="shared" si="21"/>
        <v>-0.52609753983041252</v>
      </c>
      <c r="AN61"/>
      <c r="AO61" s="250">
        <v>-3.0237170351999913E-2</v>
      </c>
      <c r="AP61" s="252">
        <f t="shared" si="22"/>
        <v>-2.0385515873031063E-3</v>
      </c>
      <c r="AQ61" s="250">
        <v>0</v>
      </c>
      <c r="AR61" s="252">
        <f t="shared" si="23"/>
        <v>0</v>
      </c>
      <c r="AS61" s="251">
        <f t="shared" si="24"/>
        <v>-3.0237170351999913E-2</v>
      </c>
      <c r="AT61" s="252">
        <f t="shared" si="25"/>
        <v>0</v>
      </c>
      <c r="AU61" s="253">
        <f t="shared" si="26"/>
        <v>0</v>
      </c>
      <c r="AV61"/>
      <c r="AW61" s="250">
        <v>-4.0814390351999907E-2</v>
      </c>
      <c r="AX61" s="252">
        <f t="shared" si="103"/>
        <v>-2.9066108445288479E-3</v>
      </c>
      <c r="AY61" s="251">
        <f t="shared" si="104"/>
        <v>1.0577219999999995E-2</v>
      </c>
      <c r="AZ61" s="252">
        <f t="shared" si="105"/>
        <v>-0.25915418333528317</v>
      </c>
      <c r="BA61" s="253">
        <f t="shared" si="106"/>
        <v>-0.25915418333528317</v>
      </c>
      <c r="BB61"/>
      <c r="BC61" s="250">
        <v>-7.3691060000000003E-2</v>
      </c>
      <c r="BD61" s="252">
        <f t="shared" si="31"/>
        <v>-5.2479341794292077E-3</v>
      </c>
      <c r="BE61" s="251">
        <f t="shared" si="32"/>
        <v>4.3453889648000094E-2</v>
      </c>
      <c r="BF61" s="252">
        <f t="shared" si="33"/>
        <v>-0.58967654486175247</v>
      </c>
      <c r="BG61" s="253">
        <f t="shared" si="34"/>
        <v>-0.58967654486175247</v>
      </c>
      <c r="BH61"/>
      <c r="BI61" s="250">
        <f t="shared" ref="BI61:BI76" si="129">SUM(U61,AO61)</f>
        <v>1.9956474472147312</v>
      </c>
      <c r="BJ61" s="252">
        <f t="shared" si="35"/>
        <v>0.13454401400188909</v>
      </c>
      <c r="BK61" s="250">
        <f t="shared" ref="BK61:BK76" si="130">SUM(W61,AQ61)</f>
        <v>3.0704318162999384</v>
      </c>
      <c r="BL61" s="252">
        <f t="shared" si="36"/>
        <v>0.2032525519235307</v>
      </c>
      <c r="BM61" s="251">
        <f t="shared" si="37"/>
        <v>-1.0747843690852072</v>
      </c>
      <c r="BN61" s="252">
        <f t="shared" si="114"/>
        <v>-0.35004339239175464</v>
      </c>
      <c r="BO61" s="253">
        <f t="shared" si="39"/>
        <v>-0.35004339239175464</v>
      </c>
      <c r="BP61"/>
      <c r="BQ61" s="250">
        <f t="shared" ref="BQ61:BQ65" si="131">SUM(AC61,AW61)</f>
        <v>1.9291798622085323</v>
      </c>
      <c r="BR61" s="252">
        <f t="shared" si="116"/>
        <v>0.13738720731050261</v>
      </c>
      <c r="BS61" s="251">
        <f t="shared" si="117"/>
        <v>6.646758500619887E-2</v>
      </c>
      <c r="BT61" s="252">
        <f t="shared" si="118"/>
        <v>3.4453804079266376E-2</v>
      </c>
      <c r="BU61" s="253">
        <f t="shared" si="119"/>
        <v>3.4453804079266376E-2</v>
      </c>
      <c r="BV61"/>
      <c r="BW61" s="250">
        <f t="shared" ref="BW61:BW65" si="132">SUM(AI61,BC61)</f>
        <v>4.201206810000004</v>
      </c>
      <c r="BX61" s="252">
        <f t="shared" si="44"/>
        <v>0.29919038772206247</v>
      </c>
      <c r="BY61" s="251">
        <f t="shared" si="45"/>
        <v>-2.205559362785273</v>
      </c>
      <c r="BZ61" s="252">
        <f t="shared" si="122"/>
        <v>-0.52498233544119932</v>
      </c>
      <c r="CA61" s="253">
        <f t="shared" si="47"/>
        <v>-0.52498233544119932</v>
      </c>
    </row>
    <row r="62" spans="2:82" hidden="1" outlineLevel="1" x14ac:dyDescent="0.35">
      <c r="B62" s="255" t="s">
        <v>210</v>
      </c>
      <c r="C62" s="255" t="s">
        <v>211</v>
      </c>
      <c r="D62"/>
      <c r="E62" s="250">
        <v>6.2995229137992581</v>
      </c>
      <c r="F62" s="250">
        <v>6.0725635584722202</v>
      </c>
      <c r="G62" s="251">
        <f t="shared" si="0"/>
        <v>0.22695935532703793</v>
      </c>
      <c r="H62" s="252">
        <f t="shared" si="1"/>
        <v>3.7374554114035119E-2</v>
      </c>
      <c r="I62" s="253">
        <f t="shared" si="2"/>
        <v>3.7374554114035119E-2</v>
      </c>
      <c r="J62"/>
      <c r="K62" s="250">
        <v>6.0531977539505011</v>
      </c>
      <c r="L62" s="251">
        <f t="shared" si="128"/>
        <v>0.24632515984875702</v>
      </c>
      <c r="M62" s="263">
        <f t="shared" si="80"/>
        <v>4.0693393783145071E-2</v>
      </c>
      <c r="N62" s="253">
        <f t="shared" si="81"/>
        <v>4.0693393783145071E-2</v>
      </c>
      <c r="O62"/>
      <c r="P62" s="250">
        <v>4.9082630627392376</v>
      </c>
      <c r="Q62" s="251">
        <f t="shared" si="6"/>
        <v>1.3912598510600205</v>
      </c>
      <c r="R62" s="263">
        <f t="shared" si="7"/>
        <v>0.28345258460608602</v>
      </c>
      <c r="S62" s="253">
        <f t="shared" si="8"/>
        <v>0.28345258460608602</v>
      </c>
      <c r="T62"/>
      <c r="U62" s="250">
        <v>1.910167270820831</v>
      </c>
      <c r="V62" s="252">
        <f t="shared" si="9"/>
        <v>0.30322411664485943</v>
      </c>
      <c r="W62" s="250">
        <v>2.5908587368881539</v>
      </c>
      <c r="X62" s="252">
        <f t="shared" si="10"/>
        <v>0.42664991678407088</v>
      </c>
      <c r="Y62" s="251">
        <f t="shared" si="11"/>
        <v>-0.68069146606732289</v>
      </c>
      <c r="Z62" s="252">
        <f t="shared" si="12"/>
        <v>-0.26272812808192403</v>
      </c>
      <c r="AA62" s="253">
        <f t="shared" si="13"/>
        <v>-0.26272812808192403</v>
      </c>
      <c r="AB62"/>
      <c r="AC62" s="250">
        <v>0.97804554799118104</v>
      </c>
      <c r="AD62" s="252">
        <f t="shared" si="90"/>
        <v>0.19926510366079411</v>
      </c>
      <c r="AE62" s="251">
        <f t="shared" si="91"/>
        <v>0.93212172282965</v>
      </c>
      <c r="AF62" s="252">
        <f t="shared" si="92"/>
        <v>0.95304531035813778</v>
      </c>
      <c r="AG62" s="253">
        <f t="shared" si="93"/>
        <v>0.95304531035813778</v>
      </c>
      <c r="AH62"/>
      <c r="AI62" s="250">
        <v>1.5081972062474001</v>
      </c>
      <c r="AJ62" s="252">
        <f t="shared" si="18"/>
        <v>0.30727717462757487</v>
      </c>
      <c r="AK62" s="251">
        <f t="shared" si="19"/>
        <v>0.40197006457343099</v>
      </c>
      <c r="AL62" s="252">
        <f t="shared" si="20"/>
        <v>0.26652354407523893</v>
      </c>
      <c r="AM62" s="253">
        <f t="shared" si="21"/>
        <v>0.26652354407523893</v>
      </c>
      <c r="AN62"/>
      <c r="AO62" s="250">
        <v>-1.4356043520000002E-3</v>
      </c>
      <c r="AP62" s="252">
        <f t="shared" si="22"/>
        <v>-2.2789096438640994E-4</v>
      </c>
      <c r="AQ62" s="250">
        <v>0</v>
      </c>
      <c r="AR62" s="252">
        <f t="shared" si="23"/>
        <v>0</v>
      </c>
      <c r="AS62" s="251">
        <f t="shared" si="24"/>
        <v>-1.4356043520000002E-3</v>
      </c>
      <c r="AT62" s="252">
        <f t="shared" si="25"/>
        <v>0</v>
      </c>
      <c r="AU62" s="253">
        <f t="shared" si="26"/>
        <v>0</v>
      </c>
      <c r="AV62"/>
      <c r="AW62" s="250">
        <v>-1.4356043520000002E-3</v>
      </c>
      <c r="AX62" s="252">
        <f t="shared" si="103"/>
        <v>-2.9248724725011136E-4</v>
      </c>
      <c r="AY62" s="251">
        <f t="shared" si="104"/>
        <v>0</v>
      </c>
      <c r="AZ62" s="252">
        <f t="shared" si="105"/>
        <v>0</v>
      </c>
      <c r="BA62" s="253">
        <f t="shared" si="106"/>
        <v>0</v>
      </c>
      <c r="BB62"/>
      <c r="BC62" s="250">
        <v>0</v>
      </c>
      <c r="BD62" s="252">
        <f t="shared" si="31"/>
        <v>0</v>
      </c>
      <c r="BE62" s="251">
        <f t="shared" si="32"/>
        <v>-1.4356043520000002E-3</v>
      </c>
      <c r="BF62" s="252">
        <f t="shared" si="33"/>
        <v>0</v>
      </c>
      <c r="BG62" s="253">
        <f t="shared" si="34"/>
        <v>0</v>
      </c>
      <c r="BH62"/>
      <c r="BI62" s="250">
        <f t="shared" si="129"/>
        <v>1.908731666468831</v>
      </c>
      <c r="BJ62" s="252">
        <f t="shared" si="35"/>
        <v>0.30299622568047302</v>
      </c>
      <c r="BK62" s="250">
        <f t="shared" si="130"/>
        <v>2.5908587368881539</v>
      </c>
      <c r="BL62" s="252">
        <f t="shared" si="36"/>
        <v>0.42664991678407088</v>
      </c>
      <c r="BM62" s="251">
        <f t="shared" si="37"/>
        <v>-0.68212707041932297</v>
      </c>
      <c r="BN62" s="252">
        <f t="shared" si="114"/>
        <v>-0.26328223175865495</v>
      </c>
      <c r="BO62" s="253">
        <f t="shared" si="39"/>
        <v>-0.26328223175865495</v>
      </c>
      <c r="BP62"/>
      <c r="BQ62" s="250">
        <f t="shared" si="131"/>
        <v>0.97660994363918108</v>
      </c>
      <c r="BR62" s="252">
        <f t="shared" si="116"/>
        <v>0.19897261641354402</v>
      </c>
      <c r="BS62" s="251">
        <f t="shared" si="117"/>
        <v>0.93212172282964989</v>
      </c>
      <c r="BT62" s="252">
        <f t="shared" si="118"/>
        <v>0.95444627499516033</v>
      </c>
      <c r="BU62" s="253">
        <f t="shared" si="119"/>
        <v>0.95444627499516033</v>
      </c>
      <c r="BV62"/>
      <c r="BW62" s="250">
        <f t="shared" si="132"/>
        <v>1.5081972062474001</v>
      </c>
      <c r="BX62" s="252">
        <f t="shared" si="44"/>
        <v>0.30727717462757487</v>
      </c>
      <c r="BY62" s="251">
        <f t="shared" si="45"/>
        <v>0.40053446022143091</v>
      </c>
      <c r="BZ62" s="252">
        <f t="shared" si="122"/>
        <v>0.26557167627833972</v>
      </c>
      <c r="CA62" s="253">
        <f t="shared" si="47"/>
        <v>0.26557167627833972</v>
      </c>
    </row>
    <row r="63" spans="2:82" hidden="1" outlineLevel="1" x14ac:dyDescent="0.35">
      <c r="B63" s="255" t="s">
        <v>212</v>
      </c>
      <c r="C63" s="255" t="s">
        <v>213</v>
      </c>
      <c r="D63"/>
      <c r="E63" s="250">
        <v>2.2559349584485711</v>
      </c>
      <c r="F63" s="250">
        <v>2.4640467792159444</v>
      </c>
      <c r="G63" s="251">
        <f t="shared" si="0"/>
        <v>-0.20811182076737333</v>
      </c>
      <c r="H63" s="252">
        <f t="shared" si="1"/>
        <v>-8.4459362753492084E-2</v>
      </c>
      <c r="I63" s="253">
        <f t="shared" si="2"/>
        <v>-8.4459362753492084E-2</v>
      </c>
      <c r="J63"/>
      <c r="K63" s="250">
        <v>2.3039071601640897</v>
      </c>
      <c r="L63" s="251">
        <f t="shared" si="128"/>
        <v>-4.7972201715518636E-2</v>
      </c>
      <c r="M63" s="263">
        <f t="shared" si="80"/>
        <v>-2.0822107133909862E-2</v>
      </c>
      <c r="N63" s="253">
        <f t="shared" si="81"/>
        <v>-2.0822107133909862E-2</v>
      </c>
      <c r="O63"/>
      <c r="P63" s="250">
        <v>2.5790256211950218</v>
      </c>
      <c r="Q63" s="251">
        <f t="shared" si="6"/>
        <v>-0.32309066274645071</v>
      </c>
      <c r="R63" s="263">
        <f t="shared" si="7"/>
        <v>-0.12527625165536083</v>
      </c>
      <c r="S63" s="253">
        <f t="shared" si="8"/>
        <v>-0.12527625165536083</v>
      </c>
      <c r="T63"/>
      <c r="U63" s="250">
        <v>-0.42792788696010642</v>
      </c>
      <c r="V63" s="252">
        <f t="shared" si="9"/>
        <v>-0.18968981590426556</v>
      </c>
      <c r="W63" s="250">
        <v>0.1926570001643437</v>
      </c>
      <c r="X63" s="252">
        <f t="shared" si="10"/>
        <v>7.8187233208959955E-2</v>
      </c>
      <c r="Y63" s="251">
        <f t="shared" si="11"/>
        <v>-0.62058488712445015</v>
      </c>
      <c r="Z63" s="252">
        <f t="shared" si="12"/>
        <v>-3.221190439979174</v>
      </c>
      <c r="AA63" s="253">
        <f t="shared" si="13"/>
        <v>-3.221190439979174</v>
      </c>
      <c r="AB63"/>
      <c r="AC63" s="250">
        <v>-0.40693365493324141</v>
      </c>
      <c r="AD63" s="252">
        <f t="shared" si="90"/>
        <v>-0.15778581321138016</v>
      </c>
      <c r="AE63" s="251">
        <f t="shared" si="91"/>
        <v>-2.0994232026865012E-2</v>
      </c>
      <c r="AF63" s="252">
        <f t="shared" si="92"/>
        <v>5.1591289568588605E-2</v>
      </c>
      <c r="AG63" s="253">
        <f t="shared" si="93"/>
        <v>5.1591289568588605E-2</v>
      </c>
      <c r="AH63"/>
      <c r="AI63" s="250">
        <v>0.47196228799197854</v>
      </c>
      <c r="AJ63" s="252">
        <f t="shared" si="18"/>
        <v>0.18300023237973467</v>
      </c>
      <c r="AK63" s="251">
        <f t="shared" si="19"/>
        <v>-0.8998901749520849</v>
      </c>
      <c r="AL63" s="252">
        <f t="shared" si="20"/>
        <v>-1.9066993229072986</v>
      </c>
      <c r="AM63" s="253">
        <f t="shared" si="21"/>
        <v>-1.9066993229072986</v>
      </c>
      <c r="AN63"/>
      <c r="AO63" s="250">
        <v>-6.3021322000000001E-4</v>
      </c>
      <c r="AP63" s="252">
        <f t="shared" si="22"/>
        <v>-2.7935788558079879E-4</v>
      </c>
      <c r="AQ63" s="250">
        <v>0</v>
      </c>
      <c r="AR63" s="252">
        <f t="shared" si="23"/>
        <v>0</v>
      </c>
      <c r="AS63" s="251">
        <f t="shared" si="24"/>
        <v>-6.3021322000000001E-4</v>
      </c>
      <c r="AT63" s="252">
        <f t="shared" si="25"/>
        <v>0</v>
      </c>
      <c r="AU63" s="253">
        <f t="shared" si="26"/>
        <v>0</v>
      </c>
      <c r="AV63"/>
      <c r="AW63" s="250">
        <v>-6.3021322000000001E-4</v>
      </c>
      <c r="AX63" s="252">
        <f t="shared" si="103"/>
        <v>-2.4436097680486914E-4</v>
      </c>
      <c r="AY63" s="251">
        <f t="shared" si="104"/>
        <v>0</v>
      </c>
      <c r="AZ63" s="252">
        <f t="shared" si="105"/>
        <v>0</v>
      </c>
      <c r="BA63" s="253">
        <f t="shared" si="106"/>
        <v>0</v>
      </c>
      <c r="BB63"/>
      <c r="BC63" s="250">
        <v>0</v>
      </c>
      <c r="BD63" s="252">
        <f t="shared" si="31"/>
        <v>0</v>
      </c>
      <c r="BE63" s="251">
        <f t="shared" si="32"/>
        <v>-6.3021322000000001E-4</v>
      </c>
      <c r="BF63" s="252">
        <f t="shared" si="33"/>
        <v>0</v>
      </c>
      <c r="BG63" s="253">
        <f t="shared" si="34"/>
        <v>0</v>
      </c>
      <c r="BH63"/>
      <c r="BI63" s="250">
        <f t="shared" si="129"/>
        <v>-0.42855810018010643</v>
      </c>
      <c r="BJ63" s="252">
        <f t="shared" si="35"/>
        <v>-0.18996917378984637</v>
      </c>
      <c r="BK63" s="250">
        <f t="shared" si="130"/>
        <v>0.1926570001643437</v>
      </c>
      <c r="BL63" s="252">
        <f t="shared" si="36"/>
        <v>7.8187233208959955E-2</v>
      </c>
      <c r="BM63" s="251">
        <f t="shared" si="37"/>
        <v>-0.62121510034445016</v>
      </c>
      <c r="BN63" s="252">
        <f t="shared" si="114"/>
        <v>-3.2244616069726519</v>
      </c>
      <c r="BO63" s="253">
        <f t="shared" si="39"/>
        <v>-3.2244616069726519</v>
      </c>
      <c r="BP63"/>
      <c r="BQ63" s="250">
        <f t="shared" si="131"/>
        <v>-0.40756386815324142</v>
      </c>
      <c r="BR63" s="252">
        <f t="shared" si="116"/>
        <v>-0.15803017418818505</v>
      </c>
      <c r="BS63" s="251">
        <f t="shared" si="117"/>
        <v>-2.0994232026865012E-2</v>
      </c>
      <c r="BT63" s="252">
        <f t="shared" si="118"/>
        <v>-5.1511514310614293E-2</v>
      </c>
      <c r="BU63" s="253">
        <f t="shared" si="119"/>
        <v>-5.1511514310614293E-2</v>
      </c>
      <c r="BV63"/>
      <c r="BW63" s="250">
        <f t="shared" si="132"/>
        <v>0.47196228799197854</v>
      </c>
      <c r="BX63" s="252">
        <f t="shared" si="44"/>
        <v>0.18300023237973467</v>
      </c>
      <c r="BY63" s="251">
        <f t="shared" si="45"/>
        <v>-0.90052038817208491</v>
      </c>
      <c r="BZ63" s="252">
        <f t="shared" si="122"/>
        <v>-1.9080346270958626</v>
      </c>
      <c r="CA63" s="253">
        <f t="shared" si="47"/>
        <v>-1.9080346270958626</v>
      </c>
    </row>
    <row r="64" spans="2:82" hidden="1" outlineLevel="1" x14ac:dyDescent="0.35">
      <c r="B64" s="255" t="s">
        <v>214</v>
      </c>
      <c r="C64" s="255" t="s">
        <v>215</v>
      </c>
      <c r="D64"/>
      <c r="E64" s="250">
        <v>6.5215826226949831</v>
      </c>
      <c r="F64" s="250">
        <v>7.9898854058613926</v>
      </c>
      <c r="G64" s="251">
        <f t="shared" si="0"/>
        <v>-1.4683027831664095</v>
      </c>
      <c r="H64" s="252">
        <f t="shared" si="1"/>
        <v>-0.1837701930104354</v>
      </c>
      <c r="I64" s="253">
        <f t="shared" si="2"/>
        <v>-0.1837701930104354</v>
      </c>
      <c r="J64"/>
      <c r="K64" s="250">
        <v>7.1761757229609993</v>
      </c>
      <c r="L64" s="251">
        <f t="shared" si="128"/>
        <v>-0.65459310026601614</v>
      </c>
      <c r="M64" s="263">
        <f t="shared" si="80"/>
        <v>-9.1217540586634449E-2</v>
      </c>
      <c r="N64" s="253">
        <f t="shared" si="81"/>
        <v>-9.1217540586634449E-2</v>
      </c>
      <c r="O64"/>
      <c r="P64" s="250">
        <v>8.4701909461089162</v>
      </c>
      <c r="Q64" s="251">
        <f t="shared" si="6"/>
        <v>-1.9486083234139331</v>
      </c>
      <c r="R64" s="263">
        <f t="shared" si="7"/>
        <v>-0.23005482825733647</v>
      </c>
      <c r="S64" s="253">
        <f t="shared" si="8"/>
        <v>-0.23005482825733647</v>
      </c>
      <c r="T64"/>
      <c r="U64" s="250">
        <v>-3.0091084832878838</v>
      </c>
      <c r="V64" s="252">
        <f t="shared" si="9"/>
        <v>-0.46140770689866656</v>
      </c>
      <c r="W64" s="250">
        <v>-3.4457980352756357</v>
      </c>
      <c r="X64" s="252">
        <f t="shared" si="10"/>
        <v>-0.43127001956095551</v>
      </c>
      <c r="Y64" s="251">
        <f t="shared" si="11"/>
        <v>0.43668955198775183</v>
      </c>
      <c r="Z64" s="252">
        <f t="shared" si="12"/>
        <v>-0.12673103516724837</v>
      </c>
      <c r="AA64" s="253">
        <f t="shared" si="13"/>
        <v>-0.12673103516724837</v>
      </c>
      <c r="AB64"/>
      <c r="AC64" s="250">
        <v>-2.284349889466426</v>
      </c>
      <c r="AD64" s="252">
        <f t="shared" si="90"/>
        <v>-0.26969284447074049</v>
      </c>
      <c r="AE64" s="251">
        <f t="shared" si="91"/>
        <v>-0.7247585938214578</v>
      </c>
      <c r="AF64" s="252">
        <f t="shared" si="92"/>
        <v>0.31727127142976563</v>
      </c>
      <c r="AG64" s="253">
        <f t="shared" si="93"/>
        <v>0.31727127142976563</v>
      </c>
      <c r="AH64"/>
      <c r="AI64" s="250">
        <v>0.85023159906644341</v>
      </c>
      <c r="AJ64" s="252">
        <f t="shared" si="18"/>
        <v>0.10037927178690435</v>
      </c>
      <c r="AK64" s="251">
        <f t="shared" si="19"/>
        <v>-3.8593400823543274</v>
      </c>
      <c r="AL64" s="252">
        <f t="shared" si="20"/>
        <v>-4.5391633133747238</v>
      </c>
      <c r="AM64" s="253">
        <f t="shared" si="21"/>
        <v>-4.5391633133747238</v>
      </c>
      <c r="AN64"/>
      <c r="AO64" s="250">
        <v>-2.3724478735580004</v>
      </c>
      <c r="AP64" s="252">
        <f t="shared" si="22"/>
        <v>-0.36378407064903651</v>
      </c>
      <c r="AQ64" s="250">
        <v>-1.6299999999999999E-2</v>
      </c>
      <c r="AR64" s="252">
        <f t="shared" si="23"/>
        <v>-2.0400793217938136E-3</v>
      </c>
      <c r="AS64" s="251">
        <f t="shared" si="24"/>
        <v>-2.3561478735580001</v>
      </c>
      <c r="AT64" s="252">
        <f t="shared" si="25"/>
        <v>144.54894929803683</v>
      </c>
      <c r="AU64" s="253">
        <f t="shared" si="26"/>
        <v>144.54894929803683</v>
      </c>
      <c r="AV64"/>
      <c r="AW64" s="250">
        <v>-2.2917257567791198</v>
      </c>
      <c r="AX64" s="252">
        <f t="shared" si="103"/>
        <v>-0.27056364742661504</v>
      </c>
      <c r="AY64" s="251">
        <f t="shared" si="104"/>
        <v>-8.0722116778880526E-2</v>
      </c>
      <c r="AZ64" s="252">
        <f t="shared" si="105"/>
        <v>3.5223288187994362E-2</v>
      </c>
      <c r="BA64" s="253">
        <f t="shared" si="106"/>
        <v>3.5223288187994362E-2</v>
      </c>
      <c r="BB64"/>
      <c r="BC64" s="250">
        <v>-1.1096414000000012</v>
      </c>
      <c r="BD64" s="252">
        <f t="shared" si="31"/>
        <v>-0.1310054763889065</v>
      </c>
      <c r="BE64" s="251">
        <f t="shared" si="32"/>
        <v>-1.2628064735579991</v>
      </c>
      <c r="BF64" s="252">
        <f t="shared" si="33"/>
        <v>1.1380311455196228</v>
      </c>
      <c r="BG64" s="253">
        <f t="shared" si="34"/>
        <v>1.1380311455196228</v>
      </c>
      <c r="BH64"/>
      <c r="BI64" s="250">
        <f t="shared" si="129"/>
        <v>-5.3815563568458842</v>
      </c>
      <c r="BJ64" s="252">
        <f t="shared" si="35"/>
        <v>-0.82519177754770301</v>
      </c>
      <c r="BK64" s="250">
        <f t="shared" si="130"/>
        <v>-3.4620980352756359</v>
      </c>
      <c r="BL64" s="252">
        <f t="shared" si="36"/>
        <v>-0.43331009888274935</v>
      </c>
      <c r="BM64" s="251">
        <f t="shared" si="37"/>
        <v>-1.9194583215702483</v>
      </c>
      <c r="BN64" s="252">
        <f t="shared" si="114"/>
        <v>-0.5544205571340588</v>
      </c>
      <c r="BO64" s="253">
        <f t="shared" si="39"/>
        <v>-0.5544205571340588</v>
      </c>
      <c r="BP64"/>
      <c r="BQ64" s="250">
        <f t="shared" si="131"/>
        <v>-4.5760756462455454</v>
      </c>
      <c r="BR64" s="252">
        <f t="shared" si="116"/>
        <v>-0.54025649189735547</v>
      </c>
      <c r="BS64" s="251">
        <f t="shared" si="117"/>
        <v>-0.80548071060033877</v>
      </c>
      <c r="BT64" s="252">
        <f t="shared" si="118"/>
        <v>-0.17601997276010892</v>
      </c>
      <c r="BU64" s="253">
        <f t="shared" si="119"/>
        <v>-0.17601997276010892</v>
      </c>
      <c r="BV64"/>
      <c r="BW64" s="250">
        <f t="shared" si="132"/>
        <v>-0.25940980093355781</v>
      </c>
      <c r="BX64" s="252">
        <f t="shared" si="44"/>
        <v>-3.0626204602002147E-2</v>
      </c>
      <c r="BY64" s="251">
        <f t="shared" si="45"/>
        <v>-5.1221465559123267</v>
      </c>
      <c r="BZ64" s="252">
        <f t="shared" si="122"/>
        <v>-19.745385631070484</v>
      </c>
      <c r="CA64" s="253">
        <f t="shared" si="47"/>
        <v>-19.745385631070484</v>
      </c>
    </row>
    <row r="65" spans="2:79" hidden="1" outlineLevel="1" x14ac:dyDescent="0.35">
      <c r="B65" s="255" t="s">
        <v>216</v>
      </c>
      <c r="C65" s="255" t="s">
        <v>217</v>
      </c>
      <c r="D65"/>
      <c r="E65" s="250">
        <v>3.9215849800000004</v>
      </c>
      <c r="F65" s="250">
        <v>3.6484304746825282</v>
      </c>
      <c r="G65" s="251">
        <f t="shared" si="0"/>
        <v>0.27315450531747221</v>
      </c>
      <c r="H65" s="252">
        <f t="shared" si="1"/>
        <v>7.4869044980565569E-2</v>
      </c>
      <c r="I65" s="253">
        <f t="shared" si="2"/>
        <v>7.4869044980565569E-2</v>
      </c>
      <c r="J65"/>
      <c r="K65" s="250">
        <v>3.9083746969271251</v>
      </c>
      <c r="L65" s="251">
        <f t="shared" si="128"/>
        <v>1.3210283072875306E-2</v>
      </c>
      <c r="M65" s="263">
        <f t="shared" si="80"/>
        <v>3.3799940121559402E-3</v>
      </c>
      <c r="N65" s="253">
        <f t="shared" si="81"/>
        <v>3.3799940121559402E-3</v>
      </c>
      <c r="O65"/>
      <c r="P65" s="250">
        <v>3.5169789300000001</v>
      </c>
      <c r="Q65" s="251">
        <f t="shared" si="6"/>
        <v>0.40460605000000038</v>
      </c>
      <c r="R65" s="263">
        <f t="shared" si="7"/>
        <v>0.11504363775076709</v>
      </c>
      <c r="S65" s="253">
        <f t="shared" si="8"/>
        <v>0.11504363775076709</v>
      </c>
      <c r="T65"/>
      <c r="U65" s="250">
        <v>1.7741974570769654</v>
      </c>
      <c r="V65" s="252">
        <f t="shared" si="9"/>
        <v>0.45241846501486888</v>
      </c>
      <c r="W65" s="250">
        <v>1.2031057283265985</v>
      </c>
      <c r="X65" s="252">
        <f t="shared" si="10"/>
        <v>0.32975980676493166</v>
      </c>
      <c r="Y65" s="251">
        <f t="shared" si="11"/>
        <v>0.57109172875036696</v>
      </c>
      <c r="Z65" s="252">
        <f t="shared" si="12"/>
        <v>0.47468124812662915</v>
      </c>
      <c r="AA65" s="253">
        <f t="shared" si="13"/>
        <v>0.47468124812662915</v>
      </c>
      <c r="AB65"/>
      <c r="AC65" s="250">
        <v>1.7794728776949278</v>
      </c>
      <c r="AD65" s="252">
        <f t="shared" si="90"/>
        <v>0.50596631743111631</v>
      </c>
      <c r="AE65" s="251">
        <f t="shared" si="91"/>
        <v>-5.2754206179623786E-3</v>
      </c>
      <c r="AF65" s="252">
        <f t="shared" si="92"/>
        <v>-2.9645973726758479E-3</v>
      </c>
      <c r="AG65" s="253">
        <f t="shared" si="93"/>
        <v>-2.9645973726758479E-3</v>
      </c>
      <c r="AH65"/>
      <c r="AI65" s="250">
        <v>1.3949290583333331</v>
      </c>
      <c r="AJ65" s="252">
        <f t="shared" si="18"/>
        <v>0.39662707286487303</v>
      </c>
      <c r="AK65" s="251">
        <f t="shared" si="19"/>
        <v>0.37926839874363227</v>
      </c>
      <c r="AL65" s="252">
        <f t="shared" si="20"/>
        <v>0.27189081514782099</v>
      </c>
      <c r="AM65" s="253">
        <f t="shared" si="21"/>
        <v>0.27189081514782099</v>
      </c>
      <c r="AN65"/>
      <c r="AO65" s="250">
        <v>-8.6307166399999993E-4</v>
      </c>
      <c r="AP65" s="252">
        <f t="shared" si="22"/>
        <v>-2.2008235659858117E-4</v>
      </c>
      <c r="AQ65" s="250">
        <v>0</v>
      </c>
      <c r="AR65" s="252">
        <f t="shared" si="23"/>
        <v>0</v>
      </c>
      <c r="AS65" s="251">
        <f t="shared" si="24"/>
        <v>-8.6307166399999993E-4</v>
      </c>
      <c r="AT65" s="252">
        <f t="shared" si="25"/>
        <v>0</v>
      </c>
      <c r="AU65" s="253">
        <f t="shared" si="26"/>
        <v>0</v>
      </c>
      <c r="AV65"/>
      <c r="AW65" s="250">
        <v>-8.6307166400000003E-4</v>
      </c>
      <c r="AX65" s="252">
        <f t="shared" si="103"/>
        <v>-2.454014315064435E-4</v>
      </c>
      <c r="AY65" s="251">
        <f t="shared" si="104"/>
        <v>0</v>
      </c>
      <c r="AZ65" s="252">
        <f t="shared" si="105"/>
        <v>-1.1102230246251565E-16</v>
      </c>
      <c r="BA65" s="253">
        <f t="shared" si="106"/>
        <v>-1.1102230246251565E-16</v>
      </c>
      <c r="BB65"/>
      <c r="BC65" s="250">
        <v>0</v>
      </c>
      <c r="BD65" s="252">
        <f t="shared" si="31"/>
        <v>0</v>
      </c>
      <c r="BE65" s="251">
        <f t="shared" si="32"/>
        <v>-8.6307166399999993E-4</v>
      </c>
      <c r="BF65" s="252">
        <f t="shared" si="33"/>
        <v>0</v>
      </c>
      <c r="BG65" s="253">
        <f t="shared" si="34"/>
        <v>0</v>
      </c>
      <c r="BH65"/>
      <c r="BI65" s="250">
        <f t="shared" si="129"/>
        <v>1.7733343854129655</v>
      </c>
      <c r="BJ65" s="252">
        <f t="shared" si="35"/>
        <v>0.45219838265827028</v>
      </c>
      <c r="BK65" s="250">
        <f t="shared" si="130"/>
        <v>1.2031057283265985</v>
      </c>
      <c r="BL65" s="252">
        <f t="shared" si="36"/>
        <v>0.32975980676493166</v>
      </c>
      <c r="BM65" s="251">
        <f t="shared" si="37"/>
        <v>0.57022865708636705</v>
      </c>
      <c r="BN65" s="252">
        <f t="shared" si="114"/>
        <v>0.4739638783696084</v>
      </c>
      <c r="BO65" s="253">
        <f t="shared" si="39"/>
        <v>0.4739638783696084</v>
      </c>
      <c r="BP65"/>
      <c r="BQ65" s="250">
        <f t="shared" si="131"/>
        <v>1.7786098060309279</v>
      </c>
      <c r="BR65" s="252">
        <f t="shared" si="116"/>
        <v>0.50572091599960989</v>
      </c>
      <c r="BS65" s="251">
        <f t="shared" si="117"/>
        <v>-5.2754206179623786E-3</v>
      </c>
      <c r="BT65" s="252">
        <f t="shared" si="118"/>
        <v>-2.9660359456438559E-3</v>
      </c>
      <c r="BU65" s="253">
        <f t="shared" si="119"/>
        <v>-2.9660359456438559E-3</v>
      </c>
      <c r="BV65"/>
      <c r="BW65" s="250">
        <f t="shared" si="132"/>
        <v>1.3949290583333331</v>
      </c>
      <c r="BX65" s="252">
        <f t="shared" si="44"/>
        <v>0.39662707286487303</v>
      </c>
      <c r="BY65" s="251">
        <f t="shared" si="45"/>
        <v>0.37840532707963237</v>
      </c>
      <c r="BZ65" s="252">
        <f t="shared" si="122"/>
        <v>0.27127209431836813</v>
      </c>
      <c r="CA65" s="253">
        <f t="shared" si="47"/>
        <v>0.27127209431836813</v>
      </c>
    </row>
    <row r="66" spans="2:79" hidden="1" outlineLevel="1" x14ac:dyDescent="0.35">
      <c r="B66" s="255" t="s">
        <v>218</v>
      </c>
      <c r="C66" s="255" t="s">
        <v>219</v>
      </c>
      <c r="D66"/>
      <c r="E66" s="250">
        <v>0</v>
      </c>
      <c r="F66" s="250">
        <v>0.21</v>
      </c>
      <c r="G66" s="251">
        <f>$E66-F66</f>
        <v>-0.21</v>
      </c>
      <c r="H66" s="252">
        <f>IFERROR($E66/F66-1,0)</f>
        <v>-1</v>
      </c>
      <c r="I66" s="253">
        <f>H66</f>
        <v>-1</v>
      </c>
      <c r="J66"/>
      <c r="K66" s="250">
        <v>0</v>
      </c>
      <c r="L66" s="251">
        <f>$E66-K66</f>
        <v>0</v>
      </c>
      <c r="M66" s="263">
        <f>IFERROR($E66/K66-1,0)</f>
        <v>0</v>
      </c>
      <c r="N66" s="253">
        <f>M66</f>
        <v>0</v>
      </c>
      <c r="O66"/>
      <c r="P66" s="250">
        <v>0</v>
      </c>
      <c r="Q66" s="251">
        <f>$E66-P66</f>
        <v>0</v>
      </c>
      <c r="R66" s="263">
        <f>IFERROR($E66/P66-1,0)</f>
        <v>0</v>
      </c>
      <c r="S66" s="253">
        <f>R66</f>
        <v>0</v>
      </c>
      <c r="T66"/>
      <c r="U66" s="250">
        <v>1.1013412404281553E-19</v>
      </c>
      <c r="V66" s="252">
        <f>IFERROR(U66/$E66,0)</f>
        <v>0</v>
      </c>
      <c r="W66" s="250">
        <v>-0.90138527906312826</v>
      </c>
      <c r="X66" s="252">
        <f>IFERROR(W66/$F66,0)</f>
        <v>-4.2923108526815632</v>
      </c>
      <c r="Y66" s="251">
        <f>$U66-W66</f>
        <v>0.90138527906312826</v>
      </c>
      <c r="Z66" s="252">
        <f>IFERROR($U66/W66-1,0)</f>
        <v>-1</v>
      </c>
      <c r="AA66" s="253">
        <f>Z66</f>
        <v>-1</v>
      </c>
      <c r="AB66"/>
      <c r="AC66" s="250">
        <v>1.1013412404281551E-19</v>
      </c>
      <c r="AD66" s="252">
        <f>IFERROR(AC66/$P66,0)</f>
        <v>0</v>
      </c>
      <c r="AE66" s="251">
        <f>$U66-AC66</f>
        <v>0</v>
      </c>
      <c r="AF66" s="252">
        <f>IFERROR($U66/AC66-1,0)</f>
        <v>2.2204460492503131E-16</v>
      </c>
      <c r="AG66" s="253">
        <f>AF66</f>
        <v>2.2204460492503131E-16</v>
      </c>
      <c r="AH66"/>
      <c r="AI66" s="250">
        <v>-7.0042659999999993E-2</v>
      </c>
      <c r="AJ66" s="252">
        <f>IFERROR(AI66/$P66,0)</f>
        <v>0</v>
      </c>
      <c r="AK66" s="251">
        <f>$U66-AI66</f>
        <v>7.0042659999999993E-2</v>
      </c>
      <c r="AL66" s="252">
        <f>IFERROR($U66/AI66-1,0)</f>
        <v>-1</v>
      </c>
      <c r="AM66" s="253">
        <f>AL66</f>
        <v>-1</v>
      </c>
      <c r="AN66"/>
      <c r="AO66" s="250">
        <v>-2.4093600000000001E-3</v>
      </c>
      <c r="AP66" s="252">
        <f>IFERROR(AO66/$E66,0)</f>
        <v>0</v>
      </c>
      <c r="AQ66" s="250">
        <v>0</v>
      </c>
      <c r="AR66" s="252">
        <f>IFERROR(AQ66/$F66,0)</f>
        <v>0</v>
      </c>
      <c r="AS66" s="251">
        <f>$AO66-AQ66</f>
        <v>-2.4093600000000001E-3</v>
      </c>
      <c r="AT66" s="252">
        <f>IFERROR($AO66/AQ66-1,0)</f>
        <v>0</v>
      </c>
      <c r="AU66" s="253">
        <f>AT66</f>
        <v>0</v>
      </c>
      <c r="AV66"/>
      <c r="AW66" s="250">
        <v>-2.4093600000000001E-3</v>
      </c>
      <c r="AX66" s="252">
        <f>IFERROR(AW66/$P66,0)</f>
        <v>0</v>
      </c>
      <c r="AY66" s="251">
        <f>$AO66-AW66</f>
        <v>0</v>
      </c>
      <c r="AZ66" s="252">
        <f>IFERROR($AO66/AW66-1,0)</f>
        <v>0</v>
      </c>
      <c r="BA66" s="253">
        <f>AZ66</f>
        <v>0</v>
      </c>
      <c r="BB66"/>
      <c r="BC66" s="250">
        <v>-0.17126421000000003</v>
      </c>
      <c r="BD66" s="252">
        <f>IFERROR(BC66/$P66,0)</f>
        <v>0</v>
      </c>
      <c r="BE66" s="251">
        <f>$AO66-BC66</f>
        <v>0.16885485000000003</v>
      </c>
      <c r="BF66" s="252">
        <f>IFERROR($AO66/BC66-1,0)</f>
        <v>-0.98593191186880202</v>
      </c>
      <c r="BG66" s="253">
        <f>BF66</f>
        <v>-0.98593191186880202</v>
      </c>
      <c r="BH66"/>
      <c r="BI66" s="250">
        <f>SUM(U66,AO66)</f>
        <v>-2.4093600000000001E-3</v>
      </c>
      <c r="BJ66" s="252">
        <f>IFERROR(BI66/$E66,0)</f>
        <v>0</v>
      </c>
      <c r="BK66" s="250">
        <f>SUM(W66,AQ66)</f>
        <v>-0.90138527906312826</v>
      </c>
      <c r="BL66" s="252">
        <f>IFERROR(BK66/$F66,0)</f>
        <v>-4.2923108526815632</v>
      </c>
      <c r="BM66" s="251">
        <f>$BI66-BK66</f>
        <v>0.89897591906312824</v>
      </c>
      <c r="BN66" s="252">
        <f>BM66/ABS(BK66)</f>
        <v>0.99732704753897883</v>
      </c>
      <c r="BO66" s="253">
        <f>BN66</f>
        <v>0.99732704753897883</v>
      </c>
      <c r="BP66"/>
      <c r="BQ66" s="250">
        <f>SUM(AC66,AW66)</f>
        <v>-2.4093600000000001E-3</v>
      </c>
      <c r="BR66" s="252">
        <f>IFERROR(BQ66/$P66,0)</f>
        <v>0</v>
      </c>
      <c r="BS66" s="251">
        <f>$BI66-BQ66</f>
        <v>0</v>
      </c>
      <c r="BT66" s="252">
        <f>IFERROR(BS66/ABS(BQ66),"")</f>
        <v>0</v>
      </c>
      <c r="BU66" s="253">
        <f>BT66</f>
        <v>0</v>
      </c>
      <c r="BV66"/>
      <c r="BW66" s="250">
        <f>SUM(AI66,BC66)</f>
        <v>-0.24130687000000001</v>
      </c>
      <c r="BX66" s="252">
        <f>IFERROR(BW66/$P66,0)</f>
        <v>0</v>
      </c>
      <c r="BY66" s="251">
        <f>$BI66-BW66</f>
        <v>0.23889751000000001</v>
      </c>
      <c r="BZ66" s="252">
        <f>IFERROR(BY66/ABS(BW66),"")</f>
        <v>0.99001536922674438</v>
      </c>
      <c r="CA66" s="253">
        <f>BZ66</f>
        <v>0.99001536922674438</v>
      </c>
    </row>
    <row r="67" spans="2:79" hidden="1" outlineLevel="1" x14ac:dyDescent="0.35">
      <c r="B67" s="255" t="s">
        <v>220</v>
      </c>
      <c r="C67" s="255" t="s">
        <v>221</v>
      </c>
      <c r="D67"/>
      <c r="E67" s="250">
        <v>0</v>
      </c>
      <c r="F67" s="250">
        <v>0.21</v>
      </c>
      <c r="G67" s="251">
        <f>$E67-F67</f>
        <v>-0.21</v>
      </c>
      <c r="H67" s="252">
        <f>IFERROR($E67/F67-1,0)</f>
        <v>-1</v>
      </c>
      <c r="I67" s="253">
        <f>H67</f>
        <v>-1</v>
      </c>
      <c r="J67"/>
      <c r="K67" s="250">
        <v>0</v>
      </c>
      <c r="L67" s="251">
        <f>$E67-K67</f>
        <v>0</v>
      </c>
      <c r="M67" s="263">
        <f>IFERROR($E67/K67-1,0)</f>
        <v>0</v>
      </c>
      <c r="N67" s="253">
        <f>M67</f>
        <v>0</v>
      </c>
      <c r="O67"/>
      <c r="P67" s="250">
        <v>0</v>
      </c>
      <c r="Q67" s="251">
        <f>$E67-P67</f>
        <v>0</v>
      </c>
      <c r="R67" s="263">
        <f>IFERROR($E67/P67-1,0)</f>
        <v>0</v>
      </c>
      <c r="S67" s="253">
        <f>R67</f>
        <v>0</v>
      </c>
      <c r="T67"/>
      <c r="U67" s="250">
        <v>-4.5698369999999995E-2</v>
      </c>
      <c r="V67" s="252">
        <f>IFERROR(U67/$E67,0)</f>
        <v>0</v>
      </c>
      <c r="W67" s="250">
        <v>-1.0645145289608395</v>
      </c>
      <c r="X67" s="252">
        <f>IFERROR(W67/$F67,0)</f>
        <v>-5.0691168045754269</v>
      </c>
      <c r="Y67" s="251">
        <f>$U67-W67</f>
        <v>1.0188161589608395</v>
      </c>
      <c r="Z67" s="252">
        <f>IFERROR($U67/W67-1,0)</f>
        <v>-0.95707116365559619</v>
      </c>
      <c r="AA67" s="253">
        <f>Z67</f>
        <v>-0.95707116365559619</v>
      </c>
      <c r="AB67"/>
      <c r="AC67" s="250">
        <v>-0.34733284585771917</v>
      </c>
      <c r="AD67" s="252">
        <f>IFERROR(AC67/$P67,0)</f>
        <v>0</v>
      </c>
      <c r="AE67" s="251">
        <f>$U67-AC67</f>
        <v>0.30163447585771919</v>
      </c>
      <c r="AF67" s="252">
        <f>IFERROR($U67/AC67-1,0)</f>
        <v>-0.86843061189001458</v>
      </c>
      <c r="AG67" s="253">
        <f>AF67</f>
        <v>-0.86843061189001458</v>
      </c>
      <c r="AH67"/>
      <c r="AI67" s="250">
        <v>0.18649876999999998</v>
      </c>
      <c r="AJ67" s="252">
        <f>IFERROR(AI67/$P67,0)</f>
        <v>0</v>
      </c>
      <c r="AK67" s="251">
        <f>$U67-AI67</f>
        <v>-0.23219713999999997</v>
      </c>
      <c r="AL67" s="252">
        <f>IFERROR($U67/AI67-1,0)</f>
        <v>-1.2450330905667635</v>
      </c>
      <c r="AM67" s="253">
        <f>AL67</f>
        <v>-1.2450330905667635</v>
      </c>
      <c r="AN67"/>
      <c r="AO67" s="250">
        <v>-0.60350857999999996</v>
      </c>
      <c r="AP67" s="252">
        <f>IFERROR(AO67/$E67,0)</f>
        <v>0</v>
      </c>
      <c r="AQ67" s="250">
        <v>0</v>
      </c>
      <c r="AR67" s="252">
        <f>IFERROR(AQ67/$F67,0)</f>
        <v>0</v>
      </c>
      <c r="AS67" s="251">
        <f>$AO67-AQ67</f>
        <v>-0.60350857999999996</v>
      </c>
      <c r="AT67" s="252">
        <f>IFERROR($AO67/AQ67-1,0)</f>
        <v>0</v>
      </c>
      <c r="AU67" s="253">
        <f>AT67</f>
        <v>0</v>
      </c>
      <c r="AV67"/>
      <c r="AW67" s="250">
        <v>-0.54567916999999988</v>
      </c>
      <c r="AX67" s="252">
        <f>IFERROR(AW67/$P67,0)</f>
        <v>0</v>
      </c>
      <c r="AY67" s="251">
        <f>$AO67-AW67</f>
        <v>-5.7829410000000081E-2</v>
      </c>
      <c r="AZ67" s="252">
        <f>IFERROR($AO67/AW67-1,0)</f>
        <v>0.10597694245869804</v>
      </c>
      <c r="BA67" s="253">
        <f>AZ67</f>
        <v>0.10597694245869804</v>
      </c>
      <c r="BB67"/>
      <c r="BC67" s="250">
        <v>-0.92421341999999995</v>
      </c>
      <c r="BD67" s="252">
        <f>IFERROR(BC67/$P67,0)</f>
        <v>0</v>
      </c>
      <c r="BE67" s="251">
        <f>$AO67-BC67</f>
        <v>0.32070483999999999</v>
      </c>
      <c r="BF67" s="252">
        <f>IFERROR($AO67/BC67-1,0)</f>
        <v>-0.34700301149057111</v>
      </c>
      <c r="BG67" s="253">
        <f>BF67</f>
        <v>-0.34700301149057111</v>
      </c>
      <c r="BH67"/>
      <c r="BI67" s="250">
        <f>SUM(U67,AO67)</f>
        <v>-0.64920694999999995</v>
      </c>
      <c r="BJ67" s="252">
        <f>IFERROR(BI67/$E67,0)</f>
        <v>0</v>
      </c>
      <c r="BK67" s="250">
        <f>SUM(W67,AQ67)</f>
        <v>-1.0645145289608395</v>
      </c>
      <c r="BL67" s="252">
        <f>IFERROR(BK67/$F67,0)</f>
        <v>-5.0691168045754269</v>
      </c>
      <c r="BM67" s="251">
        <f>$BI67-BK67</f>
        <v>0.41530757896083959</v>
      </c>
      <c r="BN67" s="252">
        <f>BM67/ABS(BK67)</f>
        <v>0.39013800907560708</v>
      </c>
      <c r="BO67" s="253">
        <f>BN67</f>
        <v>0.39013800907560708</v>
      </c>
      <c r="BP67"/>
      <c r="BQ67" s="250">
        <f>SUM(AC67,AW67)</f>
        <v>-0.89301201585771905</v>
      </c>
      <c r="BR67" s="252">
        <f>IFERROR(BQ67/$P67,0)</f>
        <v>0</v>
      </c>
      <c r="BS67" s="251">
        <f>$BI67-BQ67</f>
        <v>0.24380506585771911</v>
      </c>
      <c r="BT67" s="252">
        <f>IFERROR(BS67/ABS(BQ67),"")</f>
        <v>0.27301431730854092</v>
      </c>
      <c r="BU67" s="253">
        <f>BT67</f>
        <v>0.27301431730854092</v>
      </c>
      <c r="BV67"/>
      <c r="BW67" s="250">
        <f>SUM(AI67,BC67)</f>
        <v>-0.73771465000000003</v>
      </c>
      <c r="BX67" s="252">
        <f>IFERROR(BW67/$P67,0)</f>
        <v>0</v>
      </c>
      <c r="BY67" s="251">
        <f>$BI67-BW67</f>
        <v>8.8507700000000078E-2</v>
      </c>
      <c r="BZ67" s="252">
        <f>IFERROR(BY67/ABS(BW67),"")</f>
        <v>0.11997552170070104</v>
      </c>
      <c r="CA67" s="253">
        <f>BZ67</f>
        <v>0.11997552170070104</v>
      </c>
    </row>
    <row r="68" spans="2:79" collapsed="1" x14ac:dyDescent="0.35">
      <c r="B68" s="256" t="s">
        <v>222</v>
      </c>
      <c r="C68" s="256" t="s">
        <v>223</v>
      </c>
      <c r="D68"/>
      <c r="E68" s="257">
        <f>SUM(E69:E71)</f>
        <v>22.378821884979221</v>
      </c>
      <c r="F68" s="257">
        <f>SUM(F69:F71)</f>
        <v>23.273784954923165</v>
      </c>
      <c r="G68" s="258">
        <f>$E68-F68</f>
        <v>-0.89496306994394459</v>
      </c>
      <c r="H68" s="259">
        <f>IFERROR($E68/F68-1,0)</f>
        <v>-3.8453696795657244E-2</v>
      </c>
      <c r="I68" s="260">
        <f>H68</f>
        <v>-3.8453696795657244E-2</v>
      </c>
      <c r="J68"/>
      <c r="K68" s="257">
        <f>SUM(K69:K71)</f>
        <v>22.412880490601477</v>
      </c>
      <c r="L68" s="262">
        <f>$E68-K68</f>
        <v>-3.4058605622256266E-2</v>
      </c>
      <c r="M68" s="259">
        <f>IFERROR($E68/K68-1,0)</f>
        <v>-1.5195996621915064E-3</v>
      </c>
      <c r="N68" s="260">
        <f>M68</f>
        <v>-1.5195996621915064E-3</v>
      </c>
      <c r="O68"/>
      <c r="P68" s="257">
        <f>SUM(P69:P71)</f>
        <v>21.824528739999998</v>
      </c>
      <c r="Q68" s="262">
        <f>$E68-P68</f>
        <v>0.55429314497922277</v>
      </c>
      <c r="R68" s="259">
        <f>IFERROR($E68/P68-1,0)</f>
        <v>2.5397714268318383E-2</v>
      </c>
      <c r="S68" s="260">
        <f>R68</f>
        <v>2.5397714268318383E-2</v>
      </c>
      <c r="T68"/>
      <c r="U68" s="257">
        <f>SUM(U69:U71)</f>
        <v>5.4122047507868878</v>
      </c>
      <c r="V68" s="259">
        <f>IFERROR(U68/$E68,0)</f>
        <v>0.24184493619029995</v>
      </c>
      <c r="W68" s="257">
        <f>SUM(W69:W71)</f>
        <v>5.4823870420156231</v>
      </c>
      <c r="X68" s="259">
        <f>IFERROR(W68/$F68,0)</f>
        <v>0.23556061262205308</v>
      </c>
      <c r="Y68" s="258">
        <f>$U68-W68</f>
        <v>-7.0182291228735316E-2</v>
      </c>
      <c r="Z68" s="259">
        <f>IFERROR($U68/W68-1,0)</f>
        <v>-1.2801411263173468E-2</v>
      </c>
      <c r="AA68" s="260">
        <f>Z68</f>
        <v>-1.2801411263173468E-2</v>
      </c>
      <c r="AB68"/>
      <c r="AC68" s="257">
        <f>SUM(AC69:AC71)</f>
        <v>5.5019068462144176</v>
      </c>
      <c r="AD68" s="259">
        <f>IFERROR(AC68/$P68,0)</f>
        <v>0.25209739517218177</v>
      </c>
      <c r="AE68" s="258">
        <f>$U68-AC68</f>
        <v>-8.9702095427529827E-2</v>
      </c>
      <c r="AF68" s="259">
        <f>IFERROR($U68/AC68-1,0)</f>
        <v>-1.630381937295966E-2</v>
      </c>
      <c r="AG68" s="260">
        <f>AF68</f>
        <v>-1.630381937295966E-2</v>
      </c>
      <c r="AH68"/>
      <c r="AI68" s="257">
        <f>SUM(AI69:AI71)</f>
        <v>3.4249920400000002</v>
      </c>
      <c r="AJ68" s="259">
        <f>IFERROR(AI68/$P68,0)</f>
        <v>0.15693314988848647</v>
      </c>
      <c r="AK68" s="258">
        <f>$U68-AI68</f>
        <v>1.9872127107868875</v>
      </c>
      <c r="AL68" s="259">
        <f>IFERROR($U68/AI68-1,0)</f>
        <v>0.58020943919825507</v>
      </c>
      <c r="AM68" s="260">
        <f>AL68</f>
        <v>0.58020943919825507</v>
      </c>
      <c r="AN68"/>
      <c r="AO68" s="257">
        <f>SUM(AO69:AO71)</f>
        <v>-5.5351947559999998E-3</v>
      </c>
      <c r="AP68" s="259">
        <f>IFERROR(AO68/$E68,0)</f>
        <v>-2.4734075745583598E-4</v>
      </c>
      <c r="AQ68" s="257">
        <f>SUM(AQ69:AQ71)</f>
        <v>-1.2E-2</v>
      </c>
      <c r="AR68" s="259">
        <f>IFERROR(AQ68/$F68,0)</f>
        <v>-5.1560156731024574E-4</v>
      </c>
      <c r="AS68" s="258">
        <f>$AO68-AQ68</f>
        <v>6.4648052440000004E-3</v>
      </c>
      <c r="AT68" s="259">
        <f>IFERROR($AO68/AQ68-1,0)</f>
        <v>-0.53873377033333336</v>
      </c>
      <c r="AU68" s="260">
        <f>AT68</f>
        <v>-0.53873377033333336</v>
      </c>
      <c r="AV68"/>
      <c r="AW68" s="257">
        <f>SUM(AW69:AW71)</f>
        <v>-5.5351947559999998E-3</v>
      </c>
      <c r="AX68" s="259">
        <f>IFERROR(AW68/$P68,0)</f>
        <v>-2.5362264734060875E-4</v>
      </c>
      <c r="AY68" s="257">
        <f>$AO68-AW68</f>
        <v>0</v>
      </c>
      <c r="AZ68" s="259">
        <f>IFERROR($AO68/AW68-1,0)</f>
        <v>0</v>
      </c>
      <c r="BA68" s="260">
        <f>AZ68</f>
        <v>0</v>
      </c>
      <c r="BB68"/>
      <c r="BC68" s="257">
        <f>SUM(BC69:BC71)</f>
        <v>-0.34980754000000003</v>
      </c>
      <c r="BD68" s="259">
        <f>IFERROR(BC68/$P68,0)</f>
        <v>-1.6028182975555975E-2</v>
      </c>
      <c r="BE68" s="257">
        <f>$AO68-BC68</f>
        <v>0.34427234524400002</v>
      </c>
      <c r="BF68" s="259">
        <f>IFERROR($AO68/BC68-1,0)</f>
        <v>-0.98417645669958975</v>
      </c>
      <c r="BG68" s="260">
        <f>BF68</f>
        <v>-0.98417645669958975</v>
      </c>
      <c r="BH68"/>
      <c r="BI68" s="257">
        <f>SUM(BI69:BI71)</f>
        <v>5.4066695560308879</v>
      </c>
      <c r="BJ68" s="259">
        <f>IFERROR(BI68/$E68,0)</f>
        <v>0.24159759543284412</v>
      </c>
      <c r="BK68" s="257">
        <f>SUM(BK69:BK71)</f>
        <v>5.4703870420156235</v>
      </c>
      <c r="BL68" s="259">
        <f>IFERROR(BK68/$F68,0)</f>
        <v>0.23504501105474288</v>
      </c>
      <c r="BM68" s="258">
        <f>$BI68-BK68</f>
        <v>-6.3717485984735589E-2</v>
      </c>
      <c r="BN68" s="259">
        <f>BM68/ABS(BK68)</f>
        <v>-1.1647710755262792E-2</v>
      </c>
      <c r="BO68" s="260">
        <f>BN68</f>
        <v>-1.1647710755262792E-2</v>
      </c>
      <c r="BP68"/>
      <c r="BQ68" s="257">
        <f>SUM(BQ69:BQ71)</f>
        <v>5.4963716514584178</v>
      </c>
      <c r="BR68" s="259">
        <f>IFERROR(BQ68/$P68,0)</f>
        <v>0.25184377252484114</v>
      </c>
      <c r="BS68" s="258">
        <f>$BI68-BQ68</f>
        <v>-8.9702095427529827E-2</v>
      </c>
      <c r="BT68" s="259">
        <f>IFERROR(BS68/ABS(BQ68),"")</f>
        <v>-1.6320238352828288E-2</v>
      </c>
      <c r="BU68" s="260">
        <f>BT68</f>
        <v>-1.6320238352828288E-2</v>
      </c>
      <c r="BV68"/>
      <c r="BW68" s="257">
        <f>SUM(BW69:BW71)</f>
        <v>3.0751845000000007</v>
      </c>
      <c r="BX68" s="259">
        <f>IFERROR(BW68/$P68,0)</f>
        <v>0.1409049669129305</v>
      </c>
      <c r="BY68" s="258">
        <f>$BI68-BW68</f>
        <v>2.3314850560308873</v>
      </c>
      <c r="BZ68" s="259">
        <f>IFERROR(BY68/ABS(BW68),"")</f>
        <v>0.75816103262450973</v>
      </c>
      <c r="CA68" s="260">
        <f>BZ68</f>
        <v>0.75816103262450973</v>
      </c>
    </row>
    <row r="69" spans="2:79" hidden="1" outlineLevel="1" x14ac:dyDescent="0.35">
      <c r="B69" s="255" t="s">
        <v>224</v>
      </c>
      <c r="C69" s="255" t="s">
        <v>225</v>
      </c>
      <c r="D69"/>
      <c r="E69" s="250">
        <v>13.529852421381472</v>
      </c>
      <c r="F69" s="250">
        <v>13.310505377944773</v>
      </c>
      <c r="G69" s="251">
        <f t="shared" si="0"/>
        <v>0.21934704343669864</v>
      </c>
      <c r="H69" s="252">
        <f t="shared" si="1"/>
        <v>1.6479242313379938E-2</v>
      </c>
      <c r="I69" s="253">
        <f t="shared" si="2"/>
        <v>1.6479242313379938E-2</v>
      </c>
      <c r="J69"/>
      <c r="K69" s="250">
        <v>13.589666725347008</v>
      </c>
      <c r="L69" s="251">
        <f t="shared" ref="L69:L70" si="133">$E69-K69</f>
        <v>-5.9814303965536553E-2</v>
      </c>
      <c r="M69" s="252">
        <f t="shared" ref="M69:M70" si="134">IFERROR($E69/K69-1,0)</f>
        <v>-4.4014548093348482E-3</v>
      </c>
      <c r="N69" s="253">
        <f t="shared" ref="N69:N70" si="135">M69</f>
        <v>-4.4014548093348482E-3</v>
      </c>
      <c r="O69"/>
      <c r="P69" s="250">
        <v>12.055472529999999</v>
      </c>
      <c r="Q69" s="251">
        <f t="shared" si="6"/>
        <v>1.4743798913814725</v>
      </c>
      <c r="R69" s="252">
        <f t="shared" si="7"/>
        <v>0.1222996351003649</v>
      </c>
      <c r="S69" s="253">
        <f t="shared" si="8"/>
        <v>0.1222996351003649</v>
      </c>
      <c r="T69"/>
      <c r="U69" s="250">
        <v>3.9227183180573233</v>
      </c>
      <c r="V69" s="252">
        <f t="shared" si="9"/>
        <v>0.28993060647566121</v>
      </c>
      <c r="W69" s="250">
        <v>3.4670803647499016</v>
      </c>
      <c r="X69" s="252">
        <f t="shared" si="10"/>
        <v>0.26047698913782646</v>
      </c>
      <c r="Y69" s="251">
        <f t="shared" si="11"/>
        <v>0.45563795330742174</v>
      </c>
      <c r="Z69" s="252">
        <f t="shared" si="12"/>
        <v>0.13141834205515712</v>
      </c>
      <c r="AA69" s="253">
        <f t="shared" si="13"/>
        <v>0.13141834205515712</v>
      </c>
      <c r="AB69"/>
      <c r="AC69" s="250">
        <v>3.9581834937731291</v>
      </c>
      <c r="AD69" s="252">
        <f t="shared" ref="AD69:AD70" si="136">IFERROR(AC69/$P69,0)</f>
        <v>0.3283308459227296</v>
      </c>
      <c r="AE69" s="251">
        <f t="shared" ref="AE69:AE70" si="137">$U69-AC69</f>
        <v>-3.5465175715805763E-2</v>
      </c>
      <c r="AF69" s="252">
        <f t="shared" ref="AF69:AF70" si="138">IFERROR($U69/AC69-1,0)</f>
        <v>-8.9599625109847425E-3</v>
      </c>
      <c r="AG69" s="253">
        <f t="shared" ref="AG69:AG70" si="139">AF69</f>
        <v>-8.9599625109847425E-3</v>
      </c>
      <c r="AH69"/>
      <c r="AI69" s="250">
        <v>3.30796768</v>
      </c>
      <c r="AJ69" s="252">
        <f t="shared" si="18"/>
        <v>0.27439552218033214</v>
      </c>
      <c r="AK69" s="251">
        <f t="shared" si="19"/>
        <v>0.61475063805732333</v>
      </c>
      <c r="AL69" s="252">
        <f t="shared" si="20"/>
        <v>0.18583937254711125</v>
      </c>
      <c r="AM69" s="253">
        <f t="shared" si="21"/>
        <v>0.18583937254711125</v>
      </c>
      <c r="AN69"/>
      <c r="AO69" s="250">
        <v>-3.2130192639999999E-3</v>
      </c>
      <c r="AP69" s="252">
        <f t="shared" si="22"/>
        <v>-2.3747629788795088E-4</v>
      </c>
      <c r="AQ69" s="250">
        <v>-7.0000000000000001E-3</v>
      </c>
      <c r="AR69" s="252">
        <f t="shared" si="23"/>
        <v>-5.2590039230207238E-4</v>
      </c>
      <c r="AS69" s="251">
        <f t="shared" si="24"/>
        <v>3.7869807360000002E-3</v>
      </c>
      <c r="AT69" s="252">
        <f t="shared" si="25"/>
        <v>-0.54099724800000004</v>
      </c>
      <c r="AU69" s="253">
        <f t="shared" si="26"/>
        <v>-0.54099724800000004</v>
      </c>
      <c r="AV69"/>
      <c r="AW69" s="250">
        <v>-3.2130192639999999E-3</v>
      </c>
      <c r="AX69" s="252">
        <f t="shared" ref="AX69:AX70" si="140">IFERROR(AW69/$P69,0)</f>
        <v>-2.6651956246463281E-4</v>
      </c>
      <c r="AY69" s="251">
        <f t="shared" ref="AY69:AY70" si="141">$AO69-AW69</f>
        <v>0</v>
      </c>
      <c r="AZ69" s="252">
        <f t="shared" ref="AZ69:AZ70" si="142">IFERROR($AO69/AW69-1,0)</f>
        <v>0</v>
      </c>
      <c r="BA69" s="253">
        <f t="shared" ref="BA69:BA70" si="143">AZ69</f>
        <v>0</v>
      </c>
      <c r="BB69"/>
      <c r="BC69" s="250">
        <v>-0.34176618000000003</v>
      </c>
      <c r="BD69" s="252">
        <f t="shared" si="31"/>
        <v>-2.8349463627370567E-2</v>
      </c>
      <c r="BE69" s="251">
        <f t="shared" si="32"/>
        <v>0.33855316073600006</v>
      </c>
      <c r="BF69" s="252">
        <f t="shared" si="33"/>
        <v>-0.99059877936430107</v>
      </c>
      <c r="BG69" s="253">
        <f t="shared" si="34"/>
        <v>-0.99059877936430107</v>
      </c>
      <c r="BH69"/>
      <c r="BI69" s="250">
        <f t="shared" si="129"/>
        <v>3.9195052987933234</v>
      </c>
      <c r="BJ69" s="252">
        <f t="shared" si="35"/>
        <v>0.28969313017777326</v>
      </c>
      <c r="BK69" s="250">
        <f t="shared" si="130"/>
        <v>3.4600803647499014</v>
      </c>
      <c r="BL69" s="252">
        <f t="shared" si="36"/>
        <v>0.25995108874552442</v>
      </c>
      <c r="BM69" s="251">
        <f t="shared" si="37"/>
        <v>0.459424934043422</v>
      </c>
      <c r="BN69" s="252">
        <f t="shared" si="114"/>
        <v>0.13277868882002969</v>
      </c>
      <c r="BO69" s="253">
        <f t="shared" si="39"/>
        <v>0.13277868882002969</v>
      </c>
      <c r="BP69"/>
      <c r="BQ69" s="250">
        <f t="shared" ref="BQ69:BQ70" si="144">SUM(AC69,AW69)</f>
        <v>3.9549704745091292</v>
      </c>
      <c r="BR69" s="252">
        <f t="shared" ref="BR69:BR70" si="145">IFERROR(BQ69/$P69,0)</f>
        <v>0.328064326360265</v>
      </c>
      <c r="BS69" s="251">
        <f t="shared" ref="BS69:BS70" si="146">$BI69-BQ69</f>
        <v>-3.5465175715805763E-2</v>
      </c>
      <c r="BT69" s="252">
        <f t="shared" ref="BT69:BT70" si="147">IFERROR(BS69/ABS(BQ69),"")</f>
        <v>-8.9672415873616653E-3</v>
      </c>
      <c r="BU69" s="253">
        <f t="shared" ref="BU69:BU70" si="148">BT69</f>
        <v>-8.9672415873616653E-3</v>
      </c>
      <c r="BV69"/>
      <c r="BW69" s="250">
        <f t="shared" ref="BW69:BW70" si="149">SUM(AI69,BC69)</f>
        <v>2.9662014999999999</v>
      </c>
      <c r="BX69" s="252">
        <f t="shared" si="44"/>
        <v>0.24604605855296161</v>
      </c>
      <c r="BY69" s="251">
        <f t="shared" si="45"/>
        <v>0.9533037987933235</v>
      </c>
      <c r="BZ69" s="252">
        <f t="shared" si="122"/>
        <v>0.3213887521779365</v>
      </c>
      <c r="CA69" s="253">
        <f t="shared" si="47"/>
        <v>0.3213887521779365</v>
      </c>
    </row>
    <row r="70" spans="2:79" hidden="1" outlineLevel="1" x14ac:dyDescent="0.35">
      <c r="B70" s="255" t="s">
        <v>226</v>
      </c>
      <c r="C70" s="255" t="s">
        <v>227</v>
      </c>
      <c r="D70"/>
      <c r="E70" s="250">
        <v>4.3840680670619445</v>
      </c>
      <c r="F70" s="250">
        <v>4.9968815523928516</v>
      </c>
      <c r="G70" s="251">
        <f t="shared" si="0"/>
        <v>-0.61281348533090707</v>
      </c>
      <c r="H70" s="252">
        <f t="shared" si="1"/>
        <v>-0.12263918584130729</v>
      </c>
      <c r="I70" s="253">
        <f t="shared" si="2"/>
        <v>-0.12263918584130729</v>
      </c>
      <c r="J70"/>
      <c r="K70" s="250">
        <v>4.2693563678315138</v>
      </c>
      <c r="L70" s="251">
        <f t="shared" si="133"/>
        <v>0.11471169923043067</v>
      </c>
      <c r="M70" s="252">
        <f t="shared" si="134"/>
        <v>2.6868616565895787E-2</v>
      </c>
      <c r="N70" s="253">
        <f t="shared" si="135"/>
        <v>2.6868616565895787E-2</v>
      </c>
      <c r="O70"/>
      <c r="P70" s="250">
        <v>5.9990297800000008</v>
      </c>
      <c r="Q70" s="251">
        <f t="shared" si="6"/>
        <v>-1.6149617129380562</v>
      </c>
      <c r="R70" s="252">
        <f t="shared" si="7"/>
        <v>-0.26920381664417348</v>
      </c>
      <c r="S70" s="253">
        <f t="shared" si="8"/>
        <v>-0.26920381664417348</v>
      </c>
      <c r="T70"/>
      <c r="U70" s="250">
        <v>-0.37047133841353941</v>
      </c>
      <c r="V70" s="252">
        <f t="shared" si="9"/>
        <v>-8.4504011513173632E-2</v>
      </c>
      <c r="W70" s="250">
        <v>-0.18928145899392892</v>
      </c>
      <c r="X70" s="252">
        <f t="shared" si="10"/>
        <v>-3.7879917106157519E-2</v>
      </c>
      <c r="Y70" s="251">
        <f t="shared" si="11"/>
        <v>-0.18118987941961048</v>
      </c>
      <c r="Z70" s="252">
        <f t="shared" si="12"/>
        <v>0.9572510714080138</v>
      </c>
      <c r="AA70" s="253">
        <f t="shared" si="13"/>
        <v>0.9572510714080138</v>
      </c>
      <c r="AB70"/>
      <c r="AC70" s="250">
        <v>-0.40827142494947682</v>
      </c>
      <c r="AD70" s="252">
        <f t="shared" si="136"/>
        <v>-6.8056242412831758E-2</v>
      </c>
      <c r="AE70" s="251">
        <f t="shared" si="137"/>
        <v>3.7800086535937416E-2</v>
      </c>
      <c r="AF70" s="252">
        <f t="shared" si="138"/>
        <v>-9.2585677630059759E-2</v>
      </c>
      <c r="AG70" s="253">
        <f t="shared" si="139"/>
        <v>-9.2585677630059759E-2</v>
      </c>
      <c r="AH70"/>
      <c r="AI70" s="250">
        <v>-0.72496014999999914</v>
      </c>
      <c r="AJ70" s="252">
        <f t="shared" si="18"/>
        <v>-0.12084623290534807</v>
      </c>
      <c r="AK70" s="251">
        <f t="shared" si="19"/>
        <v>0.35448881158645973</v>
      </c>
      <c r="AL70" s="252">
        <f t="shared" si="20"/>
        <v>-0.48897696181846706</v>
      </c>
      <c r="AM70" s="253">
        <f t="shared" si="21"/>
        <v>-0.48897696181846706</v>
      </c>
      <c r="AN70"/>
      <c r="AO70" s="250">
        <v>-1.1792464319999999E-3</v>
      </c>
      <c r="AP70" s="252">
        <f t="shared" si="22"/>
        <v>-2.6898451711090591E-4</v>
      </c>
      <c r="AQ70" s="250">
        <v>-2.5000000000000001E-3</v>
      </c>
      <c r="AR70" s="252">
        <f t="shared" si="23"/>
        <v>-5.003120393764042E-4</v>
      </c>
      <c r="AS70" s="251">
        <f t="shared" si="24"/>
        <v>1.3207535680000001E-3</v>
      </c>
      <c r="AT70" s="252">
        <f t="shared" si="25"/>
        <v>-0.52830142720000006</v>
      </c>
      <c r="AU70" s="253">
        <f t="shared" si="26"/>
        <v>-0.52830142720000006</v>
      </c>
      <c r="AV70"/>
      <c r="AW70" s="250">
        <v>-1.1792464319999999E-3</v>
      </c>
      <c r="AX70" s="252">
        <f t="shared" si="140"/>
        <v>-1.9657285848646009E-4</v>
      </c>
      <c r="AY70" s="251">
        <f t="shared" si="141"/>
        <v>0</v>
      </c>
      <c r="AZ70" s="252">
        <f t="shared" si="142"/>
        <v>0</v>
      </c>
      <c r="BA70" s="253">
        <f t="shared" si="143"/>
        <v>0</v>
      </c>
      <c r="BB70"/>
      <c r="BC70" s="250">
        <v>0</v>
      </c>
      <c r="BD70" s="252">
        <f t="shared" si="31"/>
        <v>0</v>
      </c>
      <c r="BE70" s="251">
        <f t="shared" si="32"/>
        <v>-1.1792464319999999E-3</v>
      </c>
      <c r="BF70" s="252">
        <f t="shared" si="33"/>
        <v>0</v>
      </c>
      <c r="BG70" s="253">
        <f t="shared" si="34"/>
        <v>0</v>
      </c>
      <c r="BH70"/>
      <c r="BI70" s="250">
        <f t="shared" si="129"/>
        <v>-0.37165058484553942</v>
      </c>
      <c r="BJ70" s="252">
        <f t="shared" si="35"/>
        <v>-8.4772996030284542E-2</v>
      </c>
      <c r="BK70" s="250">
        <f t="shared" si="130"/>
        <v>-0.19178145899392893</v>
      </c>
      <c r="BL70" s="252">
        <f t="shared" si="36"/>
        <v>-3.8380229145533927E-2</v>
      </c>
      <c r="BM70" s="251">
        <f t="shared" si="37"/>
        <v>-0.1798691258516105</v>
      </c>
      <c r="BN70" s="252">
        <f t="shared" si="114"/>
        <v>-0.93788589780884124</v>
      </c>
      <c r="BO70" s="253">
        <f t="shared" si="39"/>
        <v>-0.93788589780884124</v>
      </c>
      <c r="BP70"/>
      <c r="BQ70" s="250">
        <f t="shared" si="144"/>
        <v>-0.40945067138147684</v>
      </c>
      <c r="BR70" s="252">
        <f t="shared" si="145"/>
        <v>-6.8252815271318226E-2</v>
      </c>
      <c r="BS70" s="251">
        <f t="shared" si="146"/>
        <v>3.7800086535937416E-2</v>
      </c>
      <c r="BT70" s="252">
        <f t="shared" si="147"/>
        <v>9.2319024434374036E-2</v>
      </c>
      <c r="BU70" s="253">
        <f t="shared" si="148"/>
        <v>9.2319024434374036E-2</v>
      </c>
      <c r="BV70"/>
      <c r="BW70" s="250">
        <f t="shared" si="149"/>
        <v>-0.72496014999999914</v>
      </c>
      <c r="BX70" s="252">
        <f t="shared" si="44"/>
        <v>-0.12084623290534807</v>
      </c>
      <c r="BY70" s="251">
        <f t="shared" si="45"/>
        <v>0.35330956515445971</v>
      </c>
      <c r="BZ70" s="252">
        <f t="shared" si="122"/>
        <v>0.48735032560680769</v>
      </c>
      <c r="CA70" s="253">
        <f t="shared" si="47"/>
        <v>0.48735032560680769</v>
      </c>
    </row>
    <row r="71" spans="2:79" hidden="1" outlineLevel="1" x14ac:dyDescent="0.35">
      <c r="B71" s="255" t="s">
        <v>228</v>
      </c>
      <c r="C71" s="255" t="s">
        <v>229</v>
      </c>
      <c r="D71"/>
      <c r="E71" s="250">
        <v>4.4649013965358053</v>
      </c>
      <c r="F71" s="250">
        <v>4.9663980245855424</v>
      </c>
      <c r="G71" s="251">
        <f>$E71-F71</f>
        <v>-0.50149662804973705</v>
      </c>
      <c r="H71" s="252">
        <f>IFERROR($E71/F71-1,0)</f>
        <v>-0.10097793724287496</v>
      </c>
      <c r="I71" s="253">
        <f>H71</f>
        <v>-0.10097793724287496</v>
      </c>
      <c r="J71"/>
      <c r="K71" s="250">
        <v>4.5538573974229548</v>
      </c>
      <c r="L71" s="251">
        <f>$E71-K71</f>
        <v>-8.89560008871495E-2</v>
      </c>
      <c r="M71" s="252">
        <f>IFERROR($E71/K71-1,0)</f>
        <v>-1.9534208721048274E-2</v>
      </c>
      <c r="N71" s="253">
        <f>M71</f>
        <v>-1.9534208721048274E-2</v>
      </c>
      <c r="O71"/>
      <c r="P71" s="250">
        <v>3.7700264299999997</v>
      </c>
      <c r="Q71" s="251">
        <f>$E71-P71</f>
        <v>0.6948749665358056</v>
      </c>
      <c r="R71" s="252">
        <f>IFERROR($E71/P71-1,0)</f>
        <v>0.18431567508554725</v>
      </c>
      <c r="S71" s="253">
        <f>R71</f>
        <v>0.18431567508554725</v>
      </c>
      <c r="T71"/>
      <c r="U71" s="250">
        <v>1.8599577711431039</v>
      </c>
      <c r="V71" s="252">
        <f>IFERROR(U71/$E71,0)</f>
        <v>0.41657308996480735</v>
      </c>
      <c r="W71" s="250">
        <v>2.2045881362596504</v>
      </c>
      <c r="X71" s="252">
        <f>IFERROR(W71/$F71,0)</f>
        <v>0.44390081611383303</v>
      </c>
      <c r="Y71" s="251">
        <f>$U71-W71</f>
        <v>-0.34463036511654654</v>
      </c>
      <c r="Z71" s="252">
        <f>IFERROR($U71/W71-1,0)</f>
        <v>-0.15632414937206984</v>
      </c>
      <c r="AA71" s="253">
        <f>Z71</f>
        <v>-0.15632414937206984</v>
      </c>
      <c r="AB71"/>
      <c r="AC71" s="250">
        <v>1.9519947773907655</v>
      </c>
      <c r="AD71" s="252">
        <f>IFERROR(AC71/$P71,0)</f>
        <v>0.51776686812001094</v>
      </c>
      <c r="AE71" s="251">
        <f>$U71-AC71</f>
        <v>-9.2037006247661646E-2</v>
      </c>
      <c r="AF71" s="252">
        <f>IFERROR($U71/AC71-1,0)</f>
        <v>-4.7150231810910714E-2</v>
      </c>
      <c r="AG71" s="253">
        <f>AF71</f>
        <v>-4.7150231810910714E-2</v>
      </c>
      <c r="AH71"/>
      <c r="AI71" s="250">
        <v>0.84198450999999941</v>
      </c>
      <c r="AJ71" s="252">
        <f>IFERROR(AI71/$P71,0)</f>
        <v>0.22333650058787505</v>
      </c>
      <c r="AK71" s="251">
        <f>$U71-AI71</f>
        <v>1.0179732611431045</v>
      </c>
      <c r="AL71" s="252">
        <f>IFERROR($U71/AI71-1,0)</f>
        <v>1.2090166137891365</v>
      </c>
      <c r="AM71" s="253">
        <f>AL71</f>
        <v>1.2090166137891365</v>
      </c>
      <c r="AN71"/>
      <c r="AO71" s="250">
        <v>-1.14292906E-3</v>
      </c>
      <c r="AP71" s="252">
        <f>IFERROR(AO71/$E71,0)</f>
        <v>-2.5598080640409378E-4</v>
      </c>
      <c r="AQ71" s="250">
        <v>-2.5000000000000001E-3</v>
      </c>
      <c r="AR71" s="252">
        <f>IFERROR(AQ71/$F71,0)</f>
        <v>-5.0338293218224917E-4</v>
      </c>
      <c r="AS71" s="251">
        <f>$AO71-AQ71</f>
        <v>1.3570709400000001E-3</v>
      </c>
      <c r="AT71" s="252">
        <f>IFERROR($AO71/AQ71-1,0)</f>
        <v>-0.542828376</v>
      </c>
      <c r="AU71" s="253">
        <f>AT71</f>
        <v>-0.542828376</v>
      </c>
      <c r="AV71"/>
      <c r="AW71" s="250">
        <v>-1.14292906E-3</v>
      </c>
      <c r="AX71" s="252">
        <f>IFERROR(AW71/$P71,0)</f>
        <v>-3.0316208154540709E-4</v>
      </c>
      <c r="AY71" s="251">
        <f>$AO71-AW71</f>
        <v>0</v>
      </c>
      <c r="AZ71" s="252">
        <f>IFERROR($AO71/AW71-1,0)</f>
        <v>0</v>
      </c>
      <c r="BA71" s="253">
        <f>AZ71</f>
        <v>0</v>
      </c>
      <c r="BB71"/>
      <c r="BC71" s="250">
        <v>-8.0413600000000009E-3</v>
      </c>
      <c r="BD71" s="252">
        <f>IFERROR(BC71/$P71,0)</f>
        <v>-2.1329717839670428E-3</v>
      </c>
      <c r="BE71" s="251">
        <f>$AO71-BC71</f>
        <v>6.8984309400000011E-3</v>
      </c>
      <c r="BF71" s="252">
        <f>IFERROR($AO71/BC71-1,0)</f>
        <v>-0.85786868639135672</v>
      </c>
      <c r="BG71" s="253">
        <f>BF71</f>
        <v>-0.85786868639135672</v>
      </c>
      <c r="BH71"/>
      <c r="BI71" s="250">
        <f>SUM(U71,AO71)</f>
        <v>1.8588148420831039</v>
      </c>
      <c r="BJ71" s="252">
        <f>IFERROR(BI71/$E71,0)</f>
        <v>0.41631710915840325</v>
      </c>
      <c r="BK71" s="250">
        <f>SUM(W71,AQ71)</f>
        <v>2.2020881362596505</v>
      </c>
      <c r="BL71" s="252">
        <f>IFERROR(BK71/$F71,0)</f>
        <v>0.44339743318165081</v>
      </c>
      <c r="BM71" s="251">
        <f>$BI71-BK71</f>
        <v>-0.34327329417654662</v>
      </c>
      <c r="BN71" s="252">
        <f>BM71/ABS(BK71)</f>
        <v>-0.15588535650512714</v>
      </c>
      <c r="BO71" s="253">
        <f>BN71</f>
        <v>-0.15588535650512714</v>
      </c>
      <c r="BP71"/>
      <c r="BQ71" s="250">
        <f>SUM(AC71,AW71)</f>
        <v>1.9508518483307655</v>
      </c>
      <c r="BR71" s="252">
        <f>IFERROR(BQ71/$P71,0)</f>
        <v>0.51746370603846559</v>
      </c>
      <c r="BS71" s="251">
        <f>$BI71-BQ71</f>
        <v>-9.2037006247661646E-2</v>
      </c>
      <c r="BT71" s="252">
        <f>IFERROR(BS71/ABS(BQ71),"")</f>
        <v>-4.7177855318133226E-2</v>
      </c>
      <c r="BU71" s="253">
        <f>BT71</f>
        <v>-4.7177855318133226E-2</v>
      </c>
      <c r="BV71"/>
      <c r="BW71" s="250">
        <f>SUM(AI71,BC71)</f>
        <v>0.83394314999999941</v>
      </c>
      <c r="BX71" s="252">
        <f>IFERROR(BW71/$P71,0)</f>
        <v>0.22120352880390801</v>
      </c>
      <c r="BY71" s="251">
        <f>$BI71-BW71</f>
        <v>1.0248716920831045</v>
      </c>
      <c r="BZ71" s="252">
        <f>IFERROR(BY71/ABS(BW71),"")</f>
        <v>1.2289467118749104</v>
      </c>
      <c r="CA71" s="253">
        <f>BZ71</f>
        <v>1.2289467118749104</v>
      </c>
    </row>
    <row r="72" spans="2:79" collapsed="1" x14ac:dyDescent="0.35">
      <c r="B72" s="244" t="s">
        <v>230</v>
      </c>
      <c r="C72" s="244" t="s">
        <v>231</v>
      </c>
      <c r="D72"/>
      <c r="E72" s="245">
        <v>23.756430562476353</v>
      </c>
      <c r="F72" s="245">
        <v>26.053709865345439</v>
      </c>
      <c r="G72" s="246">
        <f>$E72-F72</f>
        <v>-2.2972793028690859</v>
      </c>
      <c r="H72" s="264">
        <f>IFERROR($E72/F72-1,0)</f>
        <v>-8.8174748039423823E-2</v>
      </c>
      <c r="I72" s="265">
        <f>H72</f>
        <v>-8.8174748039423823E-2</v>
      </c>
      <c r="J72"/>
      <c r="K72" s="245">
        <v>23.84746465637004</v>
      </c>
      <c r="L72" s="246">
        <f>$E72-K72</f>
        <v>-9.1034093893686219E-2</v>
      </c>
      <c r="M72" s="264">
        <f>IFERROR($E72/K72-1,0)</f>
        <v>-3.8173489385744386E-3</v>
      </c>
      <c r="N72" s="265">
        <f>M72</f>
        <v>-3.8173489385744386E-3</v>
      </c>
      <c r="O72"/>
      <c r="P72" s="245">
        <v>20.652806240000015</v>
      </c>
      <c r="Q72" s="246">
        <f>$E72-P72</f>
        <v>3.1036243224763389</v>
      </c>
      <c r="R72" s="264">
        <f>IFERROR($E72/P72-1,0)</f>
        <v>0.15027615552143669</v>
      </c>
      <c r="S72" s="265">
        <f>R72</f>
        <v>0.15027615552143669</v>
      </c>
      <c r="T72"/>
      <c r="U72" s="245">
        <v>-6.5836989001075645</v>
      </c>
      <c r="V72" s="264">
        <f>IFERROR(U72/$E72,0)</f>
        <v>-0.27713333797319778</v>
      </c>
      <c r="W72" s="245">
        <v>-6.3909327294119489</v>
      </c>
      <c r="X72" s="264">
        <f>IFERROR(W72/$F72,0)</f>
        <v>-0.24529837640944396</v>
      </c>
      <c r="Y72" s="246">
        <f>$U72-W72</f>
        <v>-0.19276617069561564</v>
      </c>
      <c r="Z72" s="264">
        <f>IFERROR($U72/W72-1,0)</f>
        <v>3.0162447150864136E-2</v>
      </c>
      <c r="AA72" s="265">
        <f>Z72</f>
        <v>3.0162447150864136E-2</v>
      </c>
      <c r="AB72"/>
      <c r="AC72" s="245">
        <v>-6.3200976405458489</v>
      </c>
      <c r="AD72" s="264">
        <f>IFERROR(AC72/$P72,0)</f>
        <v>-0.30601641089844672</v>
      </c>
      <c r="AE72" s="246">
        <f>$U72-AC72</f>
        <v>-0.26360125956171565</v>
      </c>
      <c r="AF72" s="264">
        <f>IFERROR($U72/AC72-1,0)</f>
        <v>4.1708415685006495E-2</v>
      </c>
      <c r="AG72" s="265">
        <f>AF72</f>
        <v>4.1708415685006495E-2</v>
      </c>
      <c r="AH72"/>
      <c r="AI72" s="245">
        <v>-3.9491809999999883</v>
      </c>
      <c r="AJ72" s="264">
        <f>IFERROR(AI72/$P72,0)</f>
        <v>-0.19121764636281144</v>
      </c>
      <c r="AK72" s="246">
        <f>$U72-AI72</f>
        <v>-2.6345179001075762</v>
      </c>
      <c r="AL72" s="264">
        <f>IFERROR($U72/AI72-1,0)</f>
        <v>0.66710487569639976</v>
      </c>
      <c r="AM72" s="265">
        <f>AL72</f>
        <v>0.66710487569639976</v>
      </c>
      <c r="AN72"/>
      <c r="AO72" s="245">
        <v>-0.86939309481200056</v>
      </c>
      <c r="AP72" s="264">
        <f>IFERROR(AO72/$E72,0)</f>
        <v>-3.6596116261052296E-2</v>
      </c>
      <c r="AQ72" s="245">
        <v>0</v>
      </c>
      <c r="AR72" s="264">
        <f>IFERROR(AQ72/$F72,0)</f>
        <v>0</v>
      </c>
      <c r="AS72" s="246">
        <f>$AO72-AQ72</f>
        <v>-0.86939309481200056</v>
      </c>
      <c r="AT72" s="264">
        <f>IFERROR($AO72/AQ72-1,0)</f>
        <v>0</v>
      </c>
      <c r="AU72" s="265">
        <f>AT72</f>
        <v>0</v>
      </c>
      <c r="AV72"/>
      <c r="AW72" s="245">
        <v>-0.93569583481200103</v>
      </c>
      <c r="AX72" s="264">
        <f>IFERROR(AW72/$P72,0)</f>
        <v>-4.5305990088637969E-2</v>
      </c>
      <c r="AY72" s="246">
        <f>$AO72-AW72</f>
        <v>6.6302740000000471E-2</v>
      </c>
      <c r="AZ72" s="264">
        <f>IFERROR($AO72/AW72-1,0)</f>
        <v>-7.0859287316718644E-2</v>
      </c>
      <c r="BA72" s="265">
        <f>AZ72</f>
        <v>-7.0859287316718644E-2</v>
      </c>
      <c r="BB72"/>
      <c r="BC72" s="245">
        <v>-1.0464611699999999</v>
      </c>
      <c r="BD72" s="264">
        <f>IFERROR(BC72/$P72,0)</f>
        <v>-5.0669200003108109E-2</v>
      </c>
      <c r="BE72" s="246">
        <f>$AO72-BC72</f>
        <v>0.17706807518799939</v>
      </c>
      <c r="BF72" s="264">
        <f>IFERROR($AO72/BC72-1,0)</f>
        <v>-0.16920654130721291</v>
      </c>
      <c r="BG72" s="265">
        <f>BF72</f>
        <v>-0.16920654130721291</v>
      </c>
      <c r="BH72"/>
      <c r="BI72" s="245">
        <f>SUM(U72,AO72)</f>
        <v>-7.4530919949195651</v>
      </c>
      <c r="BJ72" s="264">
        <f>IFERROR(BI72/$E72,0)</f>
        <v>-0.31372945423425008</v>
      </c>
      <c r="BK72" s="245">
        <f>SUM(W72,AQ72)</f>
        <v>-6.3909327294119489</v>
      </c>
      <c r="BL72" s="264">
        <f>IFERROR(BK72/$F72,0)</f>
        <v>-0.24529837640944396</v>
      </c>
      <c r="BM72" s="246">
        <f>$BI72-BK72</f>
        <v>-1.0621592655076162</v>
      </c>
      <c r="BN72" s="264">
        <f>BM72/ABS(BK72)</f>
        <v>-0.16619784786959399</v>
      </c>
      <c r="BO72" s="265">
        <f>BN72</f>
        <v>-0.16619784786959399</v>
      </c>
      <c r="BP72"/>
      <c r="BQ72" s="245">
        <f>SUM(AC72,AW72)</f>
        <v>-7.2557934753578497</v>
      </c>
      <c r="BR72" s="264">
        <f>IFERROR(BQ72/$P72,0)</f>
        <v>-0.35132240098708467</v>
      </c>
      <c r="BS72" s="246">
        <f>$BI72-BQ72</f>
        <v>-0.1972985195617154</v>
      </c>
      <c r="BT72" s="264">
        <f>IFERROR(BS72/ABS(BQ72),"")</f>
        <v>-2.7191859888485152E-2</v>
      </c>
      <c r="BU72" s="265">
        <f>BT72</f>
        <v>-2.7191859888485152E-2</v>
      </c>
      <c r="BV72"/>
      <c r="BW72" s="245">
        <f>SUM(AI72,BC72)</f>
        <v>-4.9956421699999884</v>
      </c>
      <c r="BX72" s="264">
        <f>IFERROR(BW72/$P72,0)</f>
        <v>-0.24188684636591956</v>
      </c>
      <c r="BY72" s="246">
        <f>$BI72-BW72</f>
        <v>-2.4574498249195766</v>
      </c>
      <c r="BZ72" s="264">
        <f>IFERROR(BY72/ABS(BW72),"")</f>
        <v>-0.49191870460161125</v>
      </c>
      <c r="CA72" s="265">
        <f>BZ72</f>
        <v>-0.49191870460161125</v>
      </c>
    </row>
    <row r="73" spans="2:79" x14ac:dyDescent="0.35">
      <c r="B73" s="244" t="s">
        <v>232</v>
      </c>
      <c r="C73" s="244" t="s">
        <v>233</v>
      </c>
      <c r="D73"/>
      <c r="E73" s="245">
        <v>5.4332363800000003</v>
      </c>
      <c r="F73" s="245">
        <v>5.4420046698338558</v>
      </c>
      <c r="G73" s="246">
        <f t="shared" si="0"/>
        <v>-8.7682898338554693E-3</v>
      </c>
      <c r="H73" s="264">
        <f t="shared" si="1"/>
        <v>-1.6112242391962406E-3</v>
      </c>
      <c r="I73" s="265">
        <f t="shared" si="2"/>
        <v>-1.6112242391962406E-3</v>
      </c>
      <c r="J73"/>
      <c r="K73" s="245">
        <v>5.3485893789054453</v>
      </c>
      <c r="L73" s="246">
        <f t="shared" ref="L73:L75" si="150">$E73-K73</f>
        <v>8.464700109455503E-2</v>
      </c>
      <c r="M73" s="264">
        <f t="shared" ref="M73:M75" si="151">IFERROR($E73/K73-1,0)</f>
        <v>1.5826042176353639E-2</v>
      </c>
      <c r="N73" s="265">
        <f t="shared" ref="N73:N83" si="152">M73</f>
        <v>1.5826042176353639E-2</v>
      </c>
      <c r="O73"/>
      <c r="P73" s="245">
        <v>5.7131886399999967</v>
      </c>
      <c r="Q73" s="246">
        <f t="shared" si="6"/>
        <v>-0.2799522599999964</v>
      </c>
      <c r="R73" s="264">
        <f t="shared" si="7"/>
        <v>-4.9001053114184678E-2</v>
      </c>
      <c r="S73" s="265">
        <f t="shared" si="8"/>
        <v>-4.9001053114184678E-2</v>
      </c>
      <c r="T73"/>
      <c r="U73" s="245">
        <v>-0.49690006103317358</v>
      </c>
      <c r="V73" s="264">
        <f t="shared" si="9"/>
        <v>-9.1455630913148955E-2</v>
      </c>
      <c r="W73" s="245">
        <v>-1.7423909958579531</v>
      </c>
      <c r="X73" s="264">
        <f t="shared" si="10"/>
        <v>-0.32017447642343683</v>
      </c>
      <c r="Y73" s="246">
        <f t="shared" si="11"/>
        <v>1.2454909348247796</v>
      </c>
      <c r="Z73" s="264">
        <f t="shared" si="12"/>
        <v>-0.71481713219684084</v>
      </c>
      <c r="AA73" s="265">
        <f t="shared" si="13"/>
        <v>-0.71481713219684084</v>
      </c>
      <c r="AB73"/>
      <c r="AC73" s="245">
        <v>-0.39961201632761761</v>
      </c>
      <c r="AD73" s="264">
        <f t="shared" ref="AD73:AD75" si="153">IFERROR(AC73/$P73,0)</f>
        <v>-6.9945531560046278E-2</v>
      </c>
      <c r="AE73" s="246">
        <f t="shared" ref="AE73:AE75" si="154">$U73-AC73</f>
        <v>-9.7288044705555965E-2</v>
      </c>
      <c r="AF73" s="264">
        <f t="shared" ref="AF73:AF75" si="155">IFERROR($U73/AC73-1,0)</f>
        <v>0.24345625439299945</v>
      </c>
      <c r="AG73" s="265">
        <f t="shared" ref="AG73:AG83" si="156">AF73</f>
        <v>0.24345625439299945</v>
      </c>
      <c r="AH73"/>
      <c r="AI73" s="245">
        <v>-1.09543659000001</v>
      </c>
      <c r="AJ73" s="264">
        <f t="shared" si="18"/>
        <v>-0.19173821468636307</v>
      </c>
      <c r="AK73" s="246">
        <f t="shared" si="19"/>
        <v>0.59853652896683651</v>
      </c>
      <c r="AL73" s="264">
        <f t="shared" si="20"/>
        <v>-0.54639084948479855</v>
      </c>
      <c r="AM73" s="265">
        <f t="shared" si="21"/>
        <v>-0.54639084948479855</v>
      </c>
      <c r="AN73"/>
      <c r="AO73" s="245">
        <v>-2.1118711760000001E-3</v>
      </c>
      <c r="AP73" s="264">
        <f t="shared" si="22"/>
        <v>-3.8869488244131943E-4</v>
      </c>
      <c r="AQ73" s="245">
        <v>-0.13200000000000001</v>
      </c>
      <c r="AR73" s="264">
        <f t="shared" si="23"/>
        <v>-2.4255767499006934E-2</v>
      </c>
      <c r="AS73" s="246">
        <f t="shared" si="24"/>
        <v>0.129888128824</v>
      </c>
      <c r="AT73" s="264">
        <f t="shared" si="25"/>
        <v>-0.98400097593939395</v>
      </c>
      <c r="AU73" s="265">
        <f t="shared" si="26"/>
        <v>-0.98400097593939395</v>
      </c>
      <c r="AV73"/>
      <c r="AW73" s="245">
        <v>-2.1118711760000001E-3</v>
      </c>
      <c r="AX73" s="264">
        <f t="shared" ref="AX73:AX75" si="157">IFERROR(AW73/$P73,0)</f>
        <v>-3.6964842386160058E-4</v>
      </c>
      <c r="AY73" s="246">
        <f t="shared" ref="AY73:AY75" si="158">$AO73-AW73</f>
        <v>0</v>
      </c>
      <c r="AZ73" s="264">
        <f t="shared" ref="AZ73:AZ75" si="159">IFERROR($AO73/AW73-1,0)</f>
        <v>0</v>
      </c>
      <c r="BA73" s="265">
        <f t="shared" ref="BA73:BA83" si="160">AZ73</f>
        <v>0</v>
      </c>
      <c r="BB73"/>
      <c r="BC73" s="245">
        <v>-4.8191000000000058E-3</v>
      </c>
      <c r="BD73" s="264">
        <f t="shared" si="31"/>
        <v>-8.4350444273095251E-4</v>
      </c>
      <c r="BE73" s="246">
        <f t="shared" si="32"/>
        <v>2.7072288240000057E-3</v>
      </c>
      <c r="BF73" s="264">
        <f t="shared" si="33"/>
        <v>-0.56177062605050787</v>
      </c>
      <c r="BG73" s="265">
        <f t="shared" si="34"/>
        <v>-0.56177062605050787</v>
      </c>
      <c r="BH73"/>
      <c r="BI73" s="245">
        <f t="shared" si="129"/>
        <v>-0.49901193220917356</v>
      </c>
      <c r="BJ73" s="264">
        <f t="shared" si="35"/>
        <v>-9.1844325795590279E-2</v>
      </c>
      <c r="BK73" s="245">
        <f t="shared" si="130"/>
        <v>-1.874390995857953</v>
      </c>
      <c r="BL73" s="264">
        <f t="shared" si="36"/>
        <v>-0.34443024392244376</v>
      </c>
      <c r="BM73" s="246">
        <f t="shared" si="37"/>
        <v>1.3753790636487795</v>
      </c>
      <c r="BN73" s="264">
        <f t="shared" si="114"/>
        <v>0.73377383197428137</v>
      </c>
      <c r="BO73" s="265">
        <f t="shared" si="39"/>
        <v>0.73377383197428137</v>
      </c>
      <c r="BP73"/>
      <c r="BQ73" s="245">
        <f t="shared" ref="BQ73:BQ76" si="161">SUM(AC73,AW73)</f>
        <v>-0.40172388750361759</v>
      </c>
      <c r="BR73" s="264">
        <f t="shared" ref="BR73:BR75" si="162">IFERROR(BQ73/$P73,0)</f>
        <v>-7.0315179983907863E-2</v>
      </c>
      <c r="BS73" s="246">
        <f t="shared" ref="BS73:BS75" si="163">$BI73-BQ73</f>
        <v>-9.7288044705555965E-2</v>
      </c>
      <c r="BT73" s="264">
        <f t="shared" ref="BT73:BT75" si="164">IFERROR(BS73/ABS(BQ73),"")</f>
        <v>-0.24217639959157239</v>
      </c>
      <c r="BU73" s="265">
        <f t="shared" ref="BU73:BU83" si="165">BT73</f>
        <v>-0.24217639959157239</v>
      </c>
      <c r="BV73"/>
      <c r="BW73" s="245">
        <f t="shared" ref="BW73:BW76" si="166">SUM(AI73,BC73)</f>
        <v>-1.10025569000001</v>
      </c>
      <c r="BX73" s="264">
        <f t="shared" si="44"/>
        <v>-0.19258171912909403</v>
      </c>
      <c r="BY73" s="246">
        <f t="shared" si="45"/>
        <v>0.6012437577908365</v>
      </c>
      <c r="BZ73" s="264">
        <f t="shared" si="122"/>
        <v>0.54645821262767658</v>
      </c>
      <c r="CA73" s="265">
        <f t="shared" si="47"/>
        <v>0.54645821262767658</v>
      </c>
    </row>
    <row r="74" spans="2:79" x14ac:dyDescent="0.35">
      <c r="B74" s="244" t="s">
        <v>234</v>
      </c>
      <c r="C74" s="244" t="s">
        <v>235</v>
      </c>
      <c r="D74"/>
      <c r="E74" s="245">
        <v>0.55670425322979245</v>
      </c>
      <c r="F74" s="245">
        <v>0.71255794829230079</v>
      </c>
      <c r="G74" s="246">
        <f t="shared" si="0"/>
        <v>-0.15585369506250835</v>
      </c>
      <c r="H74" s="264">
        <f t="shared" si="1"/>
        <v>-0.21872423911069061</v>
      </c>
      <c r="I74" s="265">
        <f t="shared" si="2"/>
        <v>-0.21872423911069061</v>
      </c>
      <c r="J74"/>
      <c r="K74" s="245">
        <v>0.60290655910625002</v>
      </c>
      <c r="L74" s="246">
        <f t="shared" si="150"/>
        <v>-4.6202305876457572E-2</v>
      </c>
      <c r="M74" s="264">
        <f t="shared" si="151"/>
        <v>-7.6632614421956124E-2</v>
      </c>
      <c r="N74" s="265">
        <f t="shared" si="152"/>
        <v>-7.6632614421956124E-2</v>
      </c>
      <c r="O74"/>
      <c r="P74" s="245">
        <v>0.40127361199411604</v>
      </c>
      <c r="Q74" s="246">
        <f t="shared" si="6"/>
        <v>0.1554306412356764</v>
      </c>
      <c r="R74" s="264">
        <f t="shared" si="7"/>
        <v>0.387343290437836</v>
      </c>
      <c r="S74" s="265">
        <f t="shared" si="8"/>
        <v>0.387343290437836</v>
      </c>
      <c r="T74"/>
      <c r="U74" s="245">
        <v>-0.15182196984059318</v>
      </c>
      <c r="V74" s="264">
        <f t="shared" si="9"/>
        <v>-0.27271566358578758</v>
      </c>
      <c r="W74" s="245">
        <v>-2.3395222657934154</v>
      </c>
      <c r="X74" s="264">
        <f t="shared" si="10"/>
        <v>-3.2832729904988893</v>
      </c>
      <c r="Y74" s="246">
        <f t="shared" si="11"/>
        <v>2.1877002959528222</v>
      </c>
      <c r="Z74" s="264">
        <f t="shared" si="12"/>
        <v>-0.93510556746545648</v>
      </c>
      <c r="AA74" s="265">
        <f t="shared" si="13"/>
        <v>-0.93510556746545648</v>
      </c>
      <c r="AB74"/>
      <c r="AC74" s="245">
        <v>-0.310221129992443</v>
      </c>
      <c r="AD74" s="264">
        <f t="shared" si="153"/>
        <v>-0.77309127916687392</v>
      </c>
      <c r="AE74" s="246">
        <f t="shared" si="154"/>
        <v>0.15839916015184982</v>
      </c>
      <c r="AF74" s="264">
        <f t="shared" si="155"/>
        <v>-0.51060080967311428</v>
      </c>
      <c r="AG74" s="265">
        <f t="shared" si="156"/>
        <v>-0.51060080967311428</v>
      </c>
      <c r="AH74"/>
      <c r="AI74" s="245">
        <v>-0.34271450172614487</v>
      </c>
      <c r="AJ74" s="264">
        <f t="shared" si="18"/>
        <v>-0.85406687976076079</v>
      </c>
      <c r="AK74" s="246">
        <f t="shared" si="19"/>
        <v>0.19089253188555169</v>
      </c>
      <c r="AL74" s="264">
        <f t="shared" si="20"/>
        <v>-0.55700161774330004</v>
      </c>
      <c r="AM74" s="265">
        <f t="shared" si="21"/>
        <v>-0.55700161774330004</v>
      </c>
      <c r="AN74"/>
      <c r="AO74" s="245">
        <v>-1.4965033240899999</v>
      </c>
      <c r="AP74" s="264">
        <f t="shared" si="22"/>
        <v>-2.6881478188963714</v>
      </c>
      <c r="AQ74" s="245">
        <v>0</v>
      </c>
      <c r="AR74" s="264">
        <f t="shared" si="23"/>
        <v>0</v>
      </c>
      <c r="AS74" s="246">
        <f t="shared" si="24"/>
        <v>-1.4965033240899999</v>
      </c>
      <c r="AT74" s="264">
        <f t="shared" si="25"/>
        <v>0</v>
      </c>
      <c r="AU74" s="265">
        <f t="shared" si="26"/>
        <v>0</v>
      </c>
      <c r="AV74"/>
      <c r="AW74" s="245">
        <v>-1.4945798108688799</v>
      </c>
      <c r="AX74" s="264">
        <f t="shared" si="157"/>
        <v>-3.7245903199106829</v>
      </c>
      <c r="AY74" s="246">
        <f t="shared" si="158"/>
        <v>-1.9235132211199435E-3</v>
      </c>
      <c r="AZ74" s="264">
        <f t="shared" si="159"/>
        <v>1.2869926431040568E-3</v>
      </c>
      <c r="BA74" s="265">
        <f t="shared" si="160"/>
        <v>1.2869926431040568E-3</v>
      </c>
      <c r="BB74"/>
      <c r="BC74" s="245">
        <v>-1.5933260699999987</v>
      </c>
      <c r="BD74" s="264">
        <f t="shared" si="31"/>
        <v>-3.9706724349054929</v>
      </c>
      <c r="BE74" s="246">
        <f t="shared" si="32"/>
        <v>9.6822745909998842E-2</v>
      </c>
      <c r="BF74" s="264">
        <f t="shared" si="33"/>
        <v>-6.0767690765267446E-2</v>
      </c>
      <c r="BG74" s="265">
        <f t="shared" si="34"/>
        <v>-6.0767690765267446E-2</v>
      </c>
      <c r="BH74"/>
      <c r="BI74" s="245">
        <f t="shared" si="129"/>
        <v>-1.648325293930593</v>
      </c>
      <c r="BJ74" s="264">
        <f t="shared" si="35"/>
        <v>-2.9608634824821589</v>
      </c>
      <c r="BK74" s="245">
        <f t="shared" si="130"/>
        <v>-2.3395222657934154</v>
      </c>
      <c r="BL74" s="264">
        <f t="shared" si="36"/>
        <v>-3.2832729904988893</v>
      </c>
      <c r="BM74" s="246">
        <f t="shared" si="37"/>
        <v>0.69119697186282236</v>
      </c>
      <c r="BN74" s="264">
        <f t="shared" si="114"/>
        <v>0.29544363905782828</v>
      </c>
      <c r="BO74" s="265">
        <f t="shared" si="39"/>
        <v>0.29544363905782828</v>
      </c>
      <c r="BP74"/>
      <c r="BQ74" s="245">
        <f t="shared" si="161"/>
        <v>-1.8048009408613228</v>
      </c>
      <c r="BR74" s="264">
        <f t="shared" si="162"/>
        <v>-4.4976815990775565</v>
      </c>
      <c r="BS74" s="246">
        <f t="shared" si="163"/>
        <v>0.15647564693072979</v>
      </c>
      <c r="BT74" s="264">
        <f t="shared" si="164"/>
        <v>8.6699670522142669E-2</v>
      </c>
      <c r="BU74" s="265">
        <f t="shared" si="165"/>
        <v>8.6699670522142669E-2</v>
      </c>
      <c r="BV74"/>
      <c r="BW74" s="245">
        <f t="shared" si="166"/>
        <v>-1.9360405717261435</v>
      </c>
      <c r="BX74" s="264">
        <f t="shared" si="44"/>
        <v>-4.8247393146662532</v>
      </c>
      <c r="BY74" s="246">
        <f t="shared" si="45"/>
        <v>0.28771527779555051</v>
      </c>
      <c r="BZ74" s="264">
        <f t="shared" si="122"/>
        <v>0.14861014898000205</v>
      </c>
      <c r="CA74" s="265">
        <f t="shared" si="47"/>
        <v>0.14861014898000205</v>
      </c>
    </row>
    <row r="75" spans="2:79" x14ac:dyDescent="0.35">
      <c r="B75" s="244" t="s">
        <v>236</v>
      </c>
      <c r="C75" s="244" t="s">
        <v>237</v>
      </c>
      <c r="D75"/>
      <c r="E75" s="245">
        <v>4.5968964899999989</v>
      </c>
      <c r="F75" s="245">
        <v>4.6917470185641275</v>
      </c>
      <c r="G75" s="246">
        <f t="shared" si="0"/>
        <v>-9.4850528564128567E-2</v>
      </c>
      <c r="H75" s="264">
        <f t="shared" si="1"/>
        <v>-2.0216462692644654E-2</v>
      </c>
      <c r="I75" s="265">
        <f t="shared" si="2"/>
        <v>-2.0216462692644654E-2</v>
      </c>
      <c r="J75"/>
      <c r="K75" s="245">
        <v>4.4339156291748738</v>
      </c>
      <c r="L75" s="246">
        <f t="shared" si="150"/>
        <v>0.16298086082512508</v>
      </c>
      <c r="M75" s="264">
        <f t="shared" si="151"/>
        <v>3.6757772239219388E-2</v>
      </c>
      <c r="N75" s="265">
        <f t="shared" si="152"/>
        <v>3.6757772239219388E-2</v>
      </c>
      <c r="O75"/>
      <c r="P75" s="245">
        <v>0</v>
      </c>
      <c r="Q75" s="246">
        <f t="shared" si="6"/>
        <v>4.5968964899999989</v>
      </c>
      <c r="R75" s="264">
        <f t="shared" si="7"/>
        <v>0</v>
      </c>
      <c r="S75" s="265">
        <f t="shared" si="8"/>
        <v>0</v>
      </c>
      <c r="T75"/>
      <c r="U75" s="245">
        <v>6.9478604372862171E-2</v>
      </c>
      <c r="V75" s="264">
        <f t="shared" si="9"/>
        <v>1.5114241646294321E-2</v>
      </c>
      <c r="W75" s="245">
        <v>-0.17316982303867051</v>
      </c>
      <c r="X75" s="264">
        <f t="shared" si="10"/>
        <v>-3.6909454485392901E-2</v>
      </c>
      <c r="Y75" s="246">
        <f t="shared" si="11"/>
        <v>0.2426484274115327</v>
      </c>
      <c r="Z75" s="264">
        <f t="shared" si="12"/>
        <v>-1.4012165812362523</v>
      </c>
      <c r="AA75" s="265">
        <f t="shared" si="13"/>
        <v>-1.4012165812362523</v>
      </c>
      <c r="AB75"/>
      <c r="AC75" s="245">
        <v>0.16892687916942895</v>
      </c>
      <c r="AD75" s="264">
        <f t="shared" si="153"/>
        <v>0</v>
      </c>
      <c r="AE75" s="246">
        <f t="shared" si="154"/>
        <v>-9.9448274796566774E-2</v>
      </c>
      <c r="AF75" s="264">
        <f t="shared" si="155"/>
        <v>-0.58870604420995032</v>
      </c>
      <c r="AG75" s="265">
        <f t="shared" si="156"/>
        <v>-0.58870604420995032</v>
      </c>
      <c r="AH75"/>
      <c r="AI75" s="245">
        <v>0</v>
      </c>
      <c r="AJ75" s="264">
        <f t="shared" si="18"/>
        <v>0</v>
      </c>
      <c r="AK75" s="246">
        <f t="shared" si="19"/>
        <v>6.9478604372862171E-2</v>
      </c>
      <c r="AL75" s="264">
        <f t="shared" si="20"/>
        <v>0</v>
      </c>
      <c r="AM75" s="265">
        <f t="shared" si="21"/>
        <v>0</v>
      </c>
      <c r="AN75"/>
      <c r="AO75" s="245">
        <v>2.655314999999998E-2</v>
      </c>
      <c r="AP75" s="264">
        <f t="shared" si="22"/>
        <v>5.7763210587323853E-3</v>
      </c>
      <c r="AQ75" s="245">
        <v>-5.4999999999999997E-3</v>
      </c>
      <c r="AR75" s="264">
        <f t="shared" si="23"/>
        <v>-1.1722712197051136E-3</v>
      </c>
      <c r="AS75" s="246">
        <f t="shared" si="24"/>
        <v>3.2053149999999982E-2</v>
      </c>
      <c r="AT75" s="264">
        <f t="shared" si="25"/>
        <v>-5.827845454545451</v>
      </c>
      <c r="AU75" s="265">
        <f t="shared" si="26"/>
        <v>-5.827845454545451</v>
      </c>
      <c r="AV75"/>
      <c r="AW75" s="245">
        <v>-3.4840000000000001E-3</v>
      </c>
      <c r="AX75" s="264">
        <f t="shared" si="157"/>
        <v>0</v>
      </c>
      <c r="AY75" s="246">
        <f t="shared" si="158"/>
        <v>3.0037149999999981E-2</v>
      </c>
      <c r="AZ75" s="264">
        <f t="shared" si="159"/>
        <v>-8.6214552238805915</v>
      </c>
      <c r="BA75" s="265">
        <f t="shared" si="160"/>
        <v>-8.6214552238805915</v>
      </c>
      <c r="BB75"/>
      <c r="BC75" s="245">
        <v>0</v>
      </c>
      <c r="BD75" s="264">
        <f t="shared" si="31"/>
        <v>0</v>
      </c>
      <c r="BE75" s="246">
        <f t="shared" si="32"/>
        <v>2.655314999999998E-2</v>
      </c>
      <c r="BF75" s="264">
        <f t="shared" si="33"/>
        <v>0</v>
      </c>
      <c r="BG75" s="265">
        <f t="shared" si="34"/>
        <v>0</v>
      </c>
      <c r="BH75"/>
      <c r="BI75" s="245">
        <f t="shared" si="129"/>
        <v>9.6031754372862155E-2</v>
      </c>
      <c r="BJ75" s="264">
        <f t="shared" si="35"/>
        <v>2.0890562705026709E-2</v>
      </c>
      <c r="BK75" s="245">
        <f t="shared" si="130"/>
        <v>-0.17866982303867052</v>
      </c>
      <c r="BL75" s="264">
        <f t="shared" si="36"/>
        <v>-3.8081725705098018E-2</v>
      </c>
      <c r="BM75" s="246">
        <f t="shared" si="37"/>
        <v>0.27470157741153267</v>
      </c>
      <c r="BN75" s="264">
        <f t="shared" si="114"/>
        <v>1.5374816672431442</v>
      </c>
      <c r="BO75" s="265">
        <f t="shared" si="39"/>
        <v>1.5374816672431442</v>
      </c>
      <c r="BP75"/>
      <c r="BQ75" s="245">
        <f t="shared" si="161"/>
        <v>0.16544287916942896</v>
      </c>
      <c r="BR75" s="264">
        <f t="shared" si="162"/>
        <v>0</v>
      </c>
      <c r="BS75" s="246">
        <f t="shared" si="163"/>
        <v>-6.9411124796566803E-2</v>
      </c>
      <c r="BT75" s="264">
        <f t="shared" si="164"/>
        <v>-0.4195473697328691</v>
      </c>
      <c r="BU75" s="265">
        <f t="shared" si="165"/>
        <v>-0.4195473697328691</v>
      </c>
      <c r="BV75"/>
      <c r="BW75" s="245">
        <f t="shared" si="166"/>
        <v>0</v>
      </c>
      <c r="BX75" s="264">
        <f t="shared" si="44"/>
        <v>0</v>
      </c>
      <c r="BY75" s="246">
        <f t="shared" si="45"/>
        <v>9.6031754372862155E-2</v>
      </c>
      <c r="BZ75" s="264" t="str">
        <f t="shared" si="122"/>
        <v/>
      </c>
      <c r="CA75" s="265" t="str">
        <f t="shared" si="47"/>
        <v/>
      </c>
    </row>
    <row r="76" spans="2:79" x14ac:dyDescent="0.35">
      <c r="B76" s="244" t="s">
        <v>238</v>
      </c>
      <c r="C76" s="244" t="s">
        <v>239</v>
      </c>
      <c r="D76"/>
      <c r="E76" s="245">
        <v>0</v>
      </c>
      <c r="F76" s="245">
        <v>0</v>
      </c>
      <c r="G76" s="246">
        <f>$E76-F76</f>
        <v>0</v>
      </c>
      <c r="H76" s="264">
        <f>IFERROR($E76/F76-1,0)</f>
        <v>0</v>
      </c>
      <c r="I76" s="265">
        <f t="shared" si="2"/>
        <v>0</v>
      </c>
      <c r="J76"/>
      <c r="K76" s="245">
        <v>0</v>
      </c>
      <c r="L76" s="246">
        <f>$E76-K76</f>
        <v>0</v>
      </c>
      <c r="M76" s="264">
        <f>IFERROR($E76/K76-1,0)</f>
        <v>0</v>
      </c>
      <c r="N76" s="265">
        <f t="shared" si="152"/>
        <v>0</v>
      </c>
      <c r="O76"/>
      <c r="P76" s="245">
        <v>0</v>
      </c>
      <c r="Q76" s="246">
        <f>$E76-P76</f>
        <v>0</v>
      </c>
      <c r="R76" s="264">
        <f>IFERROR($E76/P76-1,0)</f>
        <v>0</v>
      </c>
      <c r="S76" s="265">
        <f t="shared" si="8"/>
        <v>0</v>
      </c>
      <c r="T76"/>
      <c r="U76" s="245">
        <v>0</v>
      </c>
      <c r="V76" s="264">
        <f>IFERROR(U76/$E76,0)</f>
        <v>0</v>
      </c>
      <c r="W76" s="245">
        <v>-1.9108015408186376</v>
      </c>
      <c r="X76" s="264">
        <f>IFERROR(W76/$F76,0)</f>
        <v>0</v>
      </c>
      <c r="Y76" s="246">
        <f>$U76-W76</f>
        <v>1.9108015408186376</v>
      </c>
      <c r="Z76" s="264">
        <f>IFERROR($U76/W76-1,0)</f>
        <v>-1</v>
      </c>
      <c r="AA76" s="265">
        <f t="shared" si="13"/>
        <v>-1</v>
      </c>
      <c r="AB76"/>
      <c r="AC76" s="245">
        <v>0</v>
      </c>
      <c r="AD76" s="264">
        <f>IFERROR(AC76/$P76,0)</f>
        <v>0</v>
      </c>
      <c r="AE76" s="246">
        <f>$U76-AC76</f>
        <v>0</v>
      </c>
      <c r="AF76" s="264">
        <f>IFERROR($U76/AC76-1,0)</f>
        <v>0</v>
      </c>
      <c r="AG76" s="265">
        <f t="shared" si="156"/>
        <v>0</v>
      </c>
      <c r="AH76"/>
      <c r="AI76" s="245">
        <v>0</v>
      </c>
      <c r="AJ76" s="264">
        <f>IFERROR(AI76/$P76,0)</f>
        <v>0</v>
      </c>
      <c r="AK76" s="246">
        <f>$U76-AI76</f>
        <v>0</v>
      </c>
      <c r="AL76" s="264">
        <f>IFERROR($U76/AI76-1,0)</f>
        <v>0</v>
      </c>
      <c r="AM76" s="265">
        <f t="shared" si="21"/>
        <v>0</v>
      </c>
      <c r="AN76"/>
      <c r="AO76" s="245">
        <v>0</v>
      </c>
      <c r="AP76" s="264">
        <f>IFERROR(AO76/$E76,0)</f>
        <v>0</v>
      </c>
      <c r="AQ76" s="245">
        <v>0</v>
      </c>
      <c r="AR76" s="264">
        <f>IFERROR(AQ76/$F76,0)</f>
        <v>0</v>
      </c>
      <c r="AS76" s="246">
        <f>$AO76-AQ76</f>
        <v>0</v>
      </c>
      <c r="AT76" s="264">
        <f>IFERROR($AO76/AQ76-1,0)</f>
        <v>0</v>
      </c>
      <c r="AU76" s="265">
        <f t="shared" si="26"/>
        <v>0</v>
      </c>
      <c r="AV76"/>
      <c r="AW76" s="245">
        <v>0</v>
      </c>
      <c r="AX76" s="264">
        <f>IFERROR(AW76/$P76,0)</f>
        <v>0</v>
      </c>
      <c r="AY76" s="246">
        <f>$AO76-AW76</f>
        <v>0</v>
      </c>
      <c r="AZ76" s="264">
        <f>IFERROR($AO76/AW76-1,0)</f>
        <v>0</v>
      </c>
      <c r="BA76" s="265">
        <f t="shared" si="160"/>
        <v>0</v>
      </c>
      <c r="BB76"/>
      <c r="BC76" s="245">
        <v>0</v>
      </c>
      <c r="BD76" s="264">
        <f>IFERROR(BC76/$P76,0)</f>
        <v>0</v>
      </c>
      <c r="BE76" s="246">
        <f>$AO76-BC76</f>
        <v>0</v>
      </c>
      <c r="BF76" s="264">
        <f>IFERROR($AO76/BC76-1,0)</f>
        <v>0</v>
      </c>
      <c r="BG76" s="265">
        <f t="shared" si="34"/>
        <v>0</v>
      </c>
      <c r="BH76"/>
      <c r="BI76" s="245">
        <f t="shared" si="129"/>
        <v>0</v>
      </c>
      <c r="BJ76" s="264">
        <f>IFERROR(BI76/$E76,0)</f>
        <v>0</v>
      </c>
      <c r="BK76" s="245">
        <f t="shared" si="130"/>
        <v>-1.9108015408186376</v>
      </c>
      <c r="BL76" s="264">
        <f>IFERROR(BK76/$F76,0)</f>
        <v>0</v>
      </c>
      <c r="BM76" s="246">
        <f>$BI76-BK76</f>
        <v>1.9108015408186376</v>
      </c>
      <c r="BN76" s="264">
        <f>BM76/ABS(BK76)</f>
        <v>1</v>
      </c>
      <c r="BO76" s="265">
        <f t="shared" si="39"/>
        <v>1</v>
      </c>
      <c r="BP76"/>
      <c r="BQ76" s="245">
        <f t="shared" si="161"/>
        <v>0</v>
      </c>
      <c r="BR76" s="264">
        <f>IFERROR(BQ76/$P76,0)</f>
        <v>0</v>
      </c>
      <c r="BS76" s="246">
        <f>$BI76-BQ76</f>
        <v>0</v>
      </c>
      <c r="BT76" s="264">
        <f>IFERROR($BI76/BQ76-1,0)</f>
        <v>0</v>
      </c>
      <c r="BU76" s="265">
        <f t="shared" si="165"/>
        <v>0</v>
      </c>
      <c r="BV76"/>
      <c r="BW76" s="245">
        <f t="shared" si="166"/>
        <v>0</v>
      </c>
      <c r="BX76" s="264">
        <f>IFERROR(BW76/$P76,0)</f>
        <v>0</v>
      </c>
      <c r="BY76" s="246">
        <f>$BI76-BW76</f>
        <v>0</v>
      </c>
      <c r="BZ76" s="264">
        <f>IFERROR($BI76/BW76-1,0)</f>
        <v>0</v>
      </c>
      <c r="CA76" s="265">
        <f t="shared" si="47"/>
        <v>0</v>
      </c>
    </row>
    <row r="77" spans="2:79" x14ac:dyDescent="0.35">
      <c r="B77" s="239" t="s">
        <v>240</v>
      </c>
      <c r="C77" s="239" t="s">
        <v>241</v>
      </c>
      <c r="D77"/>
      <c r="E77" s="240">
        <f>SUM(E78:E79)</f>
        <v>24.726917019999998</v>
      </c>
      <c r="F77" s="240">
        <f>SUM(F78:F79)</f>
        <v>23.585826953867681</v>
      </c>
      <c r="G77" s="241">
        <f t="shared" si="0"/>
        <v>1.1410900661323176</v>
      </c>
      <c r="H77" s="242">
        <f t="shared" si="1"/>
        <v>4.8380328930769156E-2</v>
      </c>
      <c r="I77" s="243">
        <f t="shared" si="2"/>
        <v>4.8380328930769156E-2</v>
      </c>
      <c r="J77"/>
      <c r="K77" s="240">
        <f>SUM(K78:K79)</f>
        <v>24.639944340862261</v>
      </c>
      <c r="L77" s="241">
        <f t="shared" ref="L77:L83" si="167">$E77-K77</f>
        <v>8.697267913773743E-2</v>
      </c>
      <c r="M77" s="242">
        <f t="shared" ref="M77:M83" si="168">IFERROR($E77/K77-1,0)</f>
        <v>3.5297433279304347E-3</v>
      </c>
      <c r="N77" s="243">
        <f t="shared" si="152"/>
        <v>3.5297433279304347E-3</v>
      </c>
      <c r="O77"/>
      <c r="P77" s="240">
        <f>SUM(P78:P79)</f>
        <v>22.858902520000019</v>
      </c>
      <c r="Q77" s="241">
        <f t="shared" si="6"/>
        <v>1.8680144999999797</v>
      </c>
      <c r="R77" s="242">
        <f t="shared" si="7"/>
        <v>8.1719343190933547E-2</v>
      </c>
      <c r="S77" s="243">
        <f t="shared" si="8"/>
        <v>8.1719343190933547E-2</v>
      </c>
      <c r="T77"/>
      <c r="U77" s="240">
        <f>SUM(U78:U79)</f>
        <v>12.956497237433286</v>
      </c>
      <c r="V77" s="242">
        <f t="shared" si="9"/>
        <v>0.52398352883837551</v>
      </c>
      <c r="W77" s="240">
        <f>SUM(W78:W79)</f>
        <v>9.5854760318899519</v>
      </c>
      <c r="X77" s="242">
        <f t="shared" si="10"/>
        <v>0.40640830828779123</v>
      </c>
      <c r="Y77" s="241">
        <f t="shared" si="11"/>
        <v>3.3710212055433342</v>
      </c>
      <c r="Z77" s="242">
        <f t="shared" si="12"/>
        <v>0.35168010376618475</v>
      </c>
      <c r="AA77" s="243">
        <f t="shared" si="13"/>
        <v>0.35168010376618475</v>
      </c>
      <c r="AB77"/>
      <c r="AC77" s="240">
        <f>SUM(AC78:AC79)</f>
        <v>12.623801919798726</v>
      </c>
      <c r="AD77" s="242">
        <f t="shared" ref="AD77:AD83" si="169">IFERROR(AC77/$P77,0)</f>
        <v>0.55224881897780265</v>
      </c>
      <c r="AE77" s="241">
        <f t="shared" ref="AE77:AE83" si="170">$U77-AC77</f>
        <v>0.33269531763455973</v>
      </c>
      <c r="AF77" s="242">
        <f t="shared" ref="AF77:AF83" si="171">IFERROR($U77/AC77-1,0)</f>
        <v>2.6354605351718297E-2</v>
      </c>
      <c r="AG77" s="243">
        <f t="shared" si="156"/>
        <v>2.6354605351718297E-2</v>
      </c>
      <c r="AH77"/>
      <c r="AI77" s="240">
        <f>SUM(AI78:AI79)</f>
        <v>10.57004377000001</v>
      </c>
      <c r="AJ77" s="242">
        <f t="shared" si="18"/>
        <v>0.46240381666407326</v>
      </c>
      <c r="AK77" s="241">
        <f t="shared" si="19"/>
        <v>2.3864534674332756</v>
      </c>
      <c r="AL77" s="242">
        <f t="shared" si="20"/>
        <v>0.22577517362856425</v>
      </c>
      <c r="AM77" s="243">
        <f t="shared" si="21"/>
        <v>0.22577517362856425</v>
      </c>
      <c r="AN77"/>
      <c r="AO77" s="240">
        <f>SUM(AO78:AO79)</f>
        <v>-0.58862336999999998</v>
      </c>
      <c r="AP77" s="242">
        <f t="shared" si="22"/>
        <v>-2.3804964020540883E-2</v>
      </c>
      <c r="AQ77" s="240">
        <f>SUM(AQ78:AQ79)</f>
        <v>0</v>
      </c>
      <c r="AR77" s="242">
        <f t="shared" si="23"/>
        <v>0</v>
      </c>
      <c r="AS77" s="241">
        <f t="shared" si="24"/>
        <v>-0.58862336999999998</v>
      </c>
      <c r="AT77" s="242">
        <f t="shared" si="25"/>
        <v>0</v>
      </c>
      <c r="AU77" s="243">
        <f t="shared" si="26"/>
        <v>0</v>
      </c>
      <c r="AV77"/>
      <c r="AW77" s="240">
        <f>SUM(AW78:AW79)</f>
        <v>-0.62547350706473925</v>
      </c>
      <c r="AX77" s="242">
        <f t="shared" ref="AX77:AX83" si="172">IFERROR(AW77/$P77,0)</f>
        <v>-2.7362359436000551E-2</v>
      </c>
      <c r="AY77" s="241">
        <f t="shared" ref="AY77:AY83" si="173">$AO77-AW77</f>
        <v>3.6850137064739275E-2</v>
      </c>
      <c r="AZ77" s="242">
        <f t="shared" ref="AZ77:AZ83" si="174">IFERROR($AO77/AW77-1,0)</f>
        <v>-5.891558419104248E-2</v>
      </c>
      <c r="BA77" s="243">
        <f t="shared" si="160"/>
        <v>-5.891558419104248E-2</v>
      </c>
      <c r="BB77"/>
      <c r="BC77" s="240">
        <f>SUM(BC78:BC79)</f>
        <v>-0.78041148999999999</v>
      </c>
      <c r="BD77" s="242">
        <f t="shared" si="31"/>
        <v>-3.4140374382243058E-2</v>
      </c>
      <c r="BE77" s="241">
        <f t="shared" si="32"/>
        <v>0.19178812000000001</v>
      </c>
      <c r="BF77" s="242">
        <f t="shared" si="33"/>
        <v>-0.24575255805113783</v>
      </c>
      <c r="BG77" s="243">
        <f t="shared" si="34"/>
        <v>-0.24575255805113783</v>
      </c>
      <c r="BH77"/>
      <c r="BI77" s="240">
        <f>SUM(BI78:BI79)</f>
        <v>12.367873867433286</v>
      </c>
      <c r="BJ77" s="242">
        <f t="shared" si="35"/>
        <v>0.50017856481783451</v>
      </c>
      <c r="BK77" s="240">
        <f>SUM(BK78:BK79)</f>
        <v>9.5854760318899519</v>
      </c>
      <c r="BL77" s="242">
        <f t="shared" si="36"/>
        <v>0.40640830828779123</v>
      </c>
      <c r="BM77" s="241">
        <f t="shared" si="37"/>
        <v>2.7823978355433336</v>
      </c>
      <c r="BN77" s="242">
        <f t="shared" si="114"/>
        <v>0.29027226465191347</v>
      </c>
      <c r="BO77" s="243">
        <f t="shared" si="39"/>
        <v>0.29027226465191347</v>
      </c>
      <c r="BP77"/>
      <c r="BQ77" s="240">
        <f>SUM(BQ78:BQ79)</f>
        <v>11.998328412733986</v>
      </c>
      <c r="BR77" s="242">
        <f t="shared" ref="BR77:BR83" si="175">IFERROR(BQ77/$P77,0)</f>
        <v>0.52488645954180202</v>
      </c>
      <c r="BS77" s="241">
        <f t="shared" ref="BS77:BS83" si="176">$BI77-BQ77</f>
        <v>0.36954545469929911</v>
      </c>
      <c r="BT77" s="242">
        <f t="shared" ref="BT77:BT83" si="177">IFERROR(BS77/ABS(BQ77),"")</f>
        <v>3.0799744930060057E-2</v>
      </c>
      <c r="BU77" s="243">
        <f t="shared" si="165"/>
        <v>3.0799744930060057E-2</v>
      </c>
      <c r="BV77"/>
      <c r="BW77" s="240">
        <f>SUM(BW78:BW79)</f>
        <v>9.78963228000001</v>
      </c>
      <c r="BX77" s="242">
        <f t="shared" si="44"/>
        <v>0.42826344228183016</v>
      </c>
      <c r="BY77" s="241">
        <f t="shared" si="45"/>
        <v>2.5782415874332756</v>
      </c>
      <c r="BZ77" s="242">
        <f t="shared" si="122"/>
        <v>0.26336449763292569</v>
      </c>
      <c r="CA77" s="243">
        <f t="shared" si="47"/>
        <v>0.26336449763292569</v>
      </c>
    </row>
    <row r="78" spans="2:79" hidden="1" outlineLevel="1" x14ac:dyDescent="0.35">
      <c r="B78" s="255" t="s">
        <v>242</v>
      </c>
      <c r="C78" s="255" t="s">
        <v>243</v>
      </c>
      <c r="D78"/>
      <c r="E78" s="250">
        <v>24.726917019999998</v>
      </c>
      <c r="F78" s="250">
        <v>23.585826953867681</v>
      </c>
      <c r="G78" s="251">
        <f t="shared" si="0"/>
        <v>1.1410900661323176</v>
      </c>
      <c r="H78" s="252">
        <f t="shared" si="1"/>
        <v>4.8380328930769156E-2</v>
      </c>
      <c r="I78" s="253">
        <f t="shared" si="2"/>
        <v>4.8380328930769156E-2</v>
      </c>
      <c r="J78"/>
      <c r="K78" s="250">
        <v>24.639944340862261</v>
      </c>
      <c r="L78" s="251">
        <f t="shared" si="167"/>
        <v>8.697267913773743E-2</v>
      </c>
      <c r="M78" s="252">
        <f t="shared" si="168"/>
        <v>3.5297433279304347E-3</v>
      </c>
      <c r="N78" s="253">
        <f t="shared" si="152"/>
        <v>3.5297433279304347E-3</v>
      </c>
      <c r="O78"/>
      <c r="P78" s="250">
        <v>22.858902520000019</v>
      </c>
      <c r="Q78" s="251">
        <f t="shared" si="6"/>
        <v>1.8680144999999797</v>
      </c>
      <c r="R78" s="252">
        <f t="shared" si="7"/>
        <v>8.1719343190933547E-2</v>
      </c>
      <c r="S78" s="253">
        <f t="shared" si="8"/>
        <v>8.1719343190933547E-2</v>
      </c>
      <c r="T78"/>
      <c r="U78" s="250">
        <v>14.334353767433287</v>
      </c>
      <c r="V78" s="252">
        <f t="shared" si="9"/>
        <v>0.5797064695060512</v>
      </c>
      <c r="W78" s="250">
        <v>9.5854760318899519</v>
      </c>
      <c r="X78" s="252">
        <f t="shared" si="10"/>
        <v>0.40640830828779123</v>
      </c>
      <c r="Y78" s="251">
        <f t="shared" si="11"/>
        <v>4.7488777355433349</v>
      </c>
      <c r="Z78" s="252">
        <f t="shared" si="12"/>
        <v>0.49542429815110678</v>
      </c>
      <c r="AA78" s="253">
        <f t="shared" si="13"/>
        <v>0.49542429815110678</v>
      </c>
      <c r="AB78"/>
      <c r="AC78" s="250">
        <v>13.668809549798727</v>
      </c>
      <c r="AD78" s="252">
        <f t="shared" si="169"/>
        <v>0.59796438336614932</v>
      </c>
      <c r="AE78" s="251">
        <f t="shared" si="170"/>
        <v>0.66554421763455984</v>
      </c>
      <c r="AF78" s="252">
        <f t="shared" si="171"/>
        <v>4.8690722861403746E-2</v>
      </c>
      <c r="AG78" s="253">
        <f t="shared" si="156"/>
        <v>4.8690722861403746E-2</v>
      </c>
      <c r="AH78"/>
      <c r="AI78" s="250">
        <v>12.443138810000011</v>
      </c>
      <c r="AJ78" s="252">
        <f t="shared" si="18"/>
        <v>0.54434541636953448</v>
      </c>
      <c r="AK78" s="251">
        <f t="shared" si="19"/>
        <v>1.8912149574332755</v>
      </c>
      <c r="AL78" s="252">
        <f t="shared" si="20"/>
        <v>0.15198857670167509</v>
      </c>
      <c r="AM78" s="253">
        <f t="shared" si="21"/>
        <v>0.15198857670167509</v>
      </c>
      <c r="AN78"/>
      <c r="AO78" s="250">
        <v>-0.58862336999999998</v>
      </c>
      <c r="AP78" s="252">
        <f t="shared" si="22"/>
        <v>-2.3804964020540883E-2</v>
      </c>
      <c r="AQ78" s="250">
        <v>0</v>
      </c>
      <c r="AR78" s="252">
        <f t="shared" si="23"/>
        <v>0</v>
      </c>
      <c r="AS78" s="251">
        <f t="shared" si="24"/>
        <v>-0.58862336999999998</v>
      </c>
      <c r="AT78" s="252">
        <f t="shared" si="25"/>
        <v>0</v>
      </c>
      <c r="AU78" s="253">
        <f t="shared" si="26"/>
        <v>0</v>
      </c>
      <c r="AV78"/>
      <c r="AW78" s="250">
        <v>-0.62547350706473925</v>
      </c>
      <c r="AX78" s="252">
        <f t="shared" si="172"/>
        <v>-2.7362359436000551E-2</v>
      </c>
      <c r="AY78" s="251">
        <f t="shared" si="173"/>
        <v>3.6850137064739275E-2</v>
      </c>
      <c r="AZ78" s="252">
        <f t="shared" si="174"/>
        <v>-5.891558419104248E-2</v>
      </c>
      <c r="BA78" s="253">
        <f t="shared" si="160"/>
        <v>-5.891558419104248E-2</v>
      </c>
      <c r="BB78"/>
      <c r="BC78" s="250">
        <v>-0.78041148999999999</v>
      </c>
      <c r="BD78" s="252">
        <f t="shared" si="31"/>
        <v>-3.4140374382243058E-2</v>
      </c>
      <c r="BE78" s="251">
        <f t="shared" si="32"/>
        <v>0.19178812000000001</v>
      </c>
      <c r="BF78" s="252">
        <f t="shared" si="33"/>
        <v>-0.24575255805113783</v>
      </c>
      <c r="BG78" s="253">
        <f t="shared" si="34"/>
        <v>-0.24575255805113783</v>
      </c>
      <c r="BH78"/>
      <c r="BI78" s="250">
        <f t="shared" ref="BI78:BI79" si="178">SUM(U78,AO78)</f>
        <v>13.745730397433286</v>
      </c>
      <c r="BJ78" s="252">
        <f t="shared" si="35"/>
        <v>0.55590150548551032</v>
      </c>
      <c r="BK78" s="250">
        <f t="shared" ref="BK78:BK79" si="179">SUM(W78,AQ78)</f>
        <v>9.5854760318899519</v>
      </c>
      <c r="BL78" s="252">
        <f t="shared" si="36"/>
        <v>0.40640830828779123</v>
      </c>
      <c r="BM78" s="251">
        <f t="shared" si="37"/>
        <v>4.1602543655433344</v>
      </c>
      <c r="BN78" s="252">
        <f t="shared" si="114"/>
        <v>0.43401645903683556</v>
      </c>
      <c r="BO78" s="253">
        <f t="shared" si="39"/>
        <v>0.43401645903683556</v>
      </c>
      <c r="BP78"/>
      <c r="BQ78" s="250">
        <f t="shared" ref="BQ78:BQ79" si="180">SUM(AC78,AW78)</f>
        <v>13.043336042733987</v>
      </c>
      <c r="BR78" s="252">
        <f t="shared" si="175"/>
        <v>0.57060202393014869</v>
      </c>
      <c r="BS78" s="251">
        <f t="shared" si="176"/>
        <v>0.70239435469929923</v>
      </c>
      <c r="BT78" s="252">
        <f t="shared" si="177"/>
        <v>5.3850821016804211E-2</v>
      </c>
      <c r="BU78" s="253">
        <f t="shared" si="165"/>
        <v>5.3850821016804211E-2</v>
      </c>
      <c r="BV78"/>
      <c r="BW78" s="250">
        <f t="shared" ref="BW78:BW79" si="181">SUM(AI78,BC78)</f>
        <v>11.662727320000011</v>
      </c>
      <c r="BX78" s="252">
        <f t="shared" si="44"/>
        <v>0.51020504198729144</v>
      </c>
      <c r="BY78" s="251">
        <f t="shared" si="45"/>
        <v>2.0830030774332755</v>
      </c>
      <c r="BZ78" s="252">
        <f t="shared" si="122"/>
        <v>0.17860342785012259</v>
      </c>
      <c r="CA78" s="253">
        <f t="shared" si="47"/>
        <v>0.17860342785012259</v>
      </c>
    </row>
    <row r="79" spans="2:79" hidden="1" outlineLevel="1" x14ac:dyDescent="0.35">
      <c r="B79" s="255" t="s">
        <v>244</v>
      </c>
      <c r="C79" s="255" t="s">
        <v>245</v>
      </c>
      <c r="D79"/>
      <c r="E79" s="250">
        <v>0</v>
      </c>
      <c r="F79" s="250">
        <v>0</v>
      </c>
      <c r="G79" s="251">
        <f t="shared" si="0"/>
        <v>0</v>
      </c>
      <c r="H79" s="252">
        <f t="shared" si="1"/>
        <v>0</v>
      </c>
      <c r="I79" s="253">
        <f t="shared" si="2"/>
        <v>0</v>
      </c>
      <c r="J79"/>
      <c r="K79" s="250">
        <v>0</v>
      </c>
      <c r="L79" s="251">
        <f t="shared" si="167"/>
        <v>0</v>
      </c>
      <c r="M79" s="252">
        <f t="shared" si="168"/>
        <v>0</v>
      </c>
      <c r="N79" s="253">
        <f t="shared" si="152"/>
        <v>0</v>
      </c>
      <c r="O79"/>
      <c r="P79" s="250">
        <v>0</v>
      </c>
      <c r="Q79" s="251">
        <f t="shared" si="6"/>
        <v>0</v>
      </c>
      <c r="R79" s="252">
        <f t="shared" si="7"/>
        <v>0</v>
      </c>
      <c r="S79" s="253">
        <f t="shared" si="8"/>
        <v>0</v>
      </c>
      <c r="T79"/>
      <c r="U79" s="250">
        <v>-1.3778565299999999</v>
      </c>
      <c r="V79" s="252">
        <f t="shared" si="9"/>
        <v>0</v>
      </c>
      <c r="W79" s="250">
        <v>0</v>
      </c>
      <c r="X79" s="252">
        <f t="shared" si="10"/>
        <v>0</v>
      </c>
      <c r="Y79" s="251">
        <f t="shared" si="11"/>
        <v>-1.3778565299999999</v>
      </c>
      <c r="Z79" s="252">
        <f t="shared" si="12"/>
        <v>0</v>
      </c>
      <c r="AA79" s="253">
        <f t="shared" si="13"/>
        <v>0</v>
      </c>
      <c r="AB79"/>
      <c r="AC79" s="250">
        <v>-1.04500763</v>
      </c>
      <c r="AD79" s="252">
        <f t="shared" si="169"/>
        <v>0</v>
      </c>
      <c r="AE79" s="251">
        <f t="shared" si="170"/>
        <v>-0.33284889999999989</v>
      </c>
      <c r="AF79" s="252">
        <f t="shared" si="171"/>
        <v>0.31851336817512022</v>
      </c>
      <c r="AG79" s="253">
        <f t="shared" si="156"/>
        <v>0.31851336817512022</v>
      </c>
      <c r="AH79"/>
      <c r="AI79" s="250">
        <v>-1.8730950400000004</v>
      </c>
      <c r="AJ79" s="252">
        <f t="shared" si="18"/>
        <v>0</v>
      </c>
      <c r="AK79" s="251">
        <f t="shared" si="19"/>
        <v>0.49523851000000052</v>
      </c>
      <c r="AL79" s="252">
        <f t="shared" si="20"/>
        <v>-0.26439582585195487</v>
      </c>
      <c r="AM79" s="253">
        <f t="shared" si="21"/>
        <v>-0.26439582585195487</v>
      </c>
      <c r="AN79"/>
      <c r="AO79" s="250">
        <v>0</v>
      </c>
      <c r="AP79" s="252">
        <f t="shared" si="22"/>
        <v>0</v>
      </c>
      <c r="AQ79" s="250">
        <v>0</v>
      </c>
      <c r="AR79" s="252">
        <f t="shared" si="23"/>
        <v>0</v>
      </c>
      <c r="AS79" s="251">
        <f t="shared" si="24"/>
        <v>0</v>
      </c>
      <c r="AT79" s="252">
        <f t="shared" si="25"/>
        <v>0</v>
      </c>
      <c r="AU79" s="253">
        <f t="shared" si="26"/>
        <v>0</v>
      </c>
      <c r="AV79"/>
      <c r="AW79" s="250">
        <v>0</v>
      </c>
      <c r="AX79" s="252">
        <f t="shared" si="172"/>
        <v>0</v>
      </c>
      <c r="AY79" s="251">
        <f t="shared" si="173"/>
        <v>0</v>
      </c>
      <c r="AZ79" s="252">
        <f t="shared" si="174"/>
        <v>0</v>
      </c>
      <c r="BA79" s="253">
        <f t="shared" si="160"/>
        <v>0</v>
      </c>
      <c r="BB79"/>
      <c r="BC79" s="250">
        <v>0</v>
      </c>
      <c r="BD79" s="252">
        <f t="shared" si="31"/>
        <v>0</v>
      </c>
      <c r="BE79" s="251">
        <f t="shared" si="32"/>
        <v>0</v>
      </c>
      <c r="BF79" s="252">
        <f t="shared" si="33"/>
        <v>0</v>
      </c>
      <c r="BG79" s="253">
        <f t="shared" si="34"/>
        <v>0</v>
      </c>
      <c r="BH79"/>
      <c r="BI79" s="250">
        <f t="shared" si="178"/>
        <v>-1.3778565299999999</v>
      </c>
      <c r="BJ79" s="252">
        <f t="shared" si="35"/>
        <v>0</v>
      </c>
      <c r="BK79" s="250">
        <f t="shared" si="179"/>
        <v>0</v>
      </c>
      <c r="BL79" s="252">
        <f t="shared" si="36"/>
        <v>0</v>
      </c>
      <c r="BM79" s="251">
        <f t="shared" si="37"/>
        <v>-1.3778565299999999</v>
      </c>
      <c r="BN79" s="252" t="e">
        <f t="shared" si="114"/>
        <v>#DIV/0!</v>
      </c>
      <c r="BO79" s="253" t="e">
        <f t="shared" si="39"/>
        <v>#DIV/0!</v>
      </c>
      <c r="BP79"/>
      <c r="BQ79" s="250">
        <f t="shared" si="180"/>
        <v>-1.04500763</v>
      </c>
      <c r="BR79" s="252">
        <f t="shared" si="175"/>
        <v>0</v>
      </c>
      <c r="BS79" s="251">
        <f t="shared" si="176"/>
        <v>-0.33284889999999989</v>
      </c>
      <c r="BT79" s="252">
        <f t="shared" si="177"/>
        <v>-0.31851336817512033</v>
      </c>
      <c r="BU79" s="253">
        <f t="shared" si="165"/>
        <v>-0.31851336817512033</v>
      </c>
      <c r="BV79"/>
      <c r="BW79" s="250">
        <f t="shared" si="181"/>
        <v>-1.8730950400000004</v>
      </c>
      <c r="BX79" s="252">
        <f t="shared" si="44"/>
        <v>0</v>
      </c>
      <c r="BY79" s="251">
        <f t="shared" si="45"/>
        <v>0.49523851000000052</v>
      </c>
      <c r="BZ79" s="252">
        <f t="shared" si="122"/>
        <v>0.26439582585195487</v>
      </c>
      <c r="CA79" s="253">
        <f t="shared" si="47"/>
        <v>0.26439582585195487</v>
      </c>
    </row>
    <row r="80" spans="2:79" collapsed="1" x14ac:dyDescent="0.35">
      <c r="B80" s="239" t="s">
        <v>246</v>
      </c>
      <c r="C80" s="239" t="s">
        <v>247</v>
      </c>
      <c r="D80"/>
      <c r="E80" s="240">
        <f>SUM(E81:E82)</f>
        <v>0.69226786999999856</v>
      </c>
      <c r="F80" s="240">
        <f>SUM(F81:F82)</f>
        <v>1.1677417325935933</v>
      </c>
      <c r="G80" s="241">
        <f t="shared" si="0"/>
        <v>-0.4754738625935947</v>
      </c>
      <c r="H80" s="242">
        <f t="shared" si="1"/>
        <v>-0.40717382047959472</v>
      </c>
      <c r="I80" s="243">
        <f t="shared" si="2"/>
        <v>-0.40717382047959472</v>
      </c>
      <c r="J80"/>
      <c r="K80" s="240">
        <f>SUM(K81:K82)</f>
        <v>0.66947577282499993</v>
      </c>
      <c r="L80" s="241">
        <f t="shared" si="167"/>
        <v>2.2792097174998638E-2</v>
      </c>
      <c r="M80" s="242">
        <f t="shared" si="168"/>
        <v>3.4044693027236006E-2</v>
      </c>
      <c r="N80" s="243">
        <f t="shared" si="152"/>
        <v>3.4044693027236006E-2</v>
      </c>
      <c r="O80"/>
      <c r="P80" s="240">
        <f>SUM(P81:P82)</f>
        <v>1.09926631</v>
      </c>
      <c r="Q80" s="241">
        <f t="shared" si="6"/>
        <v>-0.4069984400000014</v>
      </c>
      <c r="R80" s="242">
        <f t="shared" si="7"/>
        <v>-0.37024553222230694</v>
      </c>
      <c r="S80" s="243">
        <f t="shared" si="8"/>
        <v>-0.37024553222230694</v>
      </c>
      <c r="T80"/>
      <c r="U80" s="240">
        <f>SUM(U81:U82)</f>
        <v>-1.5175258658715285</v>
      </c>
      <c r="V80" s="242">
        <f t="shared" si="9"/>
        <v>-2.1921078987408902</v>
      </c>
      <c r="W80" s="240">
        <f>SUM(W81:W82)</f>
        <v>-1.5656619076564062</v>
      </c>
      <c r="X80" s="242">
        <f t="shared" si="10"/>
        <v>-1.3407604301158433</v>
      </c>
      <c r="Y80" s="241">
        <f t="shared" si="11"/>
        <v>4.8136041784877737E-2</v>
      </c>
      <c r="Z80" s="242">
        <f t="shared" si="12"/>
        <v>-3.0744850819632741E-2</v>
      </c>
      <c r="AA80" s="243">
        <f t="shared" si="13"/>
        <v>-3.0744850819632741E-2</v>
      </c>
      <c r="AB80"/>
      <c r="AC80" s="240">
        <f>SUM(AC81:AC82)</f>
        <v>-1.8871828370965269</v>
      </c>
      <c r="AD80" s="242">
        <f t="shared" si="169"/>
        <v>-1.7167658281972882</v>
      </c>
      <c r="AE80" s="241">
        <f t="shared" si="170"/>
        <v>0.36965697122499841</v>
      </c>
      <c r="AF80" s="242">
        <f t="shared" si="171"/>
        <v>-0.19587766694281938</v>
      </c>
      <c r="AG80" s="243">
        <f t="shared" si="156"/>
        <v>-0.19587766694281938</v>
      </c>
      <c r="AH80"/>
      <c r="AI80" s="240">
        <f>SUM(AI81:AI82)</f>
        <v>-0.33752968999999994</v>
      </c>
      <c r="AJ80" s="242">
        <f t="shared" si="18"/>
        <v>-0.30704997226741165</v>
      </c>
      <c r="AK80" s="241">
        <f t="shared" si="19"/>
        <v>-1.1799961758715285</v>
      </c>
      <c r="AL80" s="242">
        <f t="shared" si="20"/>
        <v>3.4959774231165524</v>
      </c>
      <c r="AM80" s="243">
        <f t="shared" si="21"/>
        <v>3.4959774231165524</v>
      </c>
      <c r="AN80"/>
      <c r="AO80" s="240">
        <f>SUM(AO81:AO82)</f>
        <v>0</v>
      </c>
      <c r="AP80" s="242">
        <f t="shared" si="22"/>
        <v>0</v>
      </c>
      <c r="AQ80" s="240">
        <f>SUM(AQ81:AQ82)</f>
        <v>0</v>
      </c>
      <c r="AR80" s="242">
        <f t="shared" si="23"/>
        <v>0</v>
      </c>
      <c r="AS80" s="241">
        <f t="shared" si="24"/>
        <v>0</v>
      </c>
      <c r="AT80" s="242">
        <f t="shared" si="25"/>
        <v>0</v>
      </c>
      <c r="AU80" s="243">
        <f t="shared" si="26"/>
        <v>0</v>
      </c>
      <c r="AV80"/>
      <c r="AW80" s="240">
        <f>SUM(AW81:AW82)</f>
        <v>0</v>
      </c>
      <c r="AX80" s="242">
        <f t="shared" si="172"/>
        <v>0</v>
      </c>
      <c r="AY80" s="241">
        <f t="shared" si="173"/>
        <v>0</v>
      </c>
      <c r="AZ80" s="242">
        <f t="shared" si="174"/>
        <v>0</v>
      </c>
      <c r="BA80" s="243">
        <f t="shared" si="160"/>
        <v>0</v>
      </c>
      <c r="BB80"/>
      <c r="BC80" s="240">
        <f>SUM(BC81:BC82)</f>
        <v>0</v>
      </c>
      <c r="BD80" s="242">
        <f t="shared" si="31"/>
        <v>0</v>
      </c>
      <c r="BE80" s="241">
        <f t="shared" si="32"/>
        <v>0</v>
      </c>
      <c r="BF80" s="242">
        <f t="shared" si="33"/>
        <v>0</v>
      </c>
      <c r="BG80" s="243">
        <f t="shared" si="34"/>
        <v>0</v>
      </c>
      <c r="BH80"/>
      <c r="BI80" s="240">
        <f>SUM(BI81:BI82)</f>
        <v>-1.5175258658715285</v>
      </c>
      <c r="BJ80" s="242">
        <f t="shared" si="35"/>
        <v>-2.1921078987408902</v>
      </c>
      <c r="BK80" s="240">
        <f>SUM(BK81:BK82)</f>
        <v>-1.5656619076564062</v>
      </c>
      <c r="BL80" s="242">
        <f t="shared" si="36"/>
        <v>-1.3407604301158433</v>
      </c>
      <c r="BM80" s="241">
        <f t="shared" si="37"/>
        <v>4.8136041784877737E-2</v>
      </c>
      <c r="BN80" s="242">
        <f t="shared" si="114"/>
        <v>3.0744850819632685E-2</v>
      </c>
      <c r="BO80" s="243">
        <f t="shared" si="39"/>
        <v>3.0744850819632685E-2</v>
      </c>
      <c r="BP80"/>
      <c r="BQ80" s="240">
        <f>SUM(BQ81:BQ82)</f>
        <v>-1.8871828370965269</v>
      </c>
      <c r="BR80" s="242">
        <f t="shared" si="175"/>
        <v>-1.7167658281972882</v>
      </c>
      <c r="BS80" s="241">
        <f t="shared" si="176"/>
        <v>0.36965697122499841</v>
      </c>
      <c r="BT80" s="242">
        <f t="shared" si="177"/>
        <v>0.19587766694281936</v>
      </c>
      <c r="BU80" s="243">
        <f t="shared" si="165"/>
        <v>0.19587766694281936</v>
      </c>
      <c r="BV80"/>
      <c r="BW80" s="240">
        <f>SUM(BW81:BW82)</f>
        <v>-0.33752968999999994</v>
      </c>
      <c r="BX80" s="242">
        <f t="shared" si="44"/>
        <v>-0.30704997226741165</v>
      </c>
      <c r="BY80" s="241">
        <f t="shared" si="45"/>
        <v>-1.1799961758715285</v>
      </c>
      <c r="BZ80" s="242">
        <f t="shared" si="122"/>
        <v>-3.4959774231165524</v>
      </c>
      <c r="CA80" s="243">
        <f t="shared" si="47"/>
        <v>-3.4959774231165524</v>
      </c>
    </row>
    <row r="81" spans="2:79" hidden="1" outlineLevel="1" x14ac:dyDescent="0.35">
      <c r="B81" s="255" t="s">
        <v>248</v>
      </c>
      <c r="C81" s="255" t="s">
        <v>249</v>
      </c>
      <c r="D81"/>
      <c r="E81" s="266">
        <v>0.69226786999999856</v>
      </c>
      <c r="F81" s="250">
        <v>1.1677417325935933</v>
      </c>
      <c r="G81" s="251">
        <f t="shared" si="0"/>
        <v>-0.4754738625935947</v>
      </c>
      <c r="H81" s="252">
        <f t="shared" si="1"/>
        <v>-0.40717382047959472</v>
      </c>
      <c r="I81" s="253">
        <f t="shared" si="2"/>
        <v>-0.40717382047959472</v>
      </c>
      <c r="J81"/>
      <c r="K81" s="266">
        <v>0.66947577282499993</v>
      </c>
      <c r="L81" s="251">
        <f t="shared" si="167"/>
        <v>2.2792097174998638E-2</v>
      </c>
      <c r="M81" s="252">
        <f t="shared" si="168"/>
        <v>3.4044693027236006E-2</v>
      </c>
      <c r="N81" s="253">
        <f t="shared" si="152"/>
        <v>3.4044693027236006E-2</v>
      </c>
      <c r="O81"/>
      <c r="P81" s="266">
        <v>1.09926631</v>
      </c>
      <c r="Q81" s="251">
        <f t="shared" si="6"/>
        <v>-0.4069984400000014</v>
      </c>
      <c r="R81" s="252">
        <f t="shared" si="7"/>
        <v>-0.37024553222230694</v>
      </c>
      <c r="S81" s="253">
        <f t="shared" si="8"/>
        <v>-0.37024553222230694</v>
      </c>
      <c r="T81"/>
      <c r="U81" s="266">
        <v>-1.0700031358715285</v>
      </c>
      <c r="V81" s="252">
        <f t="shared" si="9"/>
        <v>-1.5456489925952084</v>
      </c>
      <c r="W81" s="250">
        <v>-1.5656619076564062</v>
      </c>
      <c r="X81" s="252">
        <f t="shared" si="10"/>
        <v>-1.3407604301158433</v>
      </c>
      <c r="Y81" s="251">
        <f t="shared" si="11"/>
        <v>0.49565877178487772</v>
      </c>
      <c r="Z81" s="252">
        <f t="shared" si="12"/>
        <v>-0.31658097406662655</v>
      </c>
      <c r="AA81" s="253">
        <f t="shared" si="13"/>
        <v>-0.31658097406662655</v>
      </c>
      <c r="AB81"/>
      <c r="AC81" s="250">
        <v>-1.3652621770965268</v>
      </c>
      <c r="AD81" s="252">
        <f t="shared" si="169"/>
        <v>-1.2419758203055697</v>
      </c>
      <c r="AE81" s="251">
        <f t="shared" si="170"/>
        <v>0.29525904122499824</v>
      </c>
      <c r="AF81" s="252">
        <f t="shared" si="171"/>
        <v>-0.21626545155811694</v>
      </c>
      <c r="AG81" s="253">
        <f t="shared" si="156"/>
        <v>-0.21626545155811694</v>
      </c>
      <c r="AH81"/>
      <c r="AI81" s="266">
        <v>-2.3038139999999985E-2</v>
      </c>
      <c r="AJ81" s="252">
        <f t="shared" si="18"/>
        <v>-2.0957742259926065E-2</v>
      </c>
      <c r="AK81" s="251">
        <f t="shared" si="19"/>
        <v>-1.0469649958715286</v>
      </c>
      <c r="AL81" s="252">
        <f t="shared" si="20"/>
        <v>45.444857782422069</v>
      </c>
      <c r="AM81" s="253">
        <f t="shared" si="21"/>
        <v>45.444857782422069</v>
      </c>
      <c r="AN81"/>
      <c r="AO81" s="266">
        <v>0</v>
      </c>
      <c r="AP81" s="252">
        <f t="shared" si="22"/>
        <v>0</v>
      </c>
      <c r="AQ81" s="250">
        <v>0</v>
      </c>
      <c r="AR81" s="252">
        <f t="shared" si="23"/>
        <v>0</v>
      </c>
      <c r="AS81" s="251">
        <f t="shared" si="24"/>
        <v>0</v>
      </c>
      <c r="AT81" s="252">
        <f t="shared" si="25"/>
        <v>0</v>
      </c>
      <c r="AU81" s="253">
        <f t="shared" si="26"/>
        <v>0</v>
      </c>
      <c r="AV81"/>
      <c r="AW81" s="266">
        <v>0</v>
      </c>
      <c r="AX81" s="252">
        <f t="shared" si="172"/>
        <v>0</v>
      </c>
      <c r="AY81" s="251">
        <f t="shared" si="173"/>
        <v>0</v>
      </c>
      <c r="AZ81" s="252">
        <f t="shared" si="174"/>
        <v>0</v>
      </c>
      <c r="BA81" s="253">
        <f t="shared" si="160"/>
        <v>0</v>
      </c>
      <c r="BB81"/>
      <c r="BC81" s="266">
        <v>0</v>
      </c>
      <c r="BD81" s="252">
        <f t="shared" si="31"/>
        <v>0</v>
      </c>
      <c r="BE81" s="251">
        <f t="shared" si="32"/>
        <v>0</v>
      </c>
      <c r="BF81" s="252">
        <f t="shared" si="33"/>
        <v>0</v>
      </c>
      <c r="BG81" s="253">
        <f t="shared" si="34"/>
        <v>0</v>
      </c>
      <c r="BH81"/>
      <c r="BI81" s="266">
        <f t="shared" ref="BI81:BI83" si="182">SUM(U81,AO81)</f>
        <v>-1.0700031358715285</v>
      </c>
      <c r="BJ81" s="252">
        <f t="shared" si="35"/>
        <v>-1.5456489925952084</v>
      </c>
      <c r="BK81" s="266">
        <f t="shared" ref="BK81:BK83" si="183">SUM(W81,AQ81)</f>
        <v>-1.5656619076564062</v>
      </c>
      <c r="BL81" s="252">
        <f t="shared" si="36"/>
        <v>-1.3407604301158433</v>
      </c>
      <c r="BM81" s="251">
        <f t="shared" si="37"/>
        <v>0.49565877178487772</v>
      </c>
      <c r="BN81" s="252">
        <f t="shared" si="114"/>
        <v>0.3165809740666265</v>
      </c>
      <c r="BO81" s="253">
        <f t="shared" si="39"/>
        <v>0.3165809740666265</v>
      </c>
      <c r="BP81"/>
      <c r="BQ81" s="266">
        <f t="shared" ref="BQ81:BQ83" si="184">SUM(AC81,AW81)</f>
        <v>-1.3652621770965268</v>
      </c>
      <c r="BR81" s="252">
        <f t="shared" si="175"/>
        <v>-1.2419758203055697</v>
      </c>
      <c r="BS81" s="251">
        <f t="shared" si="176"/>
        <v>0.29525904122499824</v>
      </c>
      <c r="BT81" s="252">
        <f t="shared" si="177"/>
        <v>0.21626545155811699</v>
      </c>
      <c r="BU81" s="253">
        <f t="shared" si="165"/>
        <v>0.21626545155811699</v>
      </c>
      <c r="BV81"/>
      <c r="BW81" s="266">
        <f t="shared" ref="BW81:BW83" si="185">SUM(AI81,BC81)</f>
        <v>-2.3038139999999985E-2</v>
      </c>
      <c r="BX81" s="252">
        <f t="shared" si="44"/>
        <v>-2.0957742259926065E-2</v>
      </c>
      <c r="BY81" s="251">
        <f t="shared" si="45"/>
        <v>-1.0469649958715286</v>
      </c>
      <c r="BZ81" s="252">
        <f t="shared" si="122"/>
        <v>-45.444857782422076</v>
      </c>
      <c r="CA81" s="253">
        <f t="shared" si="47"/>
        <v>-45.444857782422076</v>
      </c>
    </row>
    <row r="82" spans="2:79" hidden="1" outlineLevel="1" x14ac:dyDescent="0.35">
      <c r="B82" s="255" t="s">
        <v>250</v>
      </c>
      <c r="C82" s="255" t="s">
        <v>251</v>
      </c>
      <c r="D82"/>
      <c r="E82" s="266">
        <v>0</v>
      </c>
      <c r="F82" s="250">
        <v>0</v>
      </c>
      <c r="G82" s="251">
        <f t="shared" si="0"/>
        <v>0</v>
      </c>
      <c r="H82" s="252">
        <f t="shared" si="1"/>
        <v>0</v>
      </c>
      <c r="I82" s="253">
        <f t="shared" si="2"/>
        <v>0</v>
      </c>
      <c r="J82"/>
      <c r="K82" s="266">
        <v>0</v>
      </c>
      <c r="L82" s="251">
        <f t="shared" si="167"/>
        <v>0</v>
      </c>
      <c r="M82" s="252">
        <f t="shared" si="168"/>
        <v>0</v>
      </c>
      <c r="N82" s="253">
        <f t="shared" si="152"/>
        <v>0</v>
      </c>
      <c r="O82"/>
      <c r="P82" s="266">
        <v>0</v>
      </c>
      <c r="Q82" s="251">
        <f t="shared" si="6"/>
        <v>0</v>
      </c>
      <c r="R82" s="252">
        <f t="shared" si="7"/>
        <v>0</v>
      </c>
      <c r="S82" s="253">
        <f t="shared" si="8"/>
        <v>0</v>
      </c>
      <c r="T82"/>
      <c r="U82" s="266">
        <v>-0.44752273000000004</v>
      </c>
      <c r="V82" s="252">
        <f t="shared" si="9"/>
        <v>0</v>
      </c>
      <c r="W82" s="250">
        <v>0</v>
      </c>
      <c r="X82" s="252">
        <f t="shared" si="10"/>
        <v>0</v>
      </c>
      <c r="Y82" s="251">
        <f t="shared" si="11"/>
        <v>-0.44752273000000004</v>
      </c>
      <c r="Z82" s="252">
        <f t="shared" si="12"/>
        <v>0</v>
      </c>
      <c r="AA82" s="253">
        <f t="shared" si="13"/>
        <v>0</v>
      </c>
      <c r="AB82"/>
      <c r="AC82" s="250">
        <v>-0.52192066000000004</v>
      </c>
      <c r="AD82" s="252">
        <f t="shared" si="169"/>
        <v>0</v>
      </c>
      <c r="AE82" s="251">
        <f t="shared" si="170"/>
        <v>7.4397930000000001E-2</v>
      </c>
      <c r="AF82" s="252">
        <f t="shared" si="171"/>
        <v>-0.14254643608091699</v>
      </c>
      <c r="AG82" s="253">
        <f t="shared" si="156"/>
        <v>-0.14254643608091699</v>
      </c>
      <c r="AH82"/>
      <c r="AI82" s="266">
        <v>-0.31449154999999995</v>
      </c>
      <c r="AJ82" s="252">
        <f t="shared" si="18"/>
        <v>0</v>
      </c>
      <c r="AK82" s="251">
        <f t="shared" si="19"/>
        <v>-0.13303118000000008</v>
      </c>
      <c r="AL82" s="252">
        <f t="shared" si="20"/>
        <v>0.42300398850144028</v>
      </c>
      <c r="AM82" s="253">
        <f t="shared" si="21"/>
        <v>0.42300398850144028</v>
      </c>
      <c r="AN82"/>
      <c r="AO82" s="266">
        <v>0</v>
      </c>
      <c r="AP82" s="252">
        <f t="shared" si="22"/>
        <v>0</v>
      </c>
      <c r="AQ82" s="250">
        <v>0</v>
      </c>
      <c r="AR82" s="252">
        <f t="shared" si="23"/>
        <v>0</v>
      </c>
      <c r="AS82" s="251">
        <f t="shared" si="24"/>
        <v>0</v>
      </c>
      <c r="AT82" s="252">
        <f t="shared" si="25"/>
        <v>0</v>
      </c>
      <c r="AU82" s="253">
        <f t="shared" si="26"/>
        <v>0</v>
      </c>
      <c r="AV82"/>
      <c r="AW82" s="266">
        <v>0</v>
      </c>
      <c r="AX82" s="252">
        <f t="shared" si="172"/>
        <v>0</v>
      </c>
      <c r="AY82" s="251">
        <f t="shared" si="173"/>
        <v>0</v>
      </c>
      <c r="AZ82" s="252">
        <f t="shared" si="174"/>
        <v>0</v>
      </c>
      <c r="BA82" s="253">
        <f t="shared" si="160"/>
        <v>0</v>
      </c>
      <c r="BB82"/>
      <c r="BC82" s="266">
        <v>0</v>
      </c>
      <c r="BD82" s="252">
        <f t="shared" si="31"/>
        <v>0</v>
      </c>
      <c r="BE82" s="251">
        <f t="shared" si="32"/>
        <v>0</v>
      </c>
      <c r="BF82" s="252">
        <f t="shared" si="33"/>
        <v>0</v>
      </c>
      <c r="BG82" s="253">
        <f t="shared" si="34"/>
        <v>0</v>
      </c>
      <c r="BH82"/>
      <c r="BI82" s="266">
        <f t="shared" si="182"/>
        <v>-0.44752273000000004</v>
      </c>
      <c r="BJ82" s="252">
        <f t="shared" si="35"/>
        <v>0</v>
      </c>
      <c r="BK82" s="266">
        <f t="shared" si="183"/>
        <v>0</v>
      </c>
      <c r="BL82" s="252">
        <f t="shared" si="36"/>
        <v>0</v>
      </c>
      <c r="BM82" s="251">
        <f t="shared" si="37"/>
        <v>-0.44752273000000004</v>
      </c>
      <c r="BN82" s="252" t="e">
        <f t="shared" si="114"/>
        <v>#DIV/0!</v>
      </c>
      <c r="BO82" s="253" t="e">
        <f t="shared" si="39"/>
        <v>#DIV/0!</v>
      </c>
      <c r="BP82"/>
      <c r="BQ82" s="266">
        <f t="shared" si="184"/>
        <v>-0.52192066000000004</v>
      </c>
      <c r="BR82" s="252">
        <f t="shared" si="175"/>
        <v>0</v>
      </c>
      <c r="BS82" s="251">
        <f t="shared" si="176"/>
        <v>7.4397930000000001E-2</v>
      </c>
      <c r="BT82" s="252">
        <f t="shared" si="177"/>
        <v>0.14254643608091697</v>
      </c>
      <c r="BU82" s="253">
        <f t="shared" si="165"/>
        <v>0.14254643608091697</v>
      </c>
      <c r="BV82"/>
      <c r="BW82" s="266">
        <f t="shared" si="185"/>
        <v>-0.31449154999999995</v>
      </c>
      <c r="BX82" s="252">
        <f t="shared" si="44"/>
        <v>0</v>
      </c>
      <c r="BY82" s="251">
        <f t="shared" si="45"/>
        <v>-0.13303118000000008</v>
      </c>
      <c r="BZ82" s="252">
        <f t="shared" si="122"/>
        <v>-0.42300398850144016</v>
      </c>
      <c r="CA82" s="253">
        <f t="shared" si="47"/>
        <v>-0.42300398850144016</v>
      </c>
    </row>
    <row r="83" spans="2:79" collapsed="1" x14ac:dyDescent="0.35">
      <c r="B83" s="239" t="s">
        <v>252</v>
      </c>
      <c r="C83" s="239" t="s">
        <v>253</v>
      </c>
      <c r="D83"/>
      <c r="E83" s="240">
        <v>0</v>
      </c>
      <c r="F83" s="240">
        <v>0</v>
      </c>
      <c r="G83" s="241">
        <f t="shared" si="0"/>
        <v>0</v>
      </c>
      <c r="H83" s="242">
        <f t="shared" si="1"/>
        <v>0</v>
      </c>
      <c r="I83" s="243">
        <f t="shared" si="2"/>
        <v>0</v>
      </c>
      <c r="J83"/>
      <c r="K83" s="240">
        <v>0</v>
      </c>
      <c r="L83" s="241">
        <f t="shared" si="167"/>
        <v>0</v>
      </c>
      <c r="M83" s="242">
        <f t="shared" si="168"/>
        <v>0</v>
      </c>
      <c r="N83" s="243">
        <f t="shared" si="152"/>
        <v>0</v>
      </c>
      <c r="O83"/>
      <c r="P83" s="240">
        <v>0</v>
      </c>
      <c r="Q83" s="241">
        <f t="shared" si="6"/>
        <v>0</v>
      </c>
      <c r="R83" s="242">
        <f t="shared" si="7"/>
        <v>0</v>
      </c>
      <c r="S83" s="243">
        <f t="shared" si="8"/>
        <v>0</v>
      </c>
      <c r="T83"/>
      <c r="U83" s="240">
        <v>-8.4103589400000036</v>
      </c>
      <c r="V83" s="242">
        <f t="shared" si="9"/>
        <v>0</v>
      </c>
      <c r="W83" s="240">
        <v>-8.2914733159196814</v>
      </c>
      <c r="X83" s="242">
        <f t="shared" si="10"/>
        <v>0</v>
      </c>
      <c r="Y83" s="241">
        <f t="shared" si="11"/>
        <v>-0.11888562408032222</v>
      </c>
      <c r="Z83" s="242">
        <f t="shared" si="12"/>
        <v>1.4338299063456184E-2</v>
      </c>
      <c r="AA83" s="243">
        <f t="shared" si="13"/>
        <v>1.4338299063456184E-2</v>
      </c>
      <c r="AB83"/>
      <c r="AC83" s="240">
        <v>-8.2901910672447574</v>
      </c>
      <c r="AD83" s="242">
        <f t="shared" si="169"/>
        <v>0</v>
      </c>
      <c r="AE83" s="241">
        <f t="shared" si="170"/>
        <v>-0.12016787275524621</v>
      </c>
      <c r="AF83" s="242">
        <f t="shared" si="171"/>
        <v>1.4495187358231076E-2</v>
      </c>
      <c r="AG83" s="243">
        <f t="shared" si="156"/>
        <v>1.4495187358231076E-2</v>
      </c>
      <c r="AH83"/>
      <c r="AI83" s="240">
        <v>-6.2613976600000001</v>
      </c>
      <c r="AJ83" s="242">
        <f t="shared" si="18"/>
        <v>0</v>
      </c>
      <c r="AK83" s="241">
        <f t="shared" si="19"/>
        <v>-2.1489612800000035</v>
      </c>
      <c r="AL83" s="242">
        <f t="shared" si="20"/>
        <v>0.34320792204723238</v>
      </c>
      <c r="AM83" s="243">
        <f t="shared" si="21"/>
        <v>0.34320792204723238</v>
      </c>
      <c r="AN83"/>
      <c r="AO83" s="240">
        <v>0</v>
      </c>
      <c r="AP83" s="242">
        <f t="shared" si="22"/>
        <v>0</v>
      </c>
      <c r="AQ83" s="240">
        <v>0</v>
      </c>
      <c r="AR83" s="242">
        <f t="shared" si="23"/>
        <v>0</v>
      </c>
      <c r="AS83" s="241">
        <f t="shared" si="24"/>
        <v>0</v>
      </c>
      <c r="AT83" s="242">
        <f t="shared" si="25"/>
        <v>0</v>
      </c>
      <c r="AU83" s="243">
        <f t="shared" si="26"/>
        <v>0</v>
      </c>
      <c r="AV83"/>
      <c r="AW83" s="240">
        <v>0</v>
      </c>
      <c r="AX83" s="242">
        <f t="shared" si="172"/>
        <v>0</v>
      </c>
      <c r="AY83" s="241">
        <f t="shared" si="173"/>
        <v>0</v>
      </c>
      <c r="AZ83" s="242">
        <f t="shared" si="174"/>
        <v>0</v>
      </c>
      <c r="BA83" s="243">
        <f t="shared" si="160"/>
        <v>0</v>
      </c>
      <c r="BB83"/>
      <c r="BC83" s="240">
        <v>0</v>
      </c>
      <c r="BD83" s="242">
        <f t="shared" si="31"/>
        <v>0</v>
      </c>
      <c r="BE83" s="241">
        <f t="shared" si="32"/>
        <v>0</v>
      </c>
      <c r="BF83" s="242">
        <f t="shared" si="33"/>
        <v>0</v>
      </c>
      <c r="BG83" s="243">
        <f t="shared" si="34"/>
        <v>0</v>
      </c>
      <c r="BH83"/>
      <c r="BI83" s="240">
        <f t="shared" si="182"/>
        <v>-8.4103589400000036</v>
      </c>
      <c r="BJ83" s="242">
        <f t="shared" si="35"/>
        <v>0</v>
      </c>
      <c r="BK83" s="240">
        <f t="shared" si="183"/>
        <v>-8.2914733159196814</v>
      </c>
      <c r="BL83" s="242">
        <f t="shared" si="36"/>
        <v>0</v>
      </c>
      <c r="BM83" s="241">
        <f t="shared" si="37"/>
        <v>-0.11888562408032222</v>
      </c>
      <c r="BN83" s="242">
        <f t="shared" si="114"/>
        <v>-1.4338299063456076E-2</v>
      </c>
      <c r="BO83" s="243">
        <f t="shared" si="39"/>
        <v>-1.4338299063456076E-2</v>
      </c>
      <c r="BP83"/>
      <c r="BQ83" s="240">
        <f t="shared" si="184"/>
        <v>-8.2901910672447574</v>
      </c>
      <c r="BR83" s="242">
        <f t="shared" si="175"/>
        <v>0</v>
      </c>
      <c r="BS83" s="241">
        <f t="shared" si="176"/>
        <v>-0.12016787275524621</v>
      </c>
      <c r="BT83" s="242">
        <f t="shared" si="177"/>
        <v>-1.4495187358231052E-2</v>
      </c>
      <c r="BU83" s="243">
        <f t="shared" si="165"/>
        <v>-1.4495187358231052E-2</v>
      </c>
      <c r="BV83"/>
      <c r="BW83" s="240">
        <f t="shared" si="185"/>
        <v>-6.2613976600000001</v>
      </c>
      <c r="BX83" s="242">
        <f t="shared" si="44"/>
        <v>0</v>
      </c>
      <c r="BY83" s="241">
        <f t="shared" si="45"/>
        <v>-2.1489612800000035</v>
      </c>
      <c r="BZ83" s="242">
        <f t="shared" si="122"/>
        <v>-0.34320792204723244</v>
      </c>
      <c r="CA83" s="243">
        <f t="shared" si="47"/>
        <v>-0.34320792204723244</v>
      </c>
    </row>
    <row r="84" spans="2:79" ht="7.5" customHeight="1" x14ac:dyDescent="0.35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</row>
    <row r="85" spans="2:79" hidden="1" outlineLevel="1" x14ac:dyDescent="0.35">
      <c r="B85" s="255" t="s">
        <v>254</v>
      </c>
      <c r="C85" s="255" t="s">
        <v>255</v>
      </c>
      <c r="D85"/>
      <c r="E85" s="266">
        <v>0</v>
      </c>
      <c r="F85" s="266">
        <v>0</v>
      </c>
      <c r="G85" s="251">
        <f t="shared" ref="G85:G88" si="186">$E85-F85</f>
        <v>0</v>
      </c>
      <c r="H85" s="252">
        <f t="shared" ref="H85:H88" si="187">IFERROR($E85/F85-1,0)</f>
        <v>0</v>
      </c>
      <c r="I85" s="253">
        <f t="shared" ref="I85:I88" si="188">H85</f>
        <v>0</v>
      </c>
      <c r="J85"/>
      <c r="K85" s="266">
        <v>0</v>
      </c>
      <c r="L85" s="251">
        <f t="shared" ref="L85:L88" si="189">$E85-K85</f>
        <v>0</v>
      </c>
      <c r="M85" s="252">
        <f t="shared" ref="M85:M88" si="190">IFERROR($E85/K85-1,0)</f>
        <v>0</v>
      </c>
      <c r="N85" s="253">
        <f t="shared" ref="N85:N88" si="191">M85</f>
        <v>0</v>
      </c>
      <c r="O85"/>
      <c r="P85" s="266">
        <v>0</v>
      </c>
      <c r="Q85" s="251">
        <f t="shared" ref="Q85:Q88" si="192">$E85-P85</f>
        <v>0</v>
      </c>
      <c r="R85" s="252">
        <f t="shared" ref="R85:R88" si="193">IFERROR($E85/P85-1,0)</f>
        <v>0</v>
      </c>
      <c r="S85" s="253">
        <f t="shared" ref="S85:S88" si="194">R85</f>
        <v>0</v>
      </c>
      <c r="T85"/>
      <c r="U85" s="266">
        <v>-22.021359515020361</v>
      </c>
      <c r="V85" s="252">
        <f t="shared" ref="V85:V88" si="195">IFERROR(U85/$E85,0)</f>
        <v>0</v>
      </c>
      <c r="W85" s="266">
        <v>-19.152510633129978</v>
      </c>
      <c r="X85" s="252">
        <f t="shared" ref="X85:X88" si="196">IFERROR(W85/$F85,0)</f>
        <v>0</v>
      </c>
      <c r="Y85" s="251">
        <f t="shared" ref="Y85:Y88" si="197">$U85-W85</f>
        <v>-2.8688488818903828</v>
      </c>
      <c r="Z85" s="252">
        <f t="shared" ref="Z85:Z88" si="198">IFERROR($U85/W85-1,0)</f>
        <v>0.14978970312789452</v>
      </c>
      <c r="AA85" s="253">
        <f t="shared" ref="AA85:AA88" si="199">Z85</f>
        <v>0.14978970312789452</v>
      </c>
      <c r="AB85"/>
      <c r="AC85" s="266">
        <v>-11.918136218087689</v>
      </c>
      <c r="AD85" s="252">
        <f t="shared" ref="AD85:AD88" si="200">IFERROR(AC85/$P85,0)</f>
        <v>0</v>
      </c>
      <c r="AE85" s="251">
        <f t="shared" ref="AE85:AE88" si="201">$U85-AC85</f>
        <v>-10.103223296932672</v>
      </c>
      <c r="AF85" s="252">
        <f t="shared" ref="AF85:AF88" si="202">IFERROR($U85/AC85-1,0)</f>
        <v>0.84771839422336903</v>
      </c>
      <c r="AG85" s="253">
        <f t="shared" ref="AG85:AG88" si="203">AF85</f>
        <v>0.84771839422336903</v>
      </c>
      <c r="AH85"/>
      <c r="AI85" s="266">
        <v>-19.228028700000003</v>
      </c>
      <c r="AJ85" s="252">
        <f t="shared" ref="AJ85:AJ88" si="204">IFERROR(AI85/$P85,0)</f>
        <v>0</v>
      </c>
      <c r="AK85" s="251">
        <f t="shared" ref="AK85:AK88" si="205">$U85-AI85</f>
        <v>-2.793330815020358</v>
      </c>
      <c r="AL85" s="252">
        <f t="shared" ref="AL85:AL88" si="206">IFERROR($U85/AI85-1,0)</f>
        <v>0.1452739050166052</v>
      </c>
      <c r="AM85" s="253">
        <f t="shared" ref="AM85:AM88" si="207">AL85</f>
        <v>0.1452739050166052</v>
      </c>
      <c r="AN85"/>
      <c r="AO85" s="266">
        <v>-0.24085959000000001</v>
      </c>
      <c r="AP85" s="252">
        <f t="shared" ref="AP85:AP88" si="208">IFERROR(AO85/$E85,0)</f>
        <v>0</v>
      </c>
      <c r="AQ85" s="266">
        <v>0</v>
      </c>
      <c r="AR85" s="252">
        <f t="shared" ref="AR85:AR88" si="209">IFERROR(AQ85/$F85,0)</f>
        <v>0</v>
      </c>
      <c r="AS85" s="251">
        <f t="shared" ref="AS85:AS88" si="210">$AO85-AQ85</f>
        <v>-0.24085959000000001</v>
      </c>
      <c r="AT85" s="252">
        <f t="shared" ref="AT85:AT88" si="211">IFERROR($AO85/AQ85-1,0)</f>
        <v>0</v>
      </c>
      <c r="AU85" s="253">
        <f t="shared" ref="AU85:AU88" si="212">AT85</f>
        <v>0</v>
      </c>
      <c r="AV85"/>
      <c r="AW85" s="266">
        <v>-0.20679609999999998</v>
      </c>
      <c r="AX85" s="252">
        <f t="shared" ref="AX85:AX88" si="213">IFERROR(AW85/$P85,0)</f>
        <v>0</v>
      </c>
      <c r="AY85" s="251">
        <f t="shared" ref="AY85:AY88" si="214">$AO85-AW85</f>
        <v>-3.406349000000003E-2</v>
      </c>
      <c r="AZ85" s="252">
        <f t="shared" ref="AZ85:AZ88" si="215">IFERROR($AO85/AW85-1,0)</f>
        <v>0.16472017605747902</v>
      </c>
      <c r="BA85" s="253">
        <f t="shared" ref="BA85:BA88" si="216">AZ85</f>
        <v>0.16472017605747902</v>
      </c>
      <c r="BB85"/>
      <c r="BC85" s="266">
        <v>-1.3074120800000006</v>
      </c>
      <c r="BD85" s="252">
        <f t="shared" ref="BD85:BD88" si="217">IFERROR(BC85/$P85,0)</f>
        <v>0</v>
      </c>
      <c r="BE85" s="251">
        <f t="shared" ref="BE85:BE88" si="218">$AO85-BC85</f>
        <v>1.0665524900000007</v>
      </c>
      <c r="BF85" s="252">
        <f t="shared" ref="BF85:BF88" si="219">IFERROR($AO85/BC85-1,0)</f>
        <v>-0.81577377654335281</v>
      </c>
      <c r="BG85" s="253">
        <f t="shared" ref="BG85:BG88" si="220">BF85</f>
        <v>-0.81577377654335281</v>
      </c>
      <c r="BH85"/>
      <c r="BI85" s="266">
        <f t="shared" ref="BI85:BI87" si="221">SUM(U85,AO85)</f>
        <v>-22.26221910502036</v>
      </c>
      <c r="BJ85" s="252">
        <f t="shared" ref="BJ85:BJ88" si="222">IFERROR(BI85/$E85,0)</f>
        <v>0</v>
      </c>
      <c r="BK85" s="266">
        <f t="shared" ref="BK85:BK87" si="223">SUM(W85,AQ85)</f>
        <v>-19.152510633129978</v>
      </c>
      <c r="BL85" s="252">
        <f t="shared" ref="BL85:BL88" si="224">IFERROR(BK85/$F85,0)</f>
        <v>0</v>
      </c>
      <c r="BM85" s="251">
        <f t="shared" ref="BM85:BM88" si="225">$BI85-BK85</f>
        <v>-3.1097084718903822</v>
      </c>
      <c r="BN85" s="252">
        <f t="shared" ref="BN85:BN87" si="226">IFERROR($BI85/BK85-1,0)</f>
        <v>0.16236557866785439</v>
      </c>
      <c r="BO85" s="253">
        <f t="shared" ref="BO85:BO88" si="227">BN85</f>
        <v>0.16236557866785439</v>
      </c>
      <c r="BP85"/>
      <c r="BQ85" s="266">
        <f t="shared" ref="BQ85:BQ87" si="228">SUM(AC85,AW85)</f>
        <v>-12.124932318087689</v>
      </c>
      <c r="BR85" s="252">
        <f t="shared" ref="BR85:BR88" si="229">IFERROR(BQ85/$P85,0)</f>
        <v>0</v>
      </c>
      <c r="BS85" s="251">
        <f t="shared" ref="BS85:BS88" si="230">$BI85-BQ85</f>
        <v>-10.137286786932671</v>
      </c>
      <c r="BT85" s="252">
        <f t="shared" ref="BT85:BT87" si="231">IFERROR($BI85/BQ85-1,0)</f>
        <v>0.83606955659538862</v>
      </c>
      <c r="BU85" s="253">
        <f t="shared" ref="BU85:BU88" si="232">BT85</f>
        <v>0.83606955659538862</v>
      </c>
      <c r="BV85"/>
      <c r="BW85" s="266">
        <f t="shared" ref="BW85:BW87" si="233">SUM(AI85,BC85)</f>
        <v>-20.535440780000002</v>
      </c>
      <c r="BX85" s="252">
        <f t="shared" ref="BX85:BX88" si="234">IFERROR(BW85/$P85,0)</f>
        <v>0</v>
      </c>
      <c r="BY85" s="251">
        <f t="shared" ref="BY85:BY88" si="235">$BI85-BW85</f>
        <v>-1.7267783250203586</v>
      </c>
      <c r="BZ85" s="252">
        <f t="shared" ref="BZ85:BZ87" si="236">IFERROR($BI85/BW85-1,0)</f>
        <v>8.4087716622187836E-2</v>
      </c>
      <c r="CA85" s="253">
        <f t="shared" ref="CA85:CA88" si="237">BZ85</f>
        <v>8.4087716622187836E-2</v>
      </c>
    </row>
    <row r="86" spans="2:79" hidden="1" outlineLevel="1" x14ac:dyDescent="0.35">
      <c r="B86" s="255" t="s">
        <v>256</v>
      </c>
      <c r="C86" s="255" t="s">
        <v>257</v>
      </c>
      <c r="D86"/>
      <c r="E86" s="266">
        <v>0</v>
      </c>
      <c r="F86" s="266">
        <v>0</v>
      </c>
      <c r="G86" s="251">
        <f t="shared" si="186"/>
        <v>0</v>
      </c>
      <c r="H86" s="252">
        <f t="shared" si="187"/>
        <v>0</v>
      </c>
      <c r="I86" s="253">
        <f t="shared" si="188"/>
        <v>0</v>
      </c>
      <c r="J86"/>
      <c r="K86" s="266">
        <v>0</v>
      </c>
      <c r="L86" s="251">
        <f t="shared" si="189"/>
        <v>0</v>
      </c>
      <c r="M86" s="252">
        <f t="shared" si="190"/>
        <v>0</v>
      </c>
      <c r="N86" s="253">
        <f t="shared" si="191"/>
        <v>0</v>
      </c>
      <c r="O86"/>
      <c r="P86" s="266">
        <v>0</v>
      </c>
      <c r="Q86" s="251">
        <f t="shared" si="192"/>
        <v>0</v>
      </c>
      <c r="R86" s="252">
        <f t="shared" si="193"/>
        <v>0</v>
      </c>
      <c r="S86" s="253">
        <f t="shared" si="194"/>
        <v>0</v>
      </c>
      <c r="T86"/>
      <c r="U86" s="266">
        <v>-12.354154370000002</v>
      </c>
      <c r="V86" s="252">
        <f t="shared" si="195"/>
        <v>0</v>
      </c>
      <c r="W86" s="266">
        <v>-12.113253660190262</v>
      </c>
      <c r="X86" s="252">
        <f t="shared" si="196"/>
        <v>0</v>
      </c>
      <c r="Y86" s="251">
        <f t="shared" si="197"/>
        <v>-0.24090070980973977</v>
      </c>
      <c r="Z86" s="252">
        <f t="shared" si="198"/>
        <v>1.9887366067586898E-2</v>
      </c>
      <c r="AA86" s="253">
        <f t="shared" si="199"/>
        <v>1.9887366067586898E-2</v>
      </c>
      <c r="AB86"/>
      <c r="AC86" s="266">
        <v>-19.372167912554424</v>
      </c>
      <c r="AD86" s="252">
        <f t="shared" si="200"/>
        <v>0</v>
      </c>
      <c r="AE86" s="251">
        <f t="shared" si="201"/>
        <v>7.0180135425544226</v>
      </c>
      <c r="AF86" s="252">
        <f t="shared" si="202"/>
        <v>-0.36227300807186857</v>
      </c>
      <c r="AG86" s="253">
        <f t="shared" si="203"/>
        <v>-0.36227300807186857</v>
      </c>
      <c r="AH86"/>
      <c r="AI86" s="266">
        <v>-11.067690990000003</v>
      </c>
      <c r="AJ86" s="252">
        <f t="shared" si="204"/>
        <v>0</v>
      </c>
      <c r="AK86" s="251">
        <f t="shared" si="205"/>
        <v>-1.2864633799999989</v>
      </c>
      <c r="AL86" s="252">
        <f t="shared" si="206"/>
        <v>0.11623593224299067</v>
      </c>
      <c r="AM86" s="253">
        <f t="shared" si="207"/>
        <v>0.11623593224299067</v>
      </c>
      <c r="AN86"/>
      <c r="AO86" s="266">
        <v>0</v>
      </c>
      <c r="AP86" s="252">
        <f t="shared" si="208"/>
        <v>0</v>
      </c>
      <c r="AQ86" s="266">
        <v>0</v>
      </c>
      <c r="AR86" s="252">
        <f t="shared" si="209"/>
        <v>0</v>
      </c>
      <c r="AS86" s="251">
        <f t="shared" si="210"/>
        <v>0</v>
      </c>
      <c r="AT86" s="252">
        <f t="shared" si="211"/>
        <v>0</v>
      </c>
      <c r="AU86" s="253">
        <f t="shared" si="212"/>
        <v>0</v>
      </c>
      <c r="AV86"/>
      <c r="AW86" s="266">
        <v>0</v>
      </c>
      <c r="AX86" s="252">
        <f t="shared" si="213"/>
        <v>0</v>
      </c>
      <c r="AY86" s="251">
        <f t="shared" si="214"/>
        <v>0</v>
      </c>
      <c r="AZ86" s="252">
        <f t="shared" si="215"/>
        <v>0</v>
      </c>
      <c r="BA86" s="253">
        <f t="shared" si="216"/>
        <v>0</v>
      </c>
      <c r="BB86"/>
      <c r="BC86" s="266">
        <v>0</v>
      </c>
      <c r="BD86" s="252">
        <f t="shared" si="217"/>
        <v>0</v>
      </c>
      <c r="BE86" s="251">
        <f t="shared" si="218"/>
        <v>0</v>
      </c>
      <c r="BF86" s="252">
        <f t="shared" si="219"/>
        <v>0</v>
      </c>
      <c r="BG86" s="253">
        <f t="shared" si="220"/>
        <v>0</v>
      </c>
      <c r="BH86"/>
      <c r="BI86" s="266">
        <f t="shared" si="221"/>
        <v>-12.354154370000002</v>
      </c>
      <c r="BJ86" s="252">
        <f t="shared" si="222"/>
        <v>0</v>
      </c>
      <c r="BK86" s="266">
        <f t="shared" si="223"/>
        <v>-12.113253660190262</v>
      </c>
      <c r="BL86" s="252">
        <f t="shared" si="224"/>
        <v>0</v>
      </c>
      <c r="BM86" s="251">
        <f t="shared" si="225"/>
        <v>-0.24090070980973977</v>
      </c>
      <c r="BN86" s="252">
        <f t="shared" si="226"/>
        <v>1.9887366067586898E-2</v>
      </c>
      <c r="BO86" s="253">
        <f t="shared" si="227"/>
        <v>1.9887366067586898E-2</v>
      </c>
      <c r="BP86"/>
      <c r="BQ86" s="266">
        <f t="shared" si="228"/>
        <v>-19.372167912554424</v>
      </c>
      <c r="BR86" s="252">
        <f t="shared" si="229"/>
        <v>0</v>
      </c>
      <c r="BS86" s="251">
        <f t="shared" si="230"/>
        <v>7.0180135425544226</v>
      </c>
      <c r="BT86" s="252">
        <f t="shared" si="231"/>
        <v>-0.36227300807186857</v>
      </c>
      <c r="BU86" s="253">
        <f t="shared" si="232"/>
        <v>-0.36227300807186857</v>
      </c>
      <c r="BV86"/>
      <c r="BW86" s="266">
        <f t="shared" si="233"/>
        <v>-11.067690990000003</v>
      </c>
      <c r="BX86" s="252">
        <f t="shared" si="234"/>
        <v>0</v>
      </c>
      <c r="BY86" s="251">
        <f t="shared" si="235"/>
        <v>-1.2864633799999989</v>
      </c>
      <c r="BZ86" s="252">
        <f t="shared" si="236"/>
        <v>0.11623593224299067</v>
      </c>
      <c r="CA86" s="253">
        <f t="shared" si="237"/>
        <v>0.11623593224299067</v>
      </c>
    </row>
    <row r="87" spans="2:79" hidden="1" outlineLevel="1" x14ac:dyDescent="0.35">
      <c r="B87" s="255" t="s">
        <v>258</v>
      </c>
      <c r="C87" s="255" t="s">
        <v>259</v>
      </c>
      <c r="D87"/>
      <c r="E87" s="266">
        <v>0</v>
      </c>
      <c r="F87" s="266">
        <v>0</v>
      </c>
      <c r="G87" s="251">
        <f t="shared" si="186"/>
        <v>0</v>
      </c>
      <c r="H87" s="252">
        <f t="shared" si="187"/>
        <v>0</v>
      </c>
      <c r="I87" s="253">
        <f t="shared" si="188"/>
        <v>0</v>
      </c>
      <c r="J87"/>
      <c r="K87" s="266">
        <v>0</v>
      </c>
      <c r="L87" s="251">
        <f t="shared" si="189"/>
        <v>0</v>
      </c>
      <c r="M87" s="252">
        <f t="shared" si="190"/>
        <v>0</v>
      </c>
      <c r="N87" s="253">
        <f t="shared" si="191"/>
        <v>0</v>
      </c>
      <c r="O87"/>
      <c r="P87" s="266">
        <v>0</v>
      </c>
      <c r="Q87" s="251">
        <f t="shared" si="192"/>
        <v>0</v>
      </c>
      <c r="R87" s="252">
        <f t="shared" si="193"/>
        <v>0</v>
      </c>
      <c r="S87" s="253">
        <f t="shared" si="194"/>
        <v>0</v>
      </c>
      <c r="T87"/>
      <c r="U87" s="266">
        <v>-13.285174629999998</v>
      </c>
      <c r="V87" s="252">
        <f t="shared" si="195"/>
        <v>0</v>
      </c>
      <c r="W87" s="266">
        <v>-25.769028645464584</v>
      </c>
      <c r="X87" s="252">
        <f t="shared" si="196"/>
        <v>0</v>
      </c>
      <c r="Y87" s="251">
        <f t="shared" si="197"/>
        <v>12.483854015464585</v>
      </c>
      <c r="Z87" s="252">
        <f t="shared" si="198"/>
        <v>-0.4844518661226983</v>
      </c>
      <c r="AA87" s="253">
        <f t="shared" si="199"/>
        <v>-0.4844518661226983</v>
      </c>
      <c r="AB87"/>
      <c r="AC87" s="266">
        <v>-19.073530845752142</v>
      </c>
      <c r="AD87" s="252">
        <f t="shared" si="200"/>
        <v>0</v>
      </c>
      <c r="AE87" s="251">
        <f t="shared" si="201"/>
        <v>5.7883562157521435</v>
      </c>
      <c r="AF87" s="252">
        <f t="shared" si="202"/>
        <v>-0.30347586205001298</v>
      </c>
      <c r="AG87" s="253">
        <f t="shared" si="203"/>
        <v>-0.30347586205001298</v>
      </c>
      <c r="AH87"/>
      <c r="AI87" s="266">
        <v>-7.4922731600000008</v>
      </c>
      <c r="AJ87" s="252">
        <f t="shared" si="204"/>
        <v>0</v>
      </c>
      <c r="AK87" s="251">
        <f t="shared" si="205"/>
        <v>-5.7929014699999977</v>
      </c>
      <c r="AL87" s="252">
        <f t="shared" si="206"/>
        <v>0.77318343128856193</v>
      </c>
      <c r="AM87" s="253">
        <f t="shared" si="207"/>
        <v>0.77318343128856193</v>
      </c>
      <c r="AN87"/>
      <c r="AO87" s="266">
        <v>-6.1917699900000009</v>
      </c>
      <c r="AP87" s="252">
        <f t="shared" si="208"/>
        <v>0</v>
      </c>
      <c r="AQ87" s="266">
        <v>-0.12284399999999999</v>
      </c>
      <c r="AR87" s="252">
        <f t="shared" si="209"/>
        <v>0</v>
      </c>
      <c r="AS87" s="251">
        <f t="shared" si="210"/>
        <v>-6.0689259900000012</v>
      </c>
      <c r="AT87" s="252">
        <f t="shared" si="211"/>
        <v>49.403519830028337</v>
      </c>
      <c r="AU87" s="253">
        <f t="shared" si="212"/>
        <v>49.403519830028337</v>
      </c>
      <c r="AV87"/>
      <c r="AW87" s="266">
        <v>-4.6470844000000007</v>
      </c>
      <c r="AX87" s="252">
        <f t="shared" si="213"/>
        <v>0</v>
      </c>
      <c r="AY87" s="251">
        <f t="shared" si="214"/>
        <v>-1.5446855900000003</v>
      </c>
      <c r="AZ87" s="252">
        <f t="shared" si="215"/>
        <v>0.33239886712623501</v>
      </c>
      <c r="BA87" s="253">
        <f t="shared" si="216"/>
        <v>0.33239886712623501</v>
      </c>
      <c r="BB87"/>
      <c r="BC87" s="266">
        <v>-0.91050635000000024</v>
      </c>
      <c r="BD87" s="252">
        <f t="shared" si="217"/>
        <v>0</v>
      </c>
      <c r="BE87" s="251">
        <f t="shared" si="218"/>
        <v>-5.2812636400000006</v>
      </c>
      <c r="BF87" s="252">
        <f t="shared" si="219"/>
        <v>5.8003589321480291</v>
      </c>
      <c r="BG87" s="253">
        <f t="shared" si="220"/>
        <v>5.8003589321480291</v>
      </c>
      <c r="BH87"/>
      <c r="BI87" s="266">
        <f t="shared" si="221"/>
        <v>-19.476944619999998</v>
      </c>
      <c r="BJ87" s="252">
        <f t="shared" si="222"/>
        <v>0</v>
      </c>
      <c r="BK87" s="266">
        <f t="shared" si="223"/>
        <v>-25.891872645464584</v>
      </c>
      <c r="BL87" s="252">
        <f t="shared" si="224"/>
        <v>0</v>
      </c>
      <c r="BM87" s="251">
        <f t="shared" si="225"/>
        <v>6.4149280254645866</v>
      </c>
      <c r="BN87" s="252">
        <f t="shared" si="226"/>
        <v>-0.2477583646924153</v>
      </c>
      <c r="BO87" s="253">
        <f t="shared" si="227"/>
        <v>-0.2477583646924153</v>
      </c>
      <c r="BP87"/>
      <c r="BQ87" s="266">
        <f t="shared" si="228"/>
        <v>-23.720615245752143</v>
      </c>
      <c r="BR87" s="252">
        <f t="shared" si="229"/>
        <v>0</v>
      </c>
      <c r="BS87" s="251">
        <f t="shared" si="230"/>
        <v>4.243670625752145</v>
      </c>
      <c r="BT87" s="252">
        <f t="shared" si="231"/>
        <v>-0.17890221572191711</v>
      </c>
      <c r="BU87" s="253">
        <f t="shared" si="232"/>
        <v>-0.17890221572191711</v>
      </c>
      <c r="BV87"/>
      <c r="BW87" s="266">
        <f t="shared" si="233"/>
        <v>-8.4027795100000002</v>
      </c>
      <c r="BX87" s="252">
        <f t="shared" si="234"/>
        <v>0</v>
      </c>
      <c r="BY87" s="251">
        <f t="shared" si="235"/>
        <v>-11.074165109999997</v>
      </c>
      <c r="BZ87" s="252">
        <f t="shared" si="236"/>
        <v>1.3179168984287672</v>
      </c>
      <c r="CA87" s="253">
        <f t="shared" si="237"/>
        <v>1.3179168984287672</v>
      </c>
    </row>
    <row r="88" spans="2:79" collapsed="1" x14ac:dyDescent="0.35">
      <c r="B88" s="234">
        <v>3</v>
      </c>
      <c r="C88" s="234" t="s">
        <v>260</v>
      </c>
      <c r="D88"/>
      <c r="E88" s="235">
        <f>SUM(E85:E87)</f>
        <v>0</v>
      </c>
      <c r="F88" s="235">
        <f>SUM(F85:F87)</f>
        <v>0</v>
      </c>
      <c r="G88" s="236">
        <f t="shared" si="186"/>
        <v>0</v>
      </c>
      <c r="H88" s="237">
        <f t="shared" si="187"/>
        <v>0</v>
      </c>
      <c r="I88" s="238">
        <f t="shared" si="188"/>
        <v>0</v>
      </c>
      <c r="J88"/>
      <c r="K88" s="235">
        <f>SUM(K85:K87)</f>
        <v>0</v>
      </c>
      <c r="L88" s="236">
        <f t="shared" si="189"/>
        <v>0</v>
      </c>
      <c r="M88" s="237">
        <f t="shared" si="190"/>
        <v>0</v>
      </c>
      <c r="N88" s="238">
        <f t="shared" si="191"/>
        <v>0</v>
      </c>
      <c r="O88"/>
      <c r="P88" s="235">
        <f>SUM(P85:P87)</f>
        <v>0</v>
      </c>
      <c r="Q88" s="236">
        <f t="shared" si="192"/>
        <v>0</v>
      </c>
      <c r="R88" s="237">
        <f t="shared" si="193"/>
        <v>0</v>
      </c>
      <c r="S88" s="238">
        <f t="shared" si="194"/>
        <v>0</v>
      </c>
      <c r="T88"/>
      <c r="U88" s="235">
        <f>SUM(U85:U87)</f>
        <v>-47.660688515020361</v>
      </c>
      <c r="V88" s="237">
        <f t="shared" si="195"/>
        <v>0</v>
      </c>
      <c r="W88" s="235">
        <f>SUM(W85:W87)</f>
        <v>-57.034792938784818</v>
      </c>
      <c r="X88" s="237">
        <f t="shared" si="196"/>
        <v>0</v>
      </c>
      <c r="Y88" s="236">
        <f t="shared" si="197"/>
        <v>9.3741044237644573</v>
      </c>
      <c r="Z88" s="237">
        <f t="shared" si="198"/>
        <v>-0.16435764803820085</v>
      </c>
      <c r="AA88" s="238">
        <f t="shared" si="199"/>
        <v>-0.16435764803820085</v>
      </c>
      <c r="AB88"/>
      <c r="AC88" s="235">
        <f>SUM(AC85:AC87)</f>
        <v>-50.363834976394259</v>
      </c>
      <c r="AD88" s="237">
        <f t="shared" si="200"/>
        <v>0</v>
      </c>
      <c r="AE88" s="236">
        <f t="shared" si="201"/>
        <v>2.7031464613738976</v>
      </c>
      <c r="AF88" s="237">
        <f t="shared" si="202"/>
        <v>-5.3672371507071936E-2</v>
      </c>
      <c r="AG88" s="238">
        <f t="shared" si="203"/>
        <v>-5.3672371507071936E-2</v>
      </c>
      <c r="AH88"/>
      <c r="AI88" s="235">
        <f>SUM(AI85:AI87)</f>
        <v>-37.787992850000009</v>
      </c>
      <c r="AJ88" s="237">
        <f t="shared" si="204"/>
        <v>0</v>
      </c>
      <c r="AK88" s="236">
        <f t="shared" si="205"/>
        <v>-9.8726956650203519</v>
      </c>
      <c r="AL88" s="237">
        <f t="shared" si="206"/>
        <v>0.26126541582163831</v>
      </c>
      <c r="AM88" s="238">
        <f t="shared" si="207"/>
        <v>0.26126541582163831</v>
      </c>
      <c r="AN88"/>
      <c r="AO88" s="235">
        <f>SUM(AO85:AO87)</f>
        <v>-6.4326295800000013</v>
      </c>
      <c r="AP88" s="237">
        <f t="shared" si="208"/>
        <v>0</v>
      </c>
      <c r="AQ88" s="235">
        <f>SUM(AQ85:AQ87)</f>
        <v>-0.12284399999999999</v>
      </c>
      <c r="AR88" s="237">
        <f t="shared" si="209"/>
        <v>0</v>
      </c>
      <c r="AS88" s="236">
        <f t="shared" si="210"/>
        <v>-6.3097855800000016</v>
      </c>
      <c r="AT88" s="237">
        <f t="shared" si="211"/>
        <v>51.364214613656358</v>
      </c>
      <c r="AU88" s="238">
        <f t="shared" si="212"/>
        <v>51.364214613656358</v>
      </c>
      <c r="AV88"/>
      <c r="AW88" s="235">
        <f>SUM(AW85:AW87)</f>
        <v>-4.8538805000000007</v>
      </c>
      <c r="AX88" s="237">
        <f t="shared" si="213"/>
        <v>0</v>
      </c>
      <c r="AY88" s="236">
        <f t="shared" si="214"/>
        <v>-1.5787490800000006</v>
      </c>
      <c r="AZ88" s="237">
        <f t="shared" si="215"/>
        <v>0.32525503666602429</v>
      </c>
      <c r="BA88" s="238">
        <f t="shared" si="216"/>
        <v>0.32525503666602429</v>
      </c>
      <c r="BB88"/>
      <c r="BC88" s="235">
        <f>SUM(BC85:BC87)</f>
        <v>-2.217918430000001</v>
      </c>
      <c r="BD88" s="237">
        <f t="shared" si="217"/>
        <v>0</v>
      </c>
      <c r="BE88" s="236">
        <f t="shared" si="218"/>
        <v>-4.2147111500000003</v>
      </c>
      <c r="BF88" s="237">
        <f t="shared" si="219"/>
        <v>1.9003003415233799</v>
      </c>
      <c r="BG88" s="238">
        <f t="shared" si="220"/>
        <v>1.9003003415233799</v>
      </c>
      <c r="BH88"/>
      <c r="BI88" s="235">
        <f>SUM(BI85:BI87)</f>
        <v>-54.093318095020358</v>
      </c>
      <c r="BJ88" s="237">
        <f t="shared" si="222"/>
        <v>0</v>
      </c>
      <c r="BK88" s="235">
        <f>SUM(BK85:BK87)</f>
        <v>-57.157636938784819</v>
      </c>
      <c r="BL88" s="237">
        <f t="shared" si="224"/>
        <v>0</v>
      </c>
      <c r="BM88" s="236">
        <f t="shared" si="225"/>
        <v>3.0643188437644611</v>
      </c>
      <c r="BN88" s="237">
        <f>BM88/ABS(BK88)</f>
        <v>5.3611713287697878E-2</v>
      </c>
      <c r="BO88" s="238">
        <f t="shared" si="227"/>
        <v>5.3611713287697878E-2</v>
      </c>
      <c r="BP88"/>
      <c r="BQ88" s="235">
        <f>SUM(BQ85:BQ87)</f>
        <v>-55.217715476394254</v>
      </c>
      <c r="BR88" s="237">
        <f t="shared" si="229"/>
        <v>0</v>
      </c>
      <c r="BS88" s="236">
        <f t="shared" si="230"/>
        <v>1.1243973813738961</v>
      </c>
      <c r="BT88" s="237">
        <f>IFERROR(BS88/ABS(BQ88),"")</f>
        <v>2.0362982634704971E-2</v>
      </c>
      <c r="BU88" s="238">
        <f t="shared" si="232"/>
        <v>2.0362982634704971E-2</v>
      </c>
      <c r="BV88"/>
      <c r="BW88" s="235">
        <f>SUM(BW85:BW87)</f>
        <v>-40.005911280000007</v>
      </c>
      <c r="BX88" s="237">
        <f t="shared" si="234"/>
        <v>0</v>
      </c>
      <c r="BY88" s="236">
        <f t="shared" si="235"/>
        <v>-14.087406815020351</v>
      </c>
      <c r="BZ88" s="237">
        <f>IFERROR(BY88/ABS(BW88),"")</f>
        <v>-0.35213313143707869</v>
      </c>
      <c r="CA88" s="238">
        <f t="shared" si="237"/>
        <v>-0.35213313143707869</v>
      </c>
    </row>
    <row r="90" spans="2:79" x14ac:dyDescent="0.35">
      <c r="B90" s="324" t="s">
        <v>303</v>
      </c>
      <c r="C90" s="267"/>
      <c r="D90" s="267"/>
      <c r="E90" s="268">
        <f>E11-'P&amp;L Contábil'!AO9</f>
        <v>0</v>
      </c>
      <c r="F90" s="325">
        <f>F11-'P&amp;L Contábil'!AR9</f>
        <v>0</v>
      </c>
      <c r="G90" s="268"/>
      <c r="H90" s="268"/>
      <c r="I90" s="268"/>
      <c r="J90" s="268"/>
      <c r="K90" s="268"/>
      <c r="L90" s="268"/>
      <c r="M90" s="268"/>
      <c r="N90" s="268"/>
      <c r="O90" s="268"/>
      <c r="P90" s="268">
        <f>P11-'P&amp;L Contábil'!BF9</f>
        <v>0</v>
      </c>
      <c r="Q90" s="268"/>
      <c r="R90" s="268"/>
      <c r="S90" s="268"/>
      <c r="T90" s="268"/>
      <c r="U90" s="268">
        <f>U11-'P&amp;L Contábil'!AO19</f>
        <v>-3.979039320256561E-13</v>
      </c>
      <c r="V90" s="268"/>
      <c r="W90" s="268">
        <f>W11-'P&amp;L Contábil'!AR19</f>
        <v>-43.559139055533706</v>
      </c>
      <c r="X90" s="268"/>
      <c r="Y90" s="268"/>
      <c r="Z90" s="268"/>
      <c r="AA90" s="268"/>
      <c r="AB90" s="268"/>
      <c r="AC90" s="268"/>
      <c r="AD90" s="268"/>
      <c r="AE90" s="268"/>
      <c r="AF90" s="268"/>
      <c r="AG90" s="268"/>
      <c r="AH90" s="268"/>
      <c r="AI90" s="268">
        <f>AI11-'P&amp;L Contábil'!BF19</f>
        <v>-2.1547119240068469E-3</v>
      </c>
      <c r="AJ90" s="268"/>
      <c r="AK90" s="268"/>
      <c r="AL90" s="268"/>
      <c r="AM90" s="268"/>
      <c r="AN90" s="268"/>
      <c r="AO90" s="268">
        <f>AO11-'P&amp;L Contábil'!AO41</f>
        <v>0</v>
      </c>
      <c r="AP90" s="268"/>
      <c r="AQ90" s="268">
        <f>AQ11-'P&amp;L Contábil'!AR41</f>
        <v>43.559139055533279</v>
      </c>
      <c r="AR90" s="268"/>
      <c r="AS90" s="268"/>
      <c r="AT90" s="268"/>
      <c r="AU90" s="268"/>
      <c r="AV90" s="268"/>
      <c r="AW90" s="268"/>
      <c r="AX90" s="268"/>
      <c r="AY90" s="268"/>
      <c r="AZ90" s="268"/>
      <c r="BA90" s="268"/>
      <c r="BB90" s="268"/>
      <c r="BC90" s="268">
        <f>BC11-'P&amp;L Contábil'!BF41</f>
        <v>0</v>
      </c>
      <c r="BD90" s="268"/>
      <c r="BE90" s="268"/>
      <c r="BF90" s="268"/>
      <c r="BG90" s="268"/>
      <c r="BH90" s="268"/>
      <c r="BI90" s="268">
        <f>BI11-'P&amp;L Contábil'!AO42</f>
        <v>-3.979039320256561E-13</v>
      </c>
      <c r="BJ90" s="268"/>
      <c r="BK90" s="268">
        <f>BK11-'P&amp;L Contábil'!AR42</f>
        <v>-4.1211478674085811E-13</v>
      </c>
      <c r="BL90" s="268"/>
      <c r="BM90" s="268"/>
      <c r="BN90" s="268"/>
      <c r="BO90" s="268"/>
      <c r="BP90" s="268"/>
      <c r="BQ90" s="325"/>
      <c r="BR90"/>
      <c r="BS90"/>
      <c r="BT90"/>
      <c r="BU90"/>
      <c r="BV90" s="268"/>
      <c r="BW90" s="325">
        <f>BW11-'P&amp;L Contábil'!BF42</f>
        <v>-2.1547119240352686E-3</v>
      </c>
      <c r="BX90"/>
      <c r="BY90"/>
      <c r="BZ90"/>
      <c r="CA90"/>
    </row>
    <row r="91" spans="2:79" x14ac:dyDescent="0.35">
      <c r="E91" s="269"/>
      <c r="F91" s="269"/>
      <c r="G91" s="269"/>
      <c r="H91" s="269"/>
      <c r="I91" s="269"/>
      <c r="J91" s="269"/>
      <c r="K91" s="269"/>
      <c r="L91" s="269"/>
      <c r="M91" s="269"/>
      <c r="N91" s="269"/>
      <c r="O91" s="269"/>
      <c r="P91" s="269"/>
      <c r="Q91" s="269"/>
      <c r="R91" s="269"/>
      <c r="S91" s="269"/>
      <c r="T91" s="269"/>
      <c r="U91" s="269"/>
      <c r="V91" s="269"/>
      <c r="W91" s="269"/>
      <c r="X91" s="269"/>
      <c r="Y91" s="269"/>
      <c r="Z91" s="269"/>
      <c r="AA91" s="269"/>
      <c r="AB91" s="269"/>
      <c r="AC91" s="269"/>
      <c r="AD91" s="269"/>
      <c r="AE91" s="269"/>
      <c r="AF91" s="269"/>
      <c r="AG91" s="269"/>
      <c r="AH91" s="269"/>
      <c r="AI91" s="269"/>
      <c r="AJ91" s="269"/>
      <c r="AK91" s="269"/>
      <c r="AL91" s="269"/>
      <c r="AM91" s="269"/>
      <c r="AN91" s="269"/>
      <c r="AO91" s="269"/>
      <c r="AP91" s="269"/>
      <c r="AQ91" s="269"/>
      <c r="AR91" s="269"/>
      <c r="AS91" s="269"/>
      <c r="AT91" s="269"/>
      <c r="AU91" s="269"/>
      <c r="AV91" s="269"/>
      <c r="AW91" s="269"/>
      <c r="AX91" s="269"/>
      <c r="AY91" s="269"/>
      <c r="AZ91" s="269"/>
      <c r="BA91" s="269"/>
      <c r="BB91" s="269"/>
      <c r="BC91" s="269"/>
      <c r="BD91" s="269"/>
      <c r="BE91" s="269"/>
      <c r="BF91" s="269"/>
      <c r="BG91" s="269"/>
      <c r="BH91" s="269"/>
      <c r="BI91" s="269"/>
    </row>
    <row r="93" spans="2:79" x14ac:dyDescent="0.35">
      <c r="G93"/>
      <c r="H93"/>
      <c r="I93"/>
      <c r="J93"/>
      <c r="K93"/>
      <c r="L93"/>
      <c r="M93"/>
      <c r="N93"/>
      <c r="O93"/>
      <c r="P93"/>
      <c r="Q93"/>
      <c r="R93"/>
      <c r="S93"/>
      <c r="BI93" s="329"/>
      <c r="BK93" s="329"/>
    </row>
    <row r="94" spans="2:79" x14ac:dyDescent="0.35">
      <c r="G94"/>
      <c r="H94"/>
      <c r="I94"/>
      <c r="J94"/>
      <c r="K94"/>
      <c r="L94"/>
      <c r="M94"/>
      <c r="N94"/>
      <c r="O94"/>
      <c r="P94"/>
      <c r="Q94"/>
      <c r="R94"/>
      <c r="S94"/>
    </row>
    <row r="95" spans="2:79" x14ac:dyDescent="0.35">
      <c r="G95"/>
      <c r="H95"/>
      <c r="I95"/>
      <c r="J95"/>
      <c r="K95"/>
      <c r="L95"/>
      <c r="M95"/>
      <c r="N95"/>
      <c r="O95"/>
      <c r="P95"/>
      <c r="Q95"/>
      <c r="R95"/>
      <c r="S95"/>
    </row>
    <row r="96" spans="2:79" x14ac:dyDescent="0.35">
      <c r="G96"/>
      <c r="H96"/>
      <c r="I96"/>
      <c r="J96"/>
      <c r="K96"/>
      <c r="L96"/>
      <c r="M96"/>
      <c r="N96"/>
      <c r="O96"/>
      <c r="P96"/>
      <c r="Q96"/>
      <c r="R96"/>
      <c r="S96"/>
    </row>
    <row r="97" spans="7:19" x14ac:dyDescent="0.35">
      <c r="G97"/>
      <c r="H97"/>
      <c r="I97"/>
      <c r="J97"/>
      <c r="K97"/>
      <c r="L97"/>
      <c r="M97"/>
      <c r="N97"/>
      <c r="O97"/>
      <c r="P97"/>
      <c r="Q97"/>
      <c r="R97"/>
      <c r="S97"/>
    </row>
    <row r="98" spans="7:19" x14ac:dyDescent="0.35">
      <c r="G98"/>
      <c r="H98"/>
      <c r="I98"/>
      <c r="J98"/>
      <c r="K98"/>
      <c r="L98"/>
      <c r="M98"/>
      <c r="N98"/>
      <c r="O98"/>
      <c r="P98"/>
      <c r="Q98"/>
      <c r="R98"/>
      <c r="S98"/>
    </row>
    <row r="99" spans="7:19" x14ac:dyDescent="0.35">
      <c r="G99"/>
      <c r="H99"/>
      <c r="I99"/>
      <c r="J99"/>
      <c r="K99"/>
      <c r="L99"/>
      <c r="M99"/>
      <c r="N99"/>
      <c r="O99"/>
      <c r="P99"/>
      <c r="Q99"/>
      <c r="R99"/>
      <c r="S99"/>
    </row>
    <row r="100" spans="7:19" x14ac:dyDescent="0.35">
      <c r="G100"/>
      <c r="H100"/>
      <c r="I100"/>
      <c r="J100"/>
      <c r="K100"/>
      <c r="L100"/>
      <c r="M100"/>
      <c r="N100"/>
      <c r="O100"/>
      <c r="P100"/>
      <c r="Q100"/>
      <c r="R100"/>
      <c r="S100"/>
    </row>
    <row r="101" spans="7:19" x14ac:dyDescent="0.35">
      <c r="G101"/>
      <c r="H101"/>
      <c r="I101"/>
      <c r="J101"/>
      <c r="K101"/>
      <c r="L101"/>
      <c r="M101"/>
      <c r="N101"/>
      <c r="O101"/>
      <c r="P101"/>
      <c r="Q101"/>
      <c r="R101"/>
      <c r="S101"/>
    </row>
    <row r="102" spans="7:19" x14ac:dyDescent="0.35">
      <c r="G102"/>
      <c r="H102"/>
      <c r="I102"/>
      <c r="J102"/>
      <c r="K102"/>
      <c r="L102"/>
      <c r="M102"/>
      <c r="N102"/>
      <c r="O102"/>
      <c r="P102"/>
      <c r="Q102"/>
      <c r="R102"/>
      <c r="S102"/>
    </row>
    <row r="103" spans="7:19" x14ac:dyDescent="0.35">
      <c r="G103"/>
      <c r="H103"/>
      <c r="I103"/>
      <c r="J103"/>
      <c r="K103"/>
      <c r="L103"/>
      <c r="M103"/>
      <c r="N103"/>
      <c r="O103"/>
      <c r="P103"/>
      <c r="Q103"/>
      <c r="R103"/>
      <c r="S103"/>
    </row>
    <row r="104" spans="7:19" x14ac:dyDescent="0.35">
      <c r="G104"/>
      <c r="H104"/>
      <c r="I104"/>
      <c r="J104"/>
      <c r="K104"/>
      <c r="L104"/>
      <c r="M104"/>
      <c r="N104"/>
      <c r="O104"/>
      <c r="P104"/>
      <c r="Q104"/>
      <c r="R104"/>
      <c r="S104"/>
    </row>
    <row r="105" spans="7:19" x14ac:dyDescent="0.35">
      <c r="G105"/>
      <c r="H105"/>
      <c r="I105"/>
      <c r="J105"/>
      <c r="K105"/>
      <c r="L105"/>
      <c r="M105"/>
      <c r="N105"/>
      <c r="O105"/>
      <c r="P105"/>
      <c r="Q105"/>
      <c r="R105"/>
      <c r="S105"/>
    </row>
  </sheetData>
  <conditionalFormatting sqref="I85:I88 I11 S11 S85:S88 I51:I83 S51:S83 N11 N85:N88 N51:N83 S13:S49 N13:N49 I13:I49">
    <cfRule type="iconSet" priority="1">
      <iconSet showValue="0">
        <cfvo type="percent" val="0"/>
        <cfvo type="num" val="-5.0000000000000001E-3"/>
        <cfvo type="num" val="5.0000000000000001E-3"/>
      </iconSet>
    </cfRule>
  </conditionalFormatting>
  <conditionalFormatting sqref="AA85:AA88 AA11 AM11 AM85:AM88 AA51:AA83 AM51:AM83 AG11 AG85:AG88 AG51:AG83 AM13:AM49 AG13:AG49 AA13:AA49">
    <cfRule type="iconSet" priority="2">
      <iconSet showValue="0">
        <cfvo type="percent" val="0"/>
        <cfvo type="num" val="-0.03"/>
        <cfvo type="num" val="0.03"/>
      </iconSet>
    </cfRule>
  </conditionalFormatting>
  <conditionalFormatting sqref="AU85:AU88 AU11 BG11 BG85:BG88 AU51:AU83 BG51:BG83 BA11 BA85:BA88 BA51:BA83 BG13:BG49 BA13:BA49 AU13:AU49">
    <cfRule type="iconSet" priority="3">
      <iconSet showValue="0">
        <cfvo type="percent" val="0"/>
        <cfvo type="num" val="-0.03"/>
        <cfvo type="num" val="0.03"/>
      </iconSet>
    </cfRule>
  </conditionalFormatting>
  <conditionalFormatting sqref="BO85:BO88 BO11 CA11 CA85:CA88 BO51:BO83 CA51:CA83 BU11 BU85:BU88 BU51:BU83 CA13:CA49 BU13:BU49 BO13:BO49">
    <cfRule type="iconSet" priority="4">
      <iconSet showValue="0">
        <cfvo type="percent" val="0"/>
        <cfvo type="num" val="-5.0000000000000001E-3"/>
        <cfvo type="num" val="5.0000000000000001E-3"/>
      </iconSet>
    </cfRule>
  </conditionalFormatting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BC6E6-62D4-4BDE-A73F-0886728D7D58}">
  <sheetPr>
    <tabColor theme="3"/>
  </sheetPr>
  <dimension ref="B2:AN90"/>
  <sheetViews>
    <sheetView showGridLines="0" zoomScale="87" zoomScaleNormal="100" workbookViewId="0">
      <pane xSplit="4" ySplit="11" topLeftCell="H12" activePane="bottomRight" state="frozen"/>
      <selection activeCell="O45" sqref="O45"/>
      <selection pane="topRight" activeCell="O45" sqref="O45"/>
      <selection pane="bottomLeft" activeCell="O45" sqref="O45"/>
      <selection pane="bottomRight" activeCell="O45" sqref="O45"/>
    </sheetView>
  </sheetViews>
  <sheetFormatPr defaultRowHeight="14.5" outlineLevelRow="1" outlineLevelCol="1" x14ac:dyDescent="0.35"/>
  <cols>
    <col min="1" max="1" width="1.54296875" customWidth="1"/>
    <col min="2" max="2" width="9.54296875" style="96" bestFit="1" customWidth="1"/>
    <col min="3" max="3" width="30.54296875" style="96" bestFit="1" customWidth="1"/>
    <col min="4" max="4" width="0.7265625" style="96" customWidth="1"/>
    <col min="5" max="6" width="8.81640625" style="96" hidden="1" customWidth="1" outlineLevel="1"/>
    <col min="7" max="7" width="0.7265625" style="96" hidden="1" customWidth="1" outlineLevel="1"/>
    <col min="8" max="8" width="8.81640625" style="96" customWidth="1" collapsed="1"/>
    <col min="9" max="9" width="9" style="96" customWidth="1"/>
    <col min="10" max="10" width="8.81640625" style="96" customWidth="1"/>
    <col min="11" max="11" width="9" style="96" customWidth="1"/>
    <col min="12" max="12" width="7.54296875" style="96" customWidth="1"/>
    <col min="13" max="13" width="11.1796875" style="96" bestFit="1" customWidth="1"/>
    <col min="14" max="14" width="3.1796875" style="96" customWidth="1"/>
    <col min="15" max="15" width="0.7265625" style="96" customWidth="1"/>
    <col min="16" max="16" width="8.81640625" style="96" customWidth="1"/>
    <col min="17" max="17" width="9" style="96" customWidth="1"/>
    <col min="18" max="18" width="8.81640625" style="96" hidden="1" customWidth="1" outlineLevel="1"/>
    <col min="19" max="19" width="9" style="96" hidden="1" customWidth="1" outlineLevel="1"/>
    <col min="20" max="20" width="7.54296875" style="96" hidden="1" customWidth="1" outlineLevel="1"/>
    <col min="21" max="21" width="9" style="96" hidden="1" customWidth="1" outlineLevel="1"/>
    <col min="22" max="22" width="3.1796875" style="96" hidden="1" customWidth="1" outlineLevel="1"/>
    <col min="23" max="23" width="0.7265625" style="96" customWidth="1" collapsed="1"/>
    <col min="24" max="24" width="8.81640625" style="96" customWidth="1"/>
    <col min="25" max="25" width="9" style="96" customWidth="1"/>
    <col min="26" max="26" width="8.81640625" style="96" customWidth="1"/>
    <col min="27" max="27" width="9" style="96" customWidth="1"/>
    <col min="28" max="28" width="7.54296875" style="96" hidden="1" customWidth="1" outlineLevel="1"/>
    <col min="29" max="29" width="9" style="96" hidden="1" customWidth="1" outlineLevel="1"/>
    <col min="30" max="30" width="3.1796875" style="96" hidden="1" customWidth="1" outlineLevel="1"/>
    <col min="31" max="31" width="0.7265625" style="96" customWidth="1" collapsed="1"/>
    <col min="32" max="32" width="8.81640625" style="96" customWidth="1"/>
    <col min="33" max="33" width="9" style="96" customWidth="1"/>
    <col min="34" max="34" width="8.81640625" style="96" customWidth="1"/>
    <col min="35" max="35" width="9" style="96" customWidth="1"/>
    <col min="36" max="36" width="7.54296875" style="96" hidden="1" customWidth="1" outlineLevel="1"/>
    <col min="37" max="37" width="9" style="96" hidden="1" customWidth="1" outlineLevel="1"/>
    <col min="38" max="38" width="3.1796875" style="96" hidden="1" customWidth="1" outlineLevel="1"/>
    <col min="39" max="39" width="9.1796875" collapsed="1"/>
  </cols>
  <sheetData>
    <row r="2" spans="2:38" hidden="1" outlineLevel="1" x14ac:dyDescent="0.35">
      <c r="C2" s="216">
        <v>1000000</v>
      </c>
    </row>
    <row r="3" spans="2:38" hidden="1" outlineLevel="1" x14ac:dyDescent="0.35">
      <c r="C3" s="218" t="e">
        <f>#REF!</f>
        <v>#REF!</v>
      </c>
      <c r="H3" s="273"/>
      <c r="I3" s="274"/>
    </row>
    <row r="4" spans="2:38" collapsed="1" x14ac:dyDescent="0.35">
      <c r="B4" s="219"/>
      <c r="C4" s="220" t="s">
        <v>269</v>
      </c>
      <c r="D4" s="221"/>
      <c r="E4" s="222" t="s">
        <v>109</v>
      </c>
      <c r="F4" s="222"/>
      <c r="G4" s="221"/>
      <c r="H4" s="222" t="s">
        <v>270</v>
      </c>
      <c r="I4" s="222"/>
      <c r="J4" s="222"/>
      <c r="K4" s="222"/>
      <c r="L4" s="222"/>
      <c r="M4" s="222"/>
      <c r="N4" s="222"/>
      <c r="O4" s="221"/>
      <c r="P4" s="222" t="s">
        <v>271</v>
      </c>
      <c r="Q4" s="222"/>
      <c r="R4" s="222"/>
      <c r="S4" s="222"/>
      <c r="T4" s="222"/>
      <c r="U4" s="222"/>
      <c r="V4" s="222"/>
      <c r="W4" s="221"/>
      <c r="X4" s="222" t="s">
        <v>272</v>
      </c>
      <c r="Y4" s="222"/>
      <c r="Z4" s="222"/>
      <c r="AA4" s="222"/>
      <c r="AB4" s="222"/>
      <c r="AC4" s="222"/>
      <c r="AD4" s="222"/>
      <c r="AE4" s="221"/>
      <c r="AF4" s="222" t="s">
        <v>273</v>
      </c>
      <c r="AG4" s="222"/>
      <c r="AH4" s="222"/>
      <c r="AI4" s="222"/>
      <c r="AJ4" s="222"/>
      <c r="AK4" s="222"/>
      <c r="AL4" s="222"/>
    </row>
    <row r="5" spans="2:38" ht="7.5" customHeight="1" x14ac:dyDescent="0.35"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</row>
    <row r="6" spans="2:38" hidden="1" outlineLevel="1" x14ac:dyDescent="0.35">
      <c r="B6"/>
      <c r="C6"/>
      <c r="D6"/>
      <c r="E6" s="99" t="s">
        <v>109</v>
      </c>
      <c r="F6" s="99" t="s">
        <v>109</v>
      </c>
      <c r="G6"/>
      <c r="H6" s="99" t="s">
        <v>28</v>
      </c>
      <c r="I6"/>
      <c r="J6" s="99" t="s">
        <v>28</v>
      </c>
      <c r="K6"/>
      <c r="L6"/>
      <c r="M6"/>
      <c r="N6"/>
      <c r="O6"/>
      <c r="P6" s="99" t="s">
        <v>271</v>
      </c>
      <c r="Q6"/>
      <c r="R6" s="99" t="str">
        <f>P6</f>
        <v>Software</v>
      </c>
      <c r="S6"/>
      <c r="T6"/>
      <c r="U6"/>
      <c r="V6"/>
      <c r="W6"/>
      <c r="X6" s="99" t="s">
        <v>272</v>
      </c>
      <c r="Y6"/>
      <c r="Z6" s="99" t="str">
        <f>X6</f>
        <v>Equipamentos</v>
      </c>
      <c r="AA6"/>
      <c r="AB6"/>
      <c r="AC6"/>
      <c r="AD6"/>
      <c r="AE6"/>
      <c r="AF6" s="99" t="s">
        <v>273</v>
      </c>
      <c r="AG6"/>
      <c r="AH6" s="99" t="str">
        <f>AF6</f>
        <v>Benfeitorias e outros</v>
      </c>
      <c r="AI6"/>
      <c r="AJ6"/>
      <c r="AK6"/>
      <c r="AL6"/>
    </row>
    <row r="7" spans="2:38" hidden="1" outlineLevel="1" x14ac:dyDescent="0.35">
      <c r="B7"/>
      <c r="C7" s="203"/>
      <c r="D7"/>
      <c r="E7" s="99" t="s">
        <v>19</v>
      </c>
      <c r="F7" s="99" t="s">
        <v>20</v>
      </c>
      <c r="G7"/>
      <c r="H7" s="99" t="s">
        <v>19</v>
      </c>
      <c r="I7"/>
      <c r="J7" s="99" t="s">
        <v>20</v>
      </c>
      <c r="K7"/>
      <c r="L7"/>
      <c r="M7"/>
      <c r="N7"/>
      <c r="O7"/>
      <c r="P7" s="99" t="s">
        <v>19</v>
      </c>
      <c r="Q7"/>
      <c r="R7" s="99" t="s">
        <v>20</v>
      </c>
      <c r="S7"/>
      <c r="T7"/>
      <c r="U7"/>
      <c r="V7"/>
      <c r="W7"/>
      <c r="X7" s="99" t="s">
        <v>19</v>
      </c>
      <c r="Y7"/>
      <c r="Z7" s="99" t="s">
        <v>20</v>
      </c>
      <c r="AA7"/>
      <c r="AB7"/>
      <c r="AC7"/>
      <c r="AD7"/>
      <c r="AE7"/>
      <c r="AF7" s="99" t="s">
        <v>19</v>
      </c>
      <c r="AG7"/>
      <c r="AH7" s="99" t="s">
        <v>20</v>
      </c>
      <c r="AI7"/>
      <c r="AJ7"/>
      <c r="AK7"/>
      <c r="AL7"/>
    </row>
    <row r="8" spans="2:38" hidden="1" outlineLevel="1" x14ac:dyDescent="0.35">
      <c r="B8"/>
      <c r="C8"/>
      <c r="D8"/>
      <c r="E8" s="99" t="e">
        <f>YEAR($C$3)</f>
        <v>#REF!</v>
      </c>
      <c r="F8" s="99" t="e">
        <f>E8</f>
        <v>#REF!</v>
      </c>
      <c r="G8"/>
      <c r="H8" s="99" t="e">
        <f>YEAR($C$3)</f>
        <v>#REF!</v>
      </c>
      <c r="I8"/>
      <c r="J8" s="99" t="e">
        <f>H8</f>
        <v>#REF!</v>
      </c>
      <c r="K8"/>
      <c r="L8"/>
      <c r="M8"/>
      <c r="N8"/>
      <c r="O8"/>
      <c r="P8" s="99" t="e">
        <f>YEAR($C$3)</f>
        <v>#REF!</v>
      </c>
      <c r="Q8"/>
      <c r="R8" s="99" t="e">
        <f>P8</f>
        <v>#REF!</v>
      </c>
      <c r="S8"/>
      <c r="T8"/>
      <c r="U8"/>
      <c r="V8"/>
      <c r="W8"/>
      <c r="X8" s="99" t="e">
        <f>YEAR($C$3)</f>
        <v>#REF!</v>
      </c>
      <c r="Y8"/>
      <c r="Z8" s="99" t="e">
        <f>X8</f>
        <v>#REF!</v>
      </c>
      <c r="AA8"/>
      <c r="AB8"/>
      <c r="AC8"/>
      <c r="AD8"/>
      <c r="AE8"/>
      <c r="AF8" s="99" t="e">
        <f>YEAR($C$3)</f>
        <v>#REF!</v>
      </c>
      <c r="AG8"/>
      <c r="AH8" s="99" t="e">
        <f>AF8</f>
        <v>#REF!</v>
      </c>
      <c r="AI8"/>
      <c r="AJ8"/>
      <c r="AK8"/>
      <c r="AL8"/>
    </row>
    <row r="9" spans="2:38" collapsed="1" x14ac:dyDescent="0.35">
      <c r="C9" s="220" t="s">
        <v>274</v>
      </c>
      <c r="D9" s="224"/>
      <c r="E9" s="225" t="s">
        <v>19</v>
      </c>
      <c r="F9" s="226" t="s">
        <v>20</v>
      </c>
      <c r="G9" s="224"/>
      <c r="H9" s="225" t="s">
        <v>19</v>
      </c>
      <c r="I9" s="227" t="s">
        <v>112</v>
      </c>
      <c r="J9" s="226" t="s">
        <v>20</v>
      </c>
      <c r="K9" s="227" t="s">
        <v>112</v>
      </c>
      <c r="L9" s="227" t="s">
        <v>50</v>
      </c>
      <c r="M9" s="227" t="s">
        <v>51</v>
      </c>
      <c r="N9" s="228"/>
      <c r="O9" s="224"/>
      <c r="P9" s="225" t="s">
        <v>19</v>
      </c>
      <c r="Q9" s="227" t="s">
        <v>112</v>
      </c>
      <c r="R9" s="226" t="s">
        <v>20</v>
      </c>
      <c r="S9" s="227" t="s">
        <v>112</v>
      </c>
      <c r="T9" s="227" t="s">
        <v>50</v>
      </c>
      <c r="U9" s="227" t="s">
        <v>51</v>
      </c>
      <c r="V9" s="228"/>
      <c r="W9" s="224"/>
      <c r="X9" s="225" t="s">
        <v>19</v>
      </c>
      <c r="Y9" s="227" t="s">
        <v>112</v>
      </c>
      <c r="Z9" s="226" t="s">
        <v>20</v>
      </c>
      <c r="AA9" s="227" t="s">
        <v>112</v>
      </c>
      <c r="AB9" s="227" t="s">
        <v>50</v>
      </c>
      <c r="AC9" s="227" t="s">
        <v>51</v>
      </c>
      <c r="AD9" s="228"/>
      <c r="AE9" s="224"/>
      <c r="AF9" s="225" t="s">
        <v>19</v>
      </c>
      <c r="AG9" s="227" t="s">
        <v>112</v>
      </c>
      <c r="AH9" s="226" t="s">
        <v>20</v>
      </c>
      <c r="AI9" s="227" t="s">
        <v>112</v>
      </c>
      <c r="AJ9" s="227" t="s">
        <v>50</v>
      </c>
      <c r="AK9" s="227" t="s">
        <v>51</v>
      </c>
      <c r="AL9" s="228"/>
    </row>
    <row r="10" spans="2:38" ht="7.5" customHeight="1" x14ac:dyDescent="0.35"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</row>
    <row r="11" spans="2:38" x14ac:dyDescent="0.35">
      <c r="B11" s="229" t="s">
        <v>114</v>
      </c>
      <c r="C11" s="229" t="s">
        <v>115</v>
      </c>
      <c r="D11"/>
      <c r="E11" s="230">
        <f>SUM(E48,E13,E85)</f>
        <v>113.7346686502124</v>
      </c>
      <c r="F11" s="230">
        <f>SUM(F48,F13,F85)</f>
        <v>113.07077002367132</v>
      </c>
      <c r="G11"/>
      <c r="H11" s="230">
        <f>SUM(H48,H13,H85)</f>
        <v>-12.111835339999997</v>
      </c>
      <c r="I11" s="232">
        <f>IFERROR(H11/$E11,0)</f>
        <v>-0.106492026430829</v>
      </c>
      <c r="J11" s="230">
        <f>SUM(J48,J13,J85)</f>
        <v>-0.45959642404323342</v>
      </c>
      <c r="K11" s="232">
        <f>IFERROR(J11/$F11,0)</f>
        <v>-4.0646793503486102E-3</v>
      </c>
      <c r="L11" s="231">
        <f>$H11-J11</f>
        <v>-11.652238915956763</v>
      </c>
      <c r="M11" s="232">
        <f>IFERROR($H11/J11-1,0)</f>
        <v>25.353197515002115</v>
      </c>
      <c r="N11" s="233">
        <f>M11</f>
        <v>25.353197515002115</v>
      </c>
      <c r="O11"/>
      <c r="P11" s="230">
        <f>SUM(P48,P13,P85)</f>
        <v>-11.928009999999999</v>
      </c>
      <c r="Q11" s="232">
        <f>IFERROR(P11/$E11,0)</f>
        <v>-0.10487576164383298</v>
      </c>
      <c r="R11" s="230">
        <f>SUM(R48,R13,R85)</f>
        <v>-3.0000000000000001E-3</v>
      </c>
      <c r="S11" s="232">
        <f>IFERROR(R11/$F11,0)</f>
        <v>-2.6532055980267503E-5</v>
      </c>
      <c r="T11" s="231">
        <f>P11-R11</f>
        <v>-11.925009999999999</v>
      </c>
      <c r="U11" s="232">
        <f>IFERROR(P11/R11-1,0)</f>
        <v>3975.0033333333326</v>
      </c>
      <c r="V11" s="233">
        <f>U11</f>
        <v>3975.0033333333326</v>
      </c>
      <c r="W11"/>
      <c r="X11" s="230">
        <f>SUM(X48,X13,X85)</f>
        <v>-0.18442642000000001</v>
      </c>
      <c r="Y11" s="232">
        <f>IFERROR(X11/$E11,0)</f>
        <v>-1.6215497190851982E-3</v>
      </c>
      <c r="Z11" s="230">
        <f>SUM(Z48,Z13,Z85)</f>
        <v>-0.34692975737656673</v>
      </c>
      <c r="AA11" s="232">
        <f>IFERROR(Z11/$F11,0)</f>
        <v>-3.0682532479785639E-3</v>
      </c>
      <c r="AB11" s="231">
        <f>X11-Z11</f>
        <v>0.16250333737656672</v>
      </c>
      <c r="AC11" s="232">
        <f>IFERROR(X11/Z11-1,0)</f>
        <v>-0.46840414787533291</v>
      </c>
      <c r="AD11" s="233">
        <f>AC11</f>
        <v>-0.46840414787533291</v>
      </c>
      <c r="AE11"/>
      <c r="AF11" s="230">
        <f>SUM(AF48,AF13,AF85)</f>
        <v>6.0107999999998128E-4</v>
      </c>
      <c r="AG11" s="232">
        <f>IFERROR(AF11/$E11,0)</f>
        <v>5.2849320891643429E-6</v>
      </c>
      <c r="AH11" s="230">
        <f>SUM(AH48,AH13,AH85)</f>
        <v>-0.10966666666666668</v>
      </c>
      <c r="AI11" s="232">
        <f>IFERROR(AH11/$F11,0)</f>
        <v>-9.6989404638977874E-4</v>
      </c>
      <c r="AJ11" s="231">
        <f>AF11-AH11</f>
        <v>0.11026774666666665</v>
      </c>
      <c r="AK11" s="232">
        <f>IFERROR(AF11/AH11-1,0)</f>
        <v>-1.0054809726443767</v>
      </c>
      <c r="AL11" s="233">
        <f>AK11</f>
        <v>-1.0054809726443767</v>
      </c>
    </row>
    <row r="12" spans="2:38" ht="7.5" customHeight="1" x14ac:dyDescent="0.35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</row>
    <row r="13" spans="2:38" x14ac:dyDescent="0.35">
      <c r="B13" s="234">
        <v>1</v>
      </c>
      <c r="C13" s="234" t="s">
        <v>116</v>
      </c>
      <c r="D13"/>
      <c r="E13" s="235">
        <f>SUM(E44:E46,E40,E38,E14,E43,E29)</f>
        <v>51.660081355843417</v>
      </c>
      <c r="F13" s="235">
        <f>SUM(F44:F46,F40,F38,F14,F43,F29)</f>
        <v>51.246121373847025</v>
      </c>
      <c r="G13"/>
      <c r="H13" s="235">
        <f>SUM(H44:H46,H40,H38,H14,H43,H29)</f>
        <v>-8.9636221737199975</v>
      </c>
      <c r="I13" s="237">
        <f t="shared" ref="I13:I80" si="0">IFERROR(H13/$E13,0)</f>
        <v>-0.17351157680099349</v>
      </c>
      <c r="J13" s="235">
        <f>SUM(J44:J46,J40,J38,J14,J43,J29)</f>
        <v>-0.39462914184626374</v>
      </c>
      <c r="K13" s="237">
        <f t="shared" ref="K13:K80" si="1">IFERROR(J13/$F13,0)</f>
        <v>-7.7006636066638797E-3</v>
      </c>
      <c r="L13" s="236">
        <f t="shared" ref="L13:L80" si="2">$H13-J13</f>
        <v>-8.5689930318737346</v>
      </c>
      <c r="M13" s="237">
        <f t="shared" ref="M13:M80" si="3">IFERROR($H13/J13-1,0)</f>
        <v>21.714040153709604</v>
      </c>
      <c r="N13" s="238">
        <f t="shared" ref="N13:N80" si="4">M13</f>
        <v>21.714040153709604</v>
      </c>
      <c r="O13"/>
      <c r="P13" s="235">
        <f>SUM(P44:P46,P40,P38,P14,P43,P29)</f>
        <v>-8.7497596837199989</v>
      </c>
      <c r="Q13" s="237">
        <f t="shared" ref="Q13:Q80" si="5">IFERROR(P13/$E13,0)</f>
        <v>-0.16937177515169144</v>
      </c>
      <c r="R13" s="235">
        <f>SUM(R44:R46,R40,R38,R14,R43,R29)</f>
        <v>0</v>
      </c>
      <c r="S13" s="237">
        <f t="shared" ref="S13:S80" si="6">IFERROR(R13/$F13,0)</f>
        <v>0</v>
      </c>
      <c r="T13" s="236">
        <f t="shared" ref="T13:T80" si="7">$P13-R13</f>
        <v>-8.7497596837199989</v>
      </c>
      <c r="U13" s="237">
        <f t="shared" ref="U13:U80" si="8">IFERROR($P13/R13-1,0)</f>
        <v>0</v>
      </c>
      <c r="V13" s="238">
        <f t="shared" ref="V13:V80" si="9">U13</f>
        <v>0</v>
      </c>
      <c r="W13"/>
      <c r="X13" s="235">
        <f>SUM(X44:X46,X40,X38,X14,X43,X29)</f>
        <v>-0.20686749000000001</v>
      </c>
      <c r="Y13" s="237">
        <f t="shared" ref="Y13:Y80" si="10">IFERROR(X13/$E13,0)</f>
        <v>-4.0043972942098481E-3</v>
      </c>
      <c r="Z13" s="235">
        <f>SUM(Z44:Z46,Z40,Z38,Z14,Z43,Z29)</f>
        <v>-0.31162914184626372</v>
      </c>
      <c r="AA13" s="237">
        <f t="shared" ref="AA13:AA80" si="11">IFERROR(Z13/$F13,0)</f>
        <v>-6.0810288367560382E-3</v>
      </c>
      <c r="AB13" s="236">
        <f t="shared" ref="AB13:AB78" si="12">X13-Z13</f>
        <v>0.10476165184626371</v>
      </c>
      <c r="AC13" s="237">
        <f t="shared" ref="AC13:AC78" si="13">IFERROR(X13/Z13-1,0)</f>
        <v>-0.33617411781708739</v>
      </c>
      <c r="AD13" s="238">
        <f t="shared" ref="AD13:AD80" si="14">AC13</f>
        <v>-0.33617411781708739</v>
      </c>
      <c r="AE13"/>
      <c r="AF13" s="235">
        <f>SUM(AF44:AF46,AF40,AF38,AF14,AF43,AF29)</f>
        <v>-6.9950000000000003E-3</v>
      </c>
      <c r="AG13" s="237">
        <f t="shared" ref="AG13:AG80" si="15">IFERROR(AF13/$E13,0)</f>
        <v>-1.3540435509222783E-4</v>
      </c>
      <c r="AH13" s="235">
        <f>SUM(AH44:AH46,AH40,AH38,AH14,AH43,AH29)</f>
        <v>-8.3000000000000004E-2</v>
      </c>
      <c r="AI13" s="237">
        <f t="shared" ref="AI13:AI80" si="16">IFERROR(AH13/$F13,0)</f>
        <v>-1.6196347699078406E-3</v>
      </c>
      <c r="AJ13" s="236">
        <f t="shared" ref="AJ13:AJ78" si="17">AF13-AH13</f>
        <v>7.6005000000000003E-2</v>
      </c>
      <c r="AK13" s="237">
        <f t="shared" ref="AK13:AK78" si="18">IFERROR(AF13/AH13-1,0)</f>
        <v>-0.91572289156626507</v>
      </c>
      <c r="AL13" s="238">
        <f t="shared" ref="AL13:AL80" si="19">AK13</f>
        <v>-0.91572289156626507</v>
      </c>
    </row>
    <row r="14" spans="2:38" x14ac:dyDescent="0.35">
      <c r="B14" s="239" t="s">
        <v>117</v>
      </c>
      <c r="C14" s="239" t="s">
        <v>118</v>
      </c>
      <c r="D14"/>
      <c r="E14" s="240">
        <f>E15+E20+E28</f>
        <v>25.65111448212884</v>
      </c>
      <c r="F14" s="240">
        <f>F15+F20+F28</f>
        <v>25.306849984736282</v>
      </c>
      <c r="G14"/>
      <c r="H14" s="240">
        <f>H15+H20+H28</f>
        <v>-5.7033914899999978</v>
      </c>
      <c r="I14" s="242">
        <f t="shared" si="0"/>
        <v>-0.22234478326364951</v>
      </c>
      <c r="J14" s="240">
        <f>J15+J20+J28</f>
        <v>-3.0000000000000001E-3</v>
      </c>
      <c r="K14" s="242">
        <f t="shared" si="1"/>
        <v>-1.185449790001299E-4</v>
      </c>
      <c r="L14" s="241">
        <f t="shared" si="2"/>
        <v>-5.7003914899999977</v>
      </c>
      <c r="M14" s="242">
        <f t="shared" si="3"/>
        <v>1900.130496666666</v>
      </c>
      <c r="N14" s="243">
        <f t="shared" si="4"/>
        <v>1900.130496666666</v>
      </c>
      <c r="O14"/>
      <c r="P14" s="240">
        <f>P15+P20+P28</f>
        <v>-5.6316165999999983</v>
      </c>
      <c r="Q14" s="242">
        <f t="shared" si="5"/>
        <v>-0.21954666351528515</v>
      </c>
      <c r="R14" s="240">
        <f>R15+R20+R28</f>
        <v>0</v>
      </c>
      <c r="S14" s="242">
        <f t="shared" si="6"/>
        <v>0</v>
      </c>
      <c r="T14" s="241">
        <f t="shared" si="7"/>
        <v>-5.6316165999999983</v>
      </c>
      <c r="U14" s="242">
        <f t="shared" si="8"/>
        <v>0</v>
      </c>
      <c r="V14" s="243">
        <f t="shared" si="9"/>
        <v>0</v>
      </c>
      <c r="W14"/>
      <c r="X14" s="240">
        <f>X15+X20+X28</f>
        <v>-6.4779890000000007E-2</v>
      </c>
      <c r="Y14" s="242">
        <f t="shared" si="10"/>
        <v>-2.5254220453123869E-3</v>
      </c>
      <c r="Z14" s="240">
        <f>Z15+Z20+Z28</f>
        <v>0</v>
      </c>
      <c r="AA14" s="242">
        <f t="shared" si="11"/>
        <v>0</v>
      </c>
      <c r="AB14" s="241">
        <f t="shared" si="12"/>
        <v>-6.4779890000000007E-2</v>
      </c>
      <c r="AC14" s="242">
        <f t="shared" si="13"/>
        <v>0</v>
      </c>
      <c r="AD14" s="243">
        <f t="shared" si="14"/>
        <v>0</v>
      </c>
      <c r="AE14"/>
      <c r="AF14" s="240">
        <f>AF15+AF20+AF28</f>
        <v>-6.9950000000000003E-3</v>
      </c>
      <c r="AG14" s="242">
        <f t="shared" si="15"/>
        <v>-2.7269770305198335E-4</v>
      </c>
      <c r="AH14" s="240">
        <f>AH15+AH20+AH28</f>
        <v>-3.0000000000000001E-3</v>
      </c>
      <c r="AI14" s="242">
        <f t="shared" si="16"/>
        <v>-1.185449790001299E-4</v>
      </c>
      <c r="AJ14" s="241">
        <f t="shared" si="17"/>
        <v>-3.9950000000000003E-3</v>
      </c>
      <c r="AK14" s="242">
        <f t="shared" si="18"/>
        <v>1.3316666666666666</v>
      </c>
      <c r="AL14" s="243">
        <f t="shared" si="19"/>
        <v>1.3316666666666666</v>
      </c>
    </row>
    <row r="15" spans="2:38" x14ac:dyDescent="0.35">
      <c r="B15" s="244" t="s">
        <v>119</v>
      </c>
      <c r="C15" s="244" t="s">
        <v>120</v>
      </c>
      <c r="D15"/>
      <c r="E15" s="245">
        <f>SUM(E16:E19)</f>
        <v>12.433256580132683</v>
      </c>
      <c r="F15" s="245">
        <f>SUM(F16:F19)</f>
        <v>11.293878491043758</v>
      </c>
      <c r="G15"/>
      <c r="H15" s="245">
        <f>SUM(H16:H19)</f>
        <v>-2.8967662800000005</v>
      </c>
      <c r="I15" s="247">
        <f t="shared" si="0"/>
        <v>-0.23298532137017053</v>
      </c>
      <c r="J15" s="245">
        <f>SUM(J16:J19)</f>
        <v>-3.0000000000000001E-3</v>
      </c>
      <c r="K15" s="247">
        <f t="shared" si="1"/>
        <v>-2.656306248007761E-4</v>
      </c>
      <c r="L15" s="246">
        <f t="shared" si="2"/>
        <v>-2.8937662800000004</v>
      </c>
      <c r="M15" s="247">
        <f t="shared" si="3"/>
        <v>964.58876000000009</v>
      </c>
      <c r="N15" s="248">
        <f t="shared" si="4"/>
        <v>964.58876000000009</v>
      </c>
      <c r="O15"/>
      <c r="P15" s="245">
        <f>SUM(P16:P19)</f>
        <v>-2.8268902800000006</v>
      </c>
      <c r="Q15" s="247">
        <f t="shared" si="5"/>
        <v>-0.22736523305705261</v>
      </c>
      <c r="R15" s="245">
        <f>SUM(R16:R19)</f>
        <v>0</v>
      </c>
      <c r="S15" s="247">
        <f t="shared" si="6"/>
        <v>0</v>
      </c>
      <c r="T15" s="246">
        <f t="shared" si="7"/>
        <v>-2.8268902800000006</v>
      </c>
      <c r="U15" s="247">
        <f t="shared" si="8"/>
        <v>0</v>
      </c>
      <c r="V15" s="248">
        <f t="shared" si="9"/>
        <v>0</v>
      </c>
      <c r="W15"/>
      <c r="X15" s="245">
        <f>SUM(X16:X19)</f>
        <v>-6.2881000000000006E-2</v>
      </c>
      <c r="Y15" s="247">
        <f t="shared" si="10"/>
        <v>-5.0574843038692415E-3</v>
      </c>
      <c r="Z15" s="245">
        <f>SUM(Z16:Z19)</f>
        <v>0</v>
      </c>
      <c r="AA15" s="247">
        <f t="shared" si="11"/>
        <v>0</v>
      </c>
      <c r="AB15" s="246">
        <f t="shared" si="12"/>
        <v>-6.2881000000000006E-2</v>
      </c>
      <c r="AC15" s="247">
        <f t="shared" si="13"/>
        <v>0</v>
      </c>
      <c r="AD15" s="248">
        <f t="shared" si="14"/>
        <v>0</v>
      </c>
      <c r="AE15"/>
      <c r="AF15" s="245">
        <f>SUM(AF16:AF19)</f>
        <v>-6.9950000000000003E-3</v>
      </c>
      <c r="AG15" s="247">
        <f t="shared" si="15"/>
        <v>-5.626040092486656E-4</v>
      </c>
      <c r="AH15" s="245">
        <f>SUM(AH16:AH19)</f>
        <v>-3.0000000000000001E-3</v>
      </c>
      <c r="AI15" s="247">
        <f t="shared" si="16"/>
        <v>-2.656306248007761E-4</v>
      </c>
      <c r="AJ15" s="246">
        <f t="shared" si="17"/>
        <v>-3.9950000000000003E-3</v>
      </c>
      <c r="AK15" s="247">
        <f t="shared" si="18"/>
        <v>1.3316666666666666</v>
      </c>
      <c r="AL15" s="248">
        <f t="shared" si="19"/>
        <v>1.3316666666666666</v>
      </c>
    </row>
    <row r="16" spans="2:38" hidden="1" outlineLevel="1" x14ac:dyDescent="0.35">
      <c r="B16" s="249" t="s">
        <v>121</v>
      </c>
      <c r="C16" s="249" t="s">
        <v>122</v>
      </c>
      <c r="D16"/>
      <c r="E16" s="250">
        <v>8.6385420943526938</v>
      </c>
      <c r="F16" s="250">
        <v>8.1078386214625855</v>
      </c>
      <c r="G16"/>
      <c r="H16" s="250">
        <f>SUM(P16,X16,AF16)</f>
        <v>-2.0709911500000002</v>
      </c>
      <c r="I16" s="252">
        <f t="shared" si="0"/>
        <v>-0.23973850302285116</v>
      </c>
      <c r="J16" s="250">
        <f>SUM(R16,Z16,AH16)</f>
        <v>0</v>
      </c>
      <c r="K16" s="252">
        <f t="shared" si="1"/>
        <v>0</v>
      </c>
      <c r="L16" s="251">
        <f t="shared" si="2"/>
        <v>-2.0709911500000002</v>
      </c>
      <c r="M16" s="252">
        <f t="shared" si="3"/>
        <v>0</v>
      </c>
      <c r="N16" s="253">
        <f t="shared" si="4"/>
        <v>0</v>
      </c>
      <c r="O16"/>
      <c r="P16" s="250">
        <v>-2.06994115</v>
      </c>
      <c r="Q16" s="252">
        <f t="shared" si="5"/>
        <v>-0.23961695473512715</v>
      </c>
      <c r="R16" s="250">
        <v>0</v>
      </c>
      <c r="S16" s="252">
        <f t="shared" si="6"/>
        <v>0</v>
      </c>
      <c r="T16" s="251">
        <f t="shared" si="7"/>
        <v>-2.06994115</v>
      </c>
      <c r="U16" s="252">
        <f t="shared" si="8"/>
        <v>0</v>
      </c>
      <c r="V16" s="253">
        <f t="shared" si="9"/>
        <v>0</v>
      </c>
      <c r="W16"/>
      <c r="X16" s="250">
        <v>-1.0499999999999999E-3</v>
      </c>
      <c r="Y16" s="252">
        <f t="shared" si="10"/>
        <v>-1.215482877239691E-4</v>
      </c>
      <c r="Z16" s="250">
        <v>0</v>
      </c>
      <c r="AA16" s="252">
        <f t="shared" si="11"/>
        <v>0</v>
      </c>
      <c r="AB16" s="251">
        <f t="shared" si="12"/>
        <v>-1.0499999999999999E-3</v>
      </c>
      <c r="AC16" s="252">
        <f t="shared" si="13"/>
        <v>0</v>
      </c>
      <c r="AD16" s="253">
        <f t="shared" si="14"/>
        <v>0</v>
      </c>
      <c r="AE16"/>
      <c r="AF16" s="250">
        <v>0</v>
      </c>
      <c r="AG16" s="252">
        <f t="shared" si="15"/>
        <v>0</v>
      </c>
      <c r="AH16" s="250">
        <v>0</v>
      </c>
      <c r="AI16" s="252">
        <f t="shared" si="16"/>
        <v>0</v>
      </c>
      <c r="AJ16" s="251">
        <f t="shared" si="17"/>
        <v>0</v>
      </c>
      <c r="AK16" s="252">
        <f t="shared" si="18"/>
        <v>0</v>
      </c>
      <c r="AL16" s="253">
        <f t="shared" si="19"/>
        <v>0</v>
      </c>
    </row>
    <row r="17" spans="2:38" hidden="1" outlineLevel="1" x14ac:dyDescent="0.35">
      <c r="B17" s="249" t="s">
        <v>123</v>
      </c>
      <c r="C17" s="249" t="s">
        <v>124</v>
      </c>
      <c r="D17"/>
      <c r="E17" s="250">
        <v>1.5535897799999967</v>
      </c>
      <c r="F17" s="250">
        <v>0.99625089765686881</v>
      </c>
      <c r="G17"/>
      <c r="H17" s="250">
        <f t="shared" ref="H17:H46" si="20">SUM(P17,X17,AF17)</f>
        <v>-0.25273943999999998</v>
      </c>
      <c r="I17" s="252">
        <f t="shared" si="0"/>
        <v>-0.16268093627649927</v>
      </c>
      <c r="J17" s="250">
        <f t="shared" ref="J17:J46" si="21">SUM(R17,Z17,AH17)</f>
        <v>0</v>
      </c>
      <c r="K17" s="252">
        <f t="shared" si="1"/>
        <v>0</v>
      </c>
      <c r="L17" s="251">
        <f t="shared" si="2"/>
        <v>-0.25273943999999998</v>
      </c>
      <c r="M17" s="252">
        <f t="shared" si="3"/>
        <v>0</v>
      </c>
      <c r="N17" s="253">
        <f t="shared" si="4"/>
        <v>0</v>
      </c>
      <c r="O17"/>
      <c r="P17" s="250">
        <v>-0.21802444000000001</v>
      </c>
      <c r="Q17" s="252">
        <f t="shared" si="5"/>
        <v>-0.14033591286884012</v>
      </c>
      <c r="R17" s="250">
        <v>0</v>
      </c>
      <c r="S17" s="252">
        <f t="shared" si="6"/>
        <v>0</v>
      </c>
      <c r="T17" s="251">
        <f t="shared" si="7"/>
        <v>-0.21802444000000001</v>
      </c>
      <c r="U17" s="252">
        <f t="shared" si="8"/>
        <v>0</v>
      </c>
      <c r="V17" s="253">
        <f t="shared" si="9"/>
        <v>0</v>
      </c>
      <c r="W17"/>
      <c r="X17" s="250">
        <v>-2.7720000000000002E-2</v>
      </c>
      <c r="Y17" s="252">
        <f t="shared" si="10"/>
        <v>-1.7842547857131283E-2</v>
      </c>
      <c r="Z17" s="250">
        <v>0</v>
      </c>
      <c r="AA17" s="252">
        <f t="shared" si="11"/>
        <v>0</v>
      </c>
      <c r="AB17" s="251">
        <f t="shared" si="12"/>
        <v>-2.7720000000000002E-2</v>
      </c>
      <c r="AC17" s="252">
        <f t="shared" si="13"/>
        <v>0</v>
      </c>
      <c r="AD17" s="253">
        <f t="shared" si="14"/>
        <v>0</v>
      </c>
      <c r="AE17"/>
      <c r="AF17" s="250">
        <v>-6.9950000000000003E-3</v>
      </c>
      <c r="AG17" s="252">
        <f t="shared" si="15"/>
        <v>-4.5024755505278973E-3</v>
      </c>
      <c r="AH17" s="250">
        <v>0</v>
      </c>
      <c r="AI17" s="252">
        <f t="shared" si="16"/>
        <v>0</v>
      </c>
      <c r="AJ17" s="251">
        <f t="shared" si="17"/>
        <v>-6.9950000000000003E-3</v>
      </c>
      <c r="AK17" s="252">
        <f t="shared" si="18"/>
        <v>0</v>
      </c>
      <c r="AL17" s="253">
        <f t="shared" si="19"/>
        <v>0</v>
      </c>
    </row>
    <row r="18" spans="2:38" hidden="1" outlineLevel="1" x14ac:dyDescent="0.35">
      <c r="B18" s="249" t="s">
        <v>125</v>
      </c>
      <c r="C18" s="249" t="s">
        <v>126</v>
      </c>
      <c r="D18"/>
      <c r="E18" s="250">
        <v>1.9911228857799945</v>
      </c>
      <c r="F18" s="250">
        <v>1.8918696592547828</v>
      </c>
      <c r="G18"/>
      <c r="H18" s="250">
        <f t="shared" si="20"/>
        <v>-0.57303569000000021</v>
      </c>
      <c r="I18" s="252">
        <f t="shared" si="0"/>
        <v>-0.28779524061144096</v>
      </c>
      <c r="J18" s="250">
        <f t="shared" si="21"/>
        <v>-3.0000000000000001E-3</v>
      </c>
      <c r="K18" s="252">
        <f t="shared" si="1"/>
        <v>-1.585732920512989E-3</v>
      </c>
      <c r="L18" s="251">
        <f t="shared" si="2"/>
        <v>-0.57003569000000021</v>
      </c>
      <c r="M18" s="252">
        <f t="shared" si="3"/>
        <v>190.01189666666673</v>
      </c>
      <c r="N18" s="253">
        <f t="shared" si="4"/>
        <v>190.01189666666673</v>
      </c>
      <c r="O18"/>
      <c r="P18" s="250">
        <v>-0.53892469000000021</v>
      </c>
      <c r="Q18" s="252">
        <f t="shared" si="5"/>
        <v>-0.27066370129580625</v>
      </c>
      <c r="R18" s="250">
        <v>0</v>
      </c>
      <c r="S18" s="252">
        <f t="shared" si="6"/>
        <v>0</v>
      </c>
      <c r="T18" s="251">
        <f t="shared" si="7"/>
        <v>-0.53892469000000021</v>
      </c>
      <c r="U18" s="252">
        <f t="shared" si="8"/>
        <v>0</v>
      </c>
      <c r="V18" s="253">
        <f t="shared" si="9"/>
        <v>0</v>
      </c>
      <c r="W18"/>
      <c r="X18" s="250">
        <v>-3.4111000000000002E-2</v>
      </c>
      <c r="Y18" s="252">
        <f t="shared" si="10"/>
        <v>-1.7131539315634704E-2</v>
      </c>
      <c r="Z18" s="250">
        <v>0</v>
      </c>
      <c r="AA18" s="252">
        <f t="shared" si="11"/>
        <v>0</v>
      </c>
      <c r="AB18" s="251">
        <f t="shared" si="12"/>
        <v>-3.4111000000000002E-2</v>
      </c>
      <c r="AC18" s="252">
        <f t="shared" si="13"/>
        <v>0</v>
      </c>
      <c r="AD18" s="253">
        <f t="shared" si="14"/>
        <v>0</v>
      </c>
      <c r="AE18"/>
      <c r="AF18" s="250">
        <v>0</v>
      </c>
      <c r="AG18" s="252">
        <f t="shared" si="15"/>
        <v>0</v>
      </c>
      <c r="AH18" s="250">
        <v>-3.0000000000000001E-3</v>
      </c>
      <c r="AI18" s="252">
        <f t="shared" si="16"/>
        <v>-1.585732920512989E-3</v>
      </c>
      <c r="AJ18" s="251">
        <f t="shared" si="17"/>
        <v>3.0000000000000001E-3</v>
      </c>
      <c r="AK18" s="252">
        <f t="shared" si="18"/>
        <v>-1</v>
      </c>
      <c r="AL18" s="253">
        <f t="shared" si="19"/>
        <v>-1</v>
      </c>
    </row>
    <row r="19" spans="2:38" hidden="1" outlineLevel="1" x14ac:dyDescent="0.35">
      <c r="B19" s="249" t="s">
        <v>127</v>
      </c>
      <c r="C19" s="249" t="s">
        <v>128</v>
      </c>
      <c r="D19"/>
      <c r="E19" s="250">
        <v>0.25000181999999982</v>
      </c>
      <c r="F19" s="250">
        <v>0.29791931266952149</v>
      </c>
      <c r="G19"/>
      <c r="H19" s="250">
        <f t="shared" si="20"/>
        <v>0</v>
      </c>
      <c r="I19" s="252">
        <f t="shared" si="0"/>
        <v>0</v>
      </c>
      <c r="J19" s="250">
        <f t="shared" si="21"/>
        <v>0</v>
      </c>
      <c r="K19" s="252">
        <f t="shared" si="1"/>
        <v>0</v>
      </c>
      <c r="L19" s="251">
        <f t="shared" si="2"/>
        <v>0</v>
      </c>
      <c r="M19" s="252">
        <f t="shared" si="3"/>
        <v>0</v>
      </c>
      <c r="N19" s="253">
        <f t="shared" si="4"/>
        <v>0</v>
      </c>
      <c r="O19"/>
      <c r="P19" s="250">
        <v>0</v>
      </c>
      <c r="Q19" s="252">
        <f t="shared" si="5"/>
        <v>0</v>
      </c>
      <c r="R19" s="250">
        <v>0</v>
      </c>
      <c r="S19" s="252">
        <f t="shared" si="6"/>
        <v>0</v>
      </c>
      <c r="T19" s="251">
        <f t="shared" si="7"/>
        <v>0</v>
      </c>
      <c r="U19" s="252">
        <f t="shared" si="8"/>
        <v>0</v>
      </c>
      <c r="V19" s="253">
        <f t="shared" si="9"/>
        <v>0</v>
      </c>
      <c r="W19"/>
      <c r="X19" s="250">
        <v>0</v>
      </c>
      <c r="Y19" s="252">
        <f t="shared" si="10"/>
        <v>0</v>
      </c>
      <c r="Z19" s="250">
        <v>0</v>
      </c>
      <c r="AA19" s="252">
        <f t="shared" si="11"/>
        <v>0</v>
      </c>
      <c r="AB19" s="251">
        <f t="shared" si="12"/>
        <v>0</v>
      </c>
      <c r="AC19" s="252">
        <f t="shared" si="13"/>
        <v>0</v>
      </c>
      <c r="AD19" s="253">
        <f t="shared" si="14"/>
        <v>0</v>
      </c>
      <c r="AE19"/>
      <c r="AF19" s="250">
        <v>0</v>
      </c>
      <c r="AG19" s="252">
        <f t="shared" si="15"/>
        <v>0</v>
      </c>
      <c r="AH19" s="250">
        <v>0</v>
      </c>
      <c r="AI19" s="252">
        <f t="shared" si="16"/>
        <v>0</v>
      </c>
      <c r="AJ19" s="251">
        <f t="shared" si="17"/>
        <v>0</v>
      </c>
      <c r="AK19" s="252">
        <f t="shared" si="18"/>
        <v>0</v>
      </c>
      <c r="AL19" s="253">
        <f t="shared" si="19"/>
        <v>0</v>
      </c>
    </row>
    <row r="20" spans="2:38" collapsed="1" x14ac:dyDescent="0.35">
      <c r="B20" s="244" t="s">
        <v>129</v>
      </c>
      <c r="C20" s="244" t="s">
        <v>130</v>
      </c>
      <c r="D20"/>
      <c r="E20" s="245">
        <f>SUM(E21:E27)</f>
        <v>10.877396346352006</v>
      </c>
      <c r="F20" s="245">
        <f>SUM(F21:F27)</f>
        <v>11.68860849709756</v>
      </c>
      <c r="G20"/>
      <c r="H20" s="245">
        <f>SUM(H21:H27)</f>
        <v>-2.8066252099999978</v>
      </c>
      <c r="I20" s="247">
        <f t="shared" si="0"/>
        <v>-0.25802362262374179</v>
      </c>
      <c r="J20" s="245">
        <f>SUM(J21:J27)</f>
        <v>0</v>
      </c>
      <c r="K20" s="247">
        <f t="shared" si="1"/>
        <v>0</v>
      </c>
      <c r="L20" s="246">
        <f t="shared" si="2"/>
        <v>-2.8066252099999978</v>
      </c>
      <c r="M20" s="247">
        <f t="shared" si="3"/>
        <v>0</v>
      </c>
      <c r="N20" s="248">
        <f t="shared" si="4"/>
        <v>0</v>
      </c>
      <c r="O20"/>
      <c r="P20" s="245">
        <f>SUM(P21:P27)</f>
        <v>-2.8047263199999977</v>
      </c>
      <c r="Q20" s="247">
        <f t="shared" si="5"/>
        <v>-0.2578490505166367</v>
      </c>
      <c r="R20" s="245">
        <f>SUM(R21:R27)</f>
        <v>0</v>
      </c>
      <c r="S20" s="247">
        <f t="shared" si="6"/>
        <v>0</v>
      </c>
      <c r="T20" s="246">
        <f t="shared" si="7"/>
        <v>-2.8047263199999977</v>
      </c>
      <c r="U20" s="247">
        <f t="shared" si="8"/>
        <v>0</v>
      </c>
      <c r="V20" s="248">
        <f t="shared" si="9"/>
        <v>0</v>
      </c>
      <c r="W20"/>
      <c r="X20" s="245">
        <f>SUM(X21:X27)</f>
        <v>-1.8988899999999999E-3</v>
      </c>
      <c r="Y20" s="247">
        <f t="shared" si="10"/>
        <v>-1.745721071051013E-4</v>
      </c>
      <c r="Z20" s="245">
        <f>SUM(Z21:Z27)</f>
        <v>0</v>
      </c>
      <c r="AA20" s="247">
        <f t="shared" si="11"/>
        <v>0</v>
      </c>
      <c r="AB20" s="246">
        <f t="shared" si="12"/>
        <v>-1.8988899999999999E-3</v>
      </c>
      <c r="AC20" s="247">
        <f t="shared" si="13"/>
        <v>0</v>
      </c>
      <c r="AD20" s="248">
        <f t="shared" si="14"/>
        <v>0</v>
      </c>
      <c r="AE20"/>
      <c r="AF20" s="245">
        <f>SUM(AF21:AF27)</f>
        <v>0</v>
      </c>
      <c r="AG20" s="247">
        <f t="shared" si="15"/>
        <v>0</v>
      </c>
      <c r="AH20" s="245">
        <f>SUM(AH21:AH27)</f>
        <v>0</v>
      </c>
      <c r="AI20" s="247">
        <f t="shared" si="16"/>
        <v>0</v>
      </c>
      <c r="AJ20" s="246">
        <f t="shared" si="17"/>
        <v>0</v>
      </c>
      <c r="AK20" s="247">
        <f t="shared" si="18"/>
        <v>0</v>
      </c>
      <c r="AL20" s="248">
        <f t="shared" si="19"/>
        <v>0</v>
      </c>
    </row>
    <row r="21" spans="2:38" hidden="1" outlineLevel="1" x14ac:dyDescent="0.35">
      <c r="B21" s="249" t="s">
        <v>131</v>
      </c>
      <c r="C21" s="249" t="s">
        <v>134</v>
      </c>
      <c r="D21"/>
      <c r="E21" s="250">
        <v>3.6143312418050004</v>
      </c>
      <c r="F21" s="250">
        <v>3.868068985831445</v>
      </c>
      <c r="G21"/>
      <c r="H21" s="250">
        <f t="shared" si="20"/>
        <v>-2.5025257199999977</v>
      </c>
      <c r="I21" s="252">
        <f t="shared" si="0"/>
        <v>-0.69238969883408752</v>
      </c>
      <c r="J21" s="250">
        <f t="shared" si="21"/>
        <v>0</v>
      </c>
      <c r="K21" s="252">
        <f t="shared" si="1"/>
        <v>0</v>
      </c>
      <c r="L21" s="251">
        <f t="shared" si="2"/>
        <v>-2.5025257199999977</v>
      </c>
      <c r="M21" s="252">
        <f t="shared" si="3"/>
        <v>0</v>
      </c>
      <c r="N21" s="253">
        <f t="shared" si="4"/>
        <v>0</v>
      </c>
      <c r="O21"/>
      <c r="P21" s="250">
        <v>-2.5025257199999977</v>
      </c>
      <c r="Q21" s="252">
        <f t="shared" si="5"/>
        <v>-0.69238969883408752</v>
      </c>
      <c r="R21" s="250">
        <v>0</v>
      </c>
      <c r="S21" s="252">
        <f t="shared" si="6"/>
        <v>0</v>
      </c>
      <c r="T21" s="251">
        <f t="shared" si="7"/>
        <v>-2.5025257199999977</v>
      </c>
      <c r="U21" s="252">
        <f t="shared" si="8"/>
        <v>0</v>
      </c>
      <c r="V21" s="253">
        <f t="shared" si="9"/>
        <v>0</v>
      </c>
      <c r="W21"/>
      <c r="X21" s="250">
        <v>0</v>
      </c>
      <c r="Y21" s="252">
        <f t="shared" si="10"/>
        <v>0</v>
      </c>
      <c r="Z21" s="250">
        <v>0</v>
      </c>
      <c r="AA21" s="252">
        <f t="shared" si="11"/>
        <v>0</v>
      </c>
      <c r="AB21" s="251">
        <f t="shared" si="12"/>
        <v>0</v>
      </c>
      <c r="AC21" s="252">
        <f t="shared" si="13"/>
        <v>0</v>
      </c>
      <c r="AD21" s="253">
        <f t="shared" si="14"/>
        <v>0</v>
      </c>
      <c r="AE21"/>
      <c r="AF21" s="250">
        <v>0</v>
      </c>
      <c r="AG21" s="252">
        <f t="shared" si="15"/>
        <v>0</v>
      </c>
      <c r="AH21" s="250">
        <v>0</v>
      </c>
      <c r="AI21" s="252">
        <f t="shared" si="16"/>
        <v>0</v>
      </c>
      <c r="AJ21" s="251">
        <f t="shared" si="17"/>
        <v>0</v>
      </c>
      <c r="AK21" s="252">
        <f t="shared" si="18"/>
        <v>0</v>
      </c>
      <c r="AL21" s="253">
        <f t="shared" si="19"/>
        <v>0</v>
      </c>
    </row>
    <row r="22" spans="2:38" hidden="1" outlineLevel="1" x14ac:dyDescent="0.35">
      <c r="B22" s="249" t="s">
        <v>141</v>
      </c>
      <c r="C22" s="249" t="s">
        <v>142</v>
      </c>
      <c r="D22"/>
      <c r="E22" s="250">
        <v>3.8871672915000106</v>
      </c>
      <c r="F22" s="250">
        <v>4.0400672515472804</v>
      </c>
      <c r="G22"/>
      <c r="H22" s="250">
        <f t="shared" si="20"/>
        <v>-0.30220059999999999</v>
      </c>
      <c r="I22" s="252">
        <f t="shared" si="0"/>
        <v>-7.7743142329072354E-2</v>
      </c>
      <c r="J22" s="250">
        <f t="shared" si="21"/>
        <v>0</v>
      </c>
      <c r="K22" s="252">
        <f t="shared" si="1"/>
        <v>0</v>
      </c>
      <c r="L22" s="251">
        <f t="shared" si="2"/>
        <v>-0.30220059999999999</v>
      </c>
      <c r="M22" s="252">
        <f t="shared" si="3"/>
        <v>0</v>
      </c>
      <c r="N22" s="253">
        <f t="shared" si="4"/>
        <v>0</v>
      </c>
      <c r="O22"/>
      <c r="P22" s="250">
        <v>-0.30220059999999999</v>
      </c>
      <c r="Q22" s="252">
        <f t="shared" si="5"/>
        <v>-7.7743142329072354E-2</v>
      </c>
      <c r="R22" s="250">
        <v>0</v>
      </c>
      <c r="S22" s="252">
        <f t="shared" si="6"/>
        <v>0</v>
      </c>
      <c r="T22" s="251">
        <f t="shared" si="7"/>
        <v>-0.30220059999999999</v>
      </c>
      <c r="U22" s="252">
        <f t="shared" si="8"/>
        <v>0</v>
      </c>
      <c r="V22" s="253">
        <f t="shared" si="9"/>
        <v>0</v>
      </c>
      <c r="W22"/>
      <c r="X22" s="250">
        <v>0</v>
      </c>
      <c r="Y22" s="252">
        <f t="shared" si="10"/>
        <v>0</v>
      </c>
      <c r="Z22" s="250">
        <v>0</v>
      </c>
      <c r="AA22" s="252">
        <f t="shared" si="11"/>
        <v>0</v>
      </c>
      <c r="AB22" s="251">
        <f t="shared" si="12"/>
        <v>0</v>
      </c>
      <c r="AC22" s="252">
        <f t="shared" si="13"/>
        <v>0</v>
      </c>
      <c r="AD22" s="253">
        <f t="shared" si="14"/>
        <v>0</v>
      </c>
      <c r="AE22"/>
      <c r="AF22" s="250">
        <v>0</v>
      </c>
      <c r="AG22" s="252">
        <f t="shared" si="15"/>
        <v>0</v>
      </c>
      <c r="AH22" s="250">
        <v>0</v>
      </c>
      <c r="AI22" s="252">
        <f t="shared" si="16"/>
        <v>0</v>
      </c>
      <c r="AJ22" s="251">
        <f t="shared" si="17"/>
        <v>0</v>
      </c>
      <c r="AK22" s="252">
        <f t="shared" si="18"/>
        <v>0</v>
      </c>
      <c r="AL22" s="253">
        <f t="shared" si="19"/>
        <v>0</v>
      </c>
    </row>
    <row r="23" spans="2:38" hidden="1" outlineLevel="1" x14ac:dyDescent="0.35">
      <c r="B23" s="249" t="s">
        <v>143</v>
      </c>
      <c r="C23" s="249" t="s">
        <v>144</v>
      </c>
      <c r="D23"/>
      <c r="E23" s="250">
        <v>1.3923553499087615</v>
      </c>
      <c r="F23" s="250">
        <v>1.5623737884852003</v>
      </c>
      <c r="G23"/>
      <c r="H23" s="250">
        <f t="shared" si="20"/>
        <v>-1.8988899999999999E-3</v>
      </c>
      <c r="I23" s="252">
        <f t="shared" si="0"/>
        <v>-1.3637969647076306E-3</v>
      </c>
      <c r="J23" s="250">
        <f t="shared" si="21"/>
        <v>0</v>
      </c>
      <c r="K23" s="252">
        <f t="shared" si="1"/>
        <v>0</v>
      </c>
      <c r="L23" s="251">
        <f t="shared" si="2"/>
        <v>-1.8988899999999999E-3</v>
      </c>
      <c r="M23" s="252">
        <f t="shared" si="3"/>
        <v>0</v>
      </c>
      <c r="N23" s="253">
        <f t="shared" si="4"/>
        <v>0</v>
      </c>
      <c r="O23"/>
      <c r="P23" s="250">
        <v>0</v>
      </c>
      <c r="Q23" s="252">
        <f t="shared" si="5"/>
        <v>0</v>
      </c>
      <c r="R23" s="250">
        <v>0</v>
      </c>
      <c r="S23" s="252">
        <f t="shared" si="6"/>
        <v>0</v>
      </c>
      <c r="T23" s="251">
        <f t="shared" si="7"/>
        <v>0</v>
      </c>
      <c r="U23" s="252">
        <f t="shared" si="8"/>
        <v>0</v>
      </c>
      <c r="V23" s="253">
        <f t="shared" si="9"/>
        <v>0</v>
      </c>
      <c r="W23"/>
      <c r="X23" s="250">
        <v>-1.8988899999999999E-3</v>
      </c>
      <c r="Y23" s="252">
        <f t="shared" si="10"/>
        <v>-1.3637969647076306E-3</v>
      </c>
      <c r="Z23" s="250">
        <v>0</v>
      </c>
      <c r="AA23" s="252">
        <f t="shared" si="11"/>
        <v>0</v>
      </c>
      <c r="AB23" s="251">
        <f t="shared" si="12"/>
        <v>-1.8988899999999999E-3</v>
      </c>
      <c r="AC23" s="252">
        <f t="shared" si="13"/>
        <v>0</v>
      </c>
      <c r="AD23" s="253">
        <f t="shared" si="14"/>
        <v>0</v>
      </c>
      <c r="AE23"/>
      <c r="AF23" s="250">
        <v>0</v>
      </c>
      <c r="AG23" s="252">
        <f t="shared" si="15"/>
        <v>0</v>
      </c>
      <c r="AH23" s="250">
        <v>0</v>
      </c>
      <c r="AI23" s="252">
        <f t="shared" si="16"/>
        <v>0</v>
      </c>
      <c r="AJ23" s="251">
        <f t="shared" si="17"/>
        <v>0</v>
      </c>
      <c r="AK23" s="252">
        <f t="shared" si="18"/>
        <v>0</v>
      </c>
      <c r="AL23" s="253">
        <f t="shared" si="19"/>
        <v>0</v>
      </c>
    </row>
    <row r="24" spans="2:38" hidden="1" outlineLevel="1" x14ac:dyDescent="0.35">
      <c r="B24" s="249" t="s">
        <v>145</v>
      </c>
      <c r="C24" s="249" t="s">
        <v>136</v>
      </c>
      <c r="D24"/>
      <c r="E24" s="250">
        <v>0.37492861729123955</v>
      </c>
      <c r="F24" s="250">
        <v>0.29148619565982742</v>
      </c>
      <c r="G24"/>
      <c r="H24" s="250">
        <f t="shared" si="20"/>
        <v>0</v>
      </c>
      <c r="I24" s="252">
        <f t="shared" si="0"/>
        <v>0</v>
      </c>
      <c r="J24" s="250">
        <f t="shared" si="21"/>
        <v>0</v>
      </c>
      <c r="K24" s="252">
        <f t="shared" si="1"/>
        <v>0</v>
      </c>
      <c r="L24" s="251">
        <f t="shared" si="2"/>
        <v>0</v>
      </c>
      <c r="M24" s="252">
        <f t="shared" si="3"/>
        <v>0</v>
      </c>
      <c r="N24" s="253">
        <f t="shared" si="4"/>
        <v>0</v>
      </c>
      <c r="O24"/>
      <c r="P24" s="250">
        <v>0</v>
      </c>
      <c r="Q24" s="252">
        <f t="shared" si="5"/>
        <v>0</v>
      </c>
      <c r="R24" s="250">
        <v>0</v>
      </c>
      <c r="S24" s="252">
        <f t="shared" si="6"/>
        <v>0</v>
      </c>
      <c r="T24" s="251">
        <f t="shared" si="7"/>
        <v>0</v>
      </c>
      <c r="U24" s="252">
        <f t="shared" si="8"/>
        <v>0</v>
      </c>
      <c r="V24" s="253">
        <f t="shared" si="9"/>
        <v>0</v>
      </c>
      <c r="W24"/>
      <c r="X24" s="250">
        <v>0</v>
      </c>
      <c r="Y24" s="252">
        <f t="shared" si="10"/>
        <v>0</v>
      </c>
      <c r="Z24" s="250">
        <v>0</v>
      </c>
      <c r="AA24" s="252">
        <f t="shared" si="11"/>
        <v>0</v>
      </c>
      <c r="AB24" s="251">
        <f t="shared" si="12"/>
        <v>0</v>
      </c>
      <c r="AC24" s="252">
        <f t="shared" si="13"/>
        <v>0</v>
      </c>
      <c r="AD24" s="253">
        <f t="shared" si="14"/>
        <v>0</v>
      </c>
      <c r="AE24"/>
      <c r="AF24" s="250">
        <v>0</v>
      </c>
      <c r="AG24" s="252">
        <f t="shared" si="15"/>
        <v>0</v>
      </c>
      <c r="AH24" s="250">
        <v>0</v>
      </c>
      <c r="AI24" s="252">
        <f t="shared" si="16"/>
        <v>0</v>
      </c>
      <c r="AJ24" s="251">
        <f t="shared" si="17"/>
        <v>0</v>
      </c>
      <c r="AK24" s="252">
        <f t="shared" si="18"/>
        <v>0</v>
      </c>
      <c r="AL24" s="253">
        <f t="shared" si="19"/>
        <v>0</v>
      </c>
    </row>
    <row r="25" spans="2:38" hidden="1" outlineLevel="1" x14ac:dyDescent="0.35">
      <c r="B25" s="249" t="s">
        <v>261</v>
      </c>
      <c r="C25" s="249" t="s">
        <v>138</v>
      </c>
      <c r="D25"/>
      <c r="E25" s="250">
        <v>0.68215781920699059</v>
      </c>
      <c r="F25" s="250">
        <v>0.88464757864433818</v>
      </c>
      <c r="G25"/>
      <c r="H25" s="250">
        <f t="shared" si="20"/>
        <v>0</v>
      </c>
      <c r="I25" s="252">
        <f t="shared" si="0"/>
        <v>0</v>
      </c>
      <c r="J25" s="250">
        <f t="shared" si="21"/>
        <v>0</v>
      </c>
      <c r="K25" s="252">
        <f t="shared" si="1"/>
        <v>0</v>
      </c>
      <c r="L25" s="251">
        <f t="shared" si="2"/>
        <v>0</v>
      </c>
      <c r="M25" s="252">
        <f t="shared" si="3"/>
        <v>0</v>
      </c>
      <c r="N25" s="253">
        <f t="shared" si="4"/>
        <v>0</v>
      </c>
      <c r="O25"/>
      <c r="P25" s="250">
        <v>0</v>
      </c>
      <c r="Q25" s="252">
        <f t="shared" si="5"/>
        <v>0</v>
      </c>
      <c r="R25" s="250">
        <v>0</v>
      </c>
      <c r="S25" s="252">
        <f t="shared" si="6"/>
        <v>0</v>
      </c>
      <c r="T25" s="251">
        <f t="shared" si="7"/>
        <v>0</v>
      </c>
      <c r="U25" s="252">
        <f t="shared" si="8"/>
        <v>0</v>
      </c>
      <c r="V25" s="253">
        <f t="shared" si="9"/>
        <v>0</v>
      </c>
      <c r="W25"/>
      <c r="X25" s="250">
        <v>0</v>
      </c>
      <c r="Y25" s="252">
        <f t="shared" si="10"/>
        <v>0</v>
      </c>
      <c r="Z25" s="250">
        <v>0</v>
      </c>
      <c r="AA25" s="252">
        <f t="shared" si="11"/>
        <v>0</v>
      </c>
      <c r="AB25" s="251">
        <f t="shared" si="12"/>
        <v>0</v>
      </c>
      <c r="AC25" s="252">
        <f t="shared" si="13"/>
        <v>0</v>
      </c>
      <c r="AD25" s="253">
        <f t="shared" si="14"/>
        <v>0</v>
      </c>
      <c r="AE25"/>
      <c r="AF25" s="250">
        <v>0</v>
      </c>
      <c r="AG25" s="252">
        <f t="shared" si="15"/>
        <v>0</v>
      </c>
      <c r="AH25" s="250">
        <v>0</v>
      </c>
      <c r="AI25" s="252">
        <f t="shared" si="16"/>
        <v>0</v>
      </c>
      <c r="AJ25" s="251">
        <f t="shared" si="17"/>
        <v>0</v>
      </c>
      <c r="AK25" s="252">
        <f t="shared" si="18"/>
        <v>0</v>
      </c>
      <c r="AL25" s="253">
        <f t="shared" si="19"/>
        <v>0</v>
      </c>
    </row>
    <row r="26" spans="2:38" hidden="1" outlineLevel="1" x14ac:dyDescent="0.35">
      <c r="B26" s="249" t="s">
        <v>262</v>
      </c>
      <c r="C26" s="249" t="s">
        <v>140</v>
      </c>
      <c r="D26"/>
      <c r="E26" s="250">
        <v>0.49257451664000262</v>
      </c>
      <c r="F26" s="250">
        <v>0.58950055803016344</v>
      </c>
      <c r="G26"/>
      <c r="H26" s="250">
        <f t="shared" si="20"/>
        <v>0</v>
      </c>
      <c r="I26" s="252">
        <f t="shared" si="0"/>
        <v>0</v>
      </c>
      <c r="J26" s="250">
        <f t="shared" si="21"/>
        <v>0</v>
      </c>
      <c r="K26" s="252">
        <f t="shared" si="1"/>
        <v>0</v>
      </c>
      <c r="L26" s="251">
        <f t="shared" si="2"/>
        <v>0</v>
      </c>
      <c r="M26" s="252">
        <f t="shared" si="3"/>
        <v>0</v>
      </c>
      <c r="N26" s="253">
        <f t="shared" si="4"/>
        <v>0</v>
      </c>
      <c r="O26"/>
      <c r="P26" s="250">
        <v>0</v>
      </c>
      <c r="Q26" s="252">
        <f t="shared" si="5"/>
        <v>0</v>
      </c>
      <c r="R26" s="250">
        <v>0</v>
      </c>
      <c r="S26" s="252">
        <f t="shared" si="6"/>
        <v>0</v>
      </c>
      <c r="T26" s="251">
        <f t="shared" si="7"/>
        <v>0</v>
      </c>
      <c r="U26" s="252">
        <f t="shared" si="8"/>
        <v>0</v>
      </c>
      <c r="V26" s="253">
        <f t="shared" si="9"/>
        <v>0</v>
      </c>
      <c r="W26"/>
      <c r="X26" s="250">
        <v>0</v>
      </c>
      <c r="Y26" s="252">
        <f t="shared" si="10"/>
        <v>0</v>
      </c>
      <c r="Z26" s="250">
        <v>0</v>
      </c>
      <c r="AA26" s="252">
        <f t="shared" si="11"/>
        <v>0</v>
      </c>
      <c r="AB26" s="251">
        <f t="shared" si="12"/>
        <v>0</v>
      </c>
      <c r="AC26" s="252">
        <f t="shared" si="13"/>
        <v>0</v>
      </c>
      <c r="AD26" s="253">
        <f t="shared" si="14"/>
        <v>0</v>
      </c>
      <c r="AE26"/>
      <c r="AF26" s="250">
        <v>0</v>
      </c>
      <c r="AG26" s="252">
        <f t="shared" si="15"/>
        <v>0</v>
      </c>
      <c r="AH26" s="250">
        <v>0</v>
      </c>
      <c r="AI26" s="252">
        <f t="shared" si="16"/>
        <v>0</v>
      </c>
      <c r="AJ26" s="251">
        <f t="shared" si="17"/>
        <v>0</v>
      </c>
      <c r="AK26" s="252">
        <f t="shared" si="18"/>
        <v>0</v>
      </c>
      <c r="AL26" s="253">
        <f t="shared" si="19"/>
        <v>0</v>
      </c>
    </row>
    <row r="27" spans="2:38" hidden="1" outlineLevel="1" x14ac:dyDescent="0.35">
      <c r="B27" s="249" t="s">
        <v>263</v>
      </c>
      <c r="C27" s="249" t="s">
        <v>146</v>
      </c>
      <c r="D27"/>
      <c r="E27" s="250">
        <v>0.43388151000000025</v>
      </c>
      <c r="F27" s="250">
        <v>0.4524641388993047</v>
      </c>
      <c r="G27"/>
      <c r="H27" s="250">
        <f t="shared" si="20"/>
        <v>0</v>
      </c>
      <c r="I27" s="252">
        <f t="shared" si="0"/>
        <v>0</v>
      </c>
      <c r="J27" s="250">
        <f t="shared" si="21"/>
        <v>0</v>
      </c>
      <c r="K27" s="252">
        <f t="shared" si="1"/>
        <v>0</v>
      </c>
      <c r="L27" s="251">
        <f t="shared" si="2"/>
        <v>0</v>
      </c>
      <c r="M27" s="252">
        <f t="shared" si="3"/>
        <v>0</v>
      </c>
      <c r="N27" s="253">
        <f t="shared" si="4"/>
        <v>0</v>
      </c>
      <c r="O27"/>
      <c r="P27" s="250">
        <v>0</v>
      </c>
      <c r="Q27" s="252">
        <f t="shared" si="5"/>
        <v>0</v>
      </c>
      <c r="R27" s="250">
        <v>0</v>
      </c>
      <c r="S27" s="252">
        <f t="shared" si="6"/>
        <v>0</v>
      </c>
      <c r="T27" s="251">
        <f t="shared" si="7"/>
        <v>0</v>
      </c>
      <c r="U27" s="252">
        <f t="shared" si="8"/>
        <v>0</v>
      </c>
      <c r="V27" s="253">
        <f t="shared" si="9"/>
        <v>0</v>
      </c>
      <c r="W27"/>
      <c r="X27" s="250">
        <v>0</v>
      </c>
      <c r="Y27" s="252">
        <f t="shared" si="10"/>
        <v>0</v>
      </c>
      <c r="Z27" s="250">
        <v>0</v>
      </c>
      <c r="AA27" s="252">
        <f t="shared" si="11"/>
        <v>0</v>
      </c>
      <c r="AB27" s="251">
        <f t="shared" si="12"/>
        <v>0</v>
      </c>
      <c r="AC27" s="252">
        <f t="shared" si="13"/>
        <v>0</v>
      </c>
      <c r="AD27" s="253">
        <f t="shared" si="14"/>
        <v>0</v>
      </c>
      <c r="AE27"/>
      <c r="AF27" s="250">
        <v>0</v>
      </c>
      <c r="AG27" s="252">
        <f t="shared" si="15"/>
        <v>0</v>
      </c>
      <c r="AH27" s="250">
        <v>0</v>
      </c>
      <c r="AI27" s="252">
        <f t="shared" si="16"/>
        <v>0</v>
      </c>
      <c r="AJ27" s="251">
        <f t="shared" si="17"/>
        <v>0</v>
      </c>
      <c r="AK27" s="252">
        <f t="shared" si="18"/>
        <v>0</v>
      </c>
      <c r="AL27" s="253">
        <f t="shared" si="19"/>
        <v>0</v>
      </c>
    </row>
    <row r="28" spans="2:38" collapsed="1" x14ac:dyDescent="0.35">
      <c r="B28" s="244" t="s">
        <v>147</v>
      </c>
      <c r="C28" s="244" t="s">
        <v>148</v>
      </c>
      <c r="D28"/>
      <c r="E28" s="245">
        <v>2.3404615556441488</v>
      </c>
      <c r="F28" s="245">
        <v>2.3243629965949628</v>
      </c>
      <c r="G28"/>
      <c r="H28" s="245">
        <f t="shared" si="20"/>
        <v>0</v>
      </c>
      <c r="I28" s="247">
        <f t="shared" si="0"/>
        <v>0</v>
      </c>
      <c r="J28" s="245">
        <f t="shared" si="21"/>
        <v>0</v>
      </c>
      <c r="K28" s="247">
        <f t="shared" si="1"/>
        <v>0</v>
      </c>
      <c r="L28" s="246">
        <f t="shared" si="2"/>
        <v>0</v>
      </c>
      <c r="M28" s="247">
        <f t="shared" si="3"/>
        <v>0</v>
      </c>
      <c r="N28" s="248">
        <f t="shared" si="4"/>
        <v>0</v>
      </c>
      <c r="O28"/>
      <c r="P28" s="245">
        <v>0</v>
      </c>
      <c r="Q28" s="247">
        <f t="shared" si="5"/>
        <v>0</v>
      </c>
      <c r="R28" s="245">
        <v>0</v>
      </c>
      <c r="S28" s="247">
        <f t="shared" si="6"/>
        <v>0</v>
      </c>
      <c r="T28" s="246">
        <f t="shared" si="7"/>
        <v>0</v>
      </c>
      <c r="U28" s="247">
        <f t="shared" si="8"/>
        <v>0</v>
      </c>
      <c r="V28" s="248">
        <f t="shared" si="9"/>
        <v>0</v>
      </c>
      <c r="W28"/>
      <c r="X28" s="245">
        <v>0</v>
      </c>
      <c r="Y28" s="247">
        <f t="shared" si="10"/>
        <v>0</v>
      </c>
      <c r="Z28" s="245">
        <v>0</v>
      </c>
      <c r="AA28" s="247">
        <f t="shared" si="11"/>
        <v>0</v>
      </c>
      <c r="AB28" s="246">
        <f t="shared" si="12"/>
        <v>0</v>
      </c>
      <c r="AC28" s="247">
        <f t="shared" si="13"/>
        <v>0</v>
      </c>
      <c r="AD28" s="248">
        <f t="shared" si="14"/>
        <v>0</v>
      </c>
      <c r="AE28"/>
      <c r="AF28" s="245">
        <v>0</v>
      </c>
      <c r="AG28" s="247">
        <f t="shared" si="15"/>
        <v>0</v>
      </c>
      <c r="AH28" s="245">
        <v>0</v>
      </c>
      <c r="AI28" s="247">
        <f t="shared" si="16"/>
        <v>0</v>
      </c>
      <c r="AJ28" s="246">
        <f t="shared" si="17"/>
        <v>0</v>
      </c>
      <c r="AK28" s="247">
        <f t="shared" si="18"/>
        <v>0</v>
      </c>
      <c r="AL28" s="248">
        <f t="shared" si="19"/>
        <v>0</v>
      </c>
    </row>
    <row r="29" spans="2:38" x14ac:dyDescent="0.35">
      <c r="B29" s="239" t="s">
        <v>149</v>
      </c>
      <c r="C29" s="239" t="s">
        <v>150</v>
      </c>
      <c r="D29"/>
      <c r="E29" s="240">
        <f>SUM(E30:E34)</f>
        <v>5.5477029081249718</v>
      </c>
      <c r="F29" s="240">
        <f>SUM(F30:F34)</f>
        <v>4.2772428521846217</v>
      </c>
      <c r="G29"/>
      <c r="H29" s="240">
        <f>SUM(H30:H34)</f>
        <v>-0.135936</v>
      </c>
      <c r="I29" s="242">
        <f t="shared" si="0"/>
        <v>-2.4503114577551166E-2</v>
      </c>
      <c r="J29" s="240">
        <f>SUM(J30:J34)</f>
        <v>-8.2100000000000006E-2</v>
      </c>
      <c r="K29" s="242">
        <f t="shared" si="1"/>
        <v>-1.9194608030747434E-2</v>
      </c>
      <c r="L29" s="241">
        <f t="shared" si="2"/>
        <v>-5.3835999999999995E-2</v>
      </c>
      <c r="M29" s="242">
        <f t="shared" si="3"/>
        <v>0.65573690621193648</v>
      </c>
      <c r="N29" s="243">
        <f t="shared" si="4"/>
        <v>0.65573690621193648</v>
      </c>
      <c r="O29"/>
      <c r="P29" s="240">
        <f>SUM(P30:P34)</f>
        <v>-0.13441500000000001</v>
      </c>
      <c r="Q29" s="242">
        <f t="shared" si="5"/>
        <v>-2.4228947048181057E-2</v>
      </c>
      <c r="R29" s="240">
        <f>SUM(R30:R34)</f>
        <v>0</v>
      </c>
      <c r="S29" s="242">
        <f t="shared" si="6"/>
        <v>0</v>
      </c>
      <c r="T29" s="241">
        <f t="shared" si="7"/>
        <v>-0.13441500000000001</v>
      </c>
      <c r="U29" s="242">
        <f t="shared" si="8"/>
        <v>0</v>
      </c>
      <c r="V29" s="243">
        <f t="shared" si="9"/>
        <v>0</v>
      </c>
      <c r="W29"/>
      <c r="X29" s="240">
        <f>SUM(X30:X34)</f>
        <v>-1.521E-3</v>
      </c>
      <c r="Y29" s="242">
        <f t="shared" si="10"/>
        <v>-2.7416752937011038E-4</v>
      </c>
      <c r="Z29" s="240">
        <f>SUM(Z30:Z34)</f>
        <v>-2.0999999999999999E-3</v>
      </c>
      <c r="AA29" s="242">
        <f t="shared" si="11"/>
        <v>-4.909704855611402E-4</v>
      </c>
      <c r="AB29" s="241">
        <f t="shared" si="12"/>
        <v>5.7899999999999987E-4</v>
      </c>
      <c r="AC29" s="242">
        <f t="shared" si="13"/>
        <v>-0.27571428571428569</v>
      </c>
      <c r="AD29" s="243">
        <f t="shared" si="14"/>
        <v>-0.27571428571428569</v>
      </c>
      <c r="AE29"/>
      <c r="AF29" s="240">
        <f>SUM(AF30:AF34)</f>
        <v>0</v>
      </c>
      <c r="AG29" s="242">
        <f t="shared" si="15"/>
        <v>0</v>
      </c>
      <c r="AH29" s="240">
        <f>SUM(AH30:AH34)</f>
        <v>-0.08</v>
      </c>
      <c r="AI29" s="242">
        <f t="shared" si="16"/>
        <v>-1.8703637545186294E-2</v>
      </c>
      <c r="AJ29" s="241">
        <f t="shared" si="17"/>
        <v>0.08</v>
      </c>
      <c r="AK29" s="242">
        <f t="shared" si="18"/>
        <v>-1</v>
      </c>
      <c r="AL29" s="243">
        <f t="shared" si="19"/>
        <v>-1</v>
      </c>
    </row>
    <row r="30" spans="2:38" hidden="1" outlineLevel="1" x14ac:dyDescent="0.35">
      <c r="B30" s="255" t="s">
        <v>151</v>
      </c>
      <c r="C30" s="255" t="s">
        <v>154</v>
      </c>
      <c r="D30"/>
      <c r="E30" s="250">
        <v>2.3072106766249658</v>
      </c>
      <c r="F30" s="250">
        <v>1.3345511848488585</v>
      </c>
      <c r="G30"/>
      <c r="H30" s="250">
        <f t="shared" si="20"/>
        <v>-0.13441500000000001</v>
      </c>
      <c r="I30" s="252">
        <f t="shared" si="0"/>
        <v>-5.8258658978045719E-2</v>
      </c>
      <c r="J30" s="250">
        <f t="shared" si="21"/>
        <v>-0.08</v>
      </c>
      <c r="K30" s="252">
        <f t="shared" si="1"/>
        <v>-5.9945246692849938E-2</v>
      </c>
      <c r="L30" s="251">
        <f t="shared" si="2"/>
        <v>-5.4415000000000005E-2</v>
      </c>
      <c r="M30" s="252">
        <f t="shared" si="3"/>
        <v>0.68018749999999994</v>
      </c>
      <c r="N30" s="253">
        <f t="shared" si="4"/>
        <v>0.68018749999999994</v>
      </c>
      <c r="O30"/>
      <c r="P30" s="250">
        <v>-0.13441500000000001</v>
      </c>
      <c r="Q30" s="252">
        <f t="shared" si="5"/>
        <v>-5.8258658978045719E-2</v>
      </c>
      <c r="R30" s="250">
        <v>0</v>
      </c>
      <c r="S30" s="252">
        <f t="shared" si="6"/>
        <v>0</v>
      </c>
      <c r="T30" s="251">
        <f t="shared" si="7"/>
        <v>-0.13441500000000001</v>
      </c>
      <c r="U30" s="252">
        <f t="shared" si="8"/>
        <v>0</v>
      </c>
      <c r="V30" s="253">
        <f t="shared" si="9"/>
        <v>0</v>
      </c>
      <c r="W30"/>
      <c r="X30" s="250">
        <v>0</v>
      </c>
      <c r="Y30" s="252">
        <f t="shared" si="10"/>
        <v>0</v>
      </c>
      <c r="Z30" s="250">
        <v>0</v>
      </c>
      <c r="AA30" s="252">
        <f t="shared" si="11"/>
        <v>0</v>
      </c>
      <c r="AB30" s="251">
        <f t="shared" si="12"/>
        <v>0</v>
      </c>
      <c r="AC30" s="252">
        <f t="shared" si="13"/>
        <v>0</v>
      </c>
      <c r="AD30" s="253">
        <f t="shared" si="14"/>
        <v>0</v>
      </c>
      <c r="AE30"/>
      <c r="AF30" s="250">
        <v>0</v>
      </c>
      <c r="AG30" s="252">
        <f t="shared" si="15"/>
        <v>0</v>
      </c>
      <c r="AH30" s="250">
        <v>-0.08</v>
      </c>
      <c r="AI30" s="252">
        <f t="shared" si="16"/>
        <v>-5.9945246692849938E-2</v>
      </c>
      <c r="AJ30" s="251">
        <f t="shared" si="17"/>
        <v>0.08</v>
      </c>
      <c r="AK30" s="252">
        <f t="shared" si="18"/>
        <v>-1</v>
      </c>
      <c r="AL30" s="253">
        <f t="shared" si="19"/>
        <v>-1</v>
      </c>
    </row>
    <row r="31" spans="2:38" hidden="1" outlineLevel="1" x14ac:dyDescent="0.35">
      <c r="B31" s="255" t="s">
        <v>159</v>
      </c>
      <c r="C31" s="255" t="s">
        <v>156</v>
      </c>
      <c r="D31"/>
      <c r="E31" s="250">
        <v>0</v>
      </c>
      <c r="F31" s="250">
        <v>0</v>
      </c>
      <c r="G31"/>
      <c r="H31" s="250">
        <f t="shared" si="20"/>
        <v>0</v>
      </c>
      <c r="I31" s="252">
        <f t="shared" si="0"/>
        <v>0</v>
      </c>
      <c r="J31" s="250">
        <f t="shared" si="21"/>
        <v>0</v>
      </c>
      <c r="K31" s="252">
        <f t="shared" si="1"/>
        <v>0</v>
      </c>
      <c r="L31" s="251">
        <f t="shared" si="2"/>
        <v>0</v>
      </c>
      <c r="M31" s="252">
        <f t="shared" si="3"/>
        <v>0</v>
      </c>
      <c r="N31" s="253">
        <f t="shared" si="4"/>
        <v>0</v>
      </c>
      <c r="O31"/>
      <c r="P31" s="250">
        <v>0</v>
      </c>
      <c r="Q31" s="252">
        <f t="shared" si="5"/>
        <v>0</v>
      </c>
      <c r="R31" s="250">
        <v>0</v>
      </c>
      <c r="S31" s="252">
        <f t="shared" si="6"/>
        <v>0</v>
      </c>
      <c r="T31" s="251">
        <f t="shared" si="7"/>
        <v>0</v>
      </c>
      <c r="U31" s="252">
        <f t="shared" si="8"/>
        <v>0</v>
      </c>
      <c r="V31" s="253">
        <f t="shared" si="9"/>
        <v>0</v>
      </c>
      <c r="W31"/>
      <c r="X31" s="250">
        <v>0</v>
      </c>
      <c r="Y31" s="252">
        <f t="shared" si="10"/>
        <v>0</v>
      </c>
      <c r="Z31" s="250">
        <v>0</v>
      </c>
      <c r="AA31" s="252">
        <f t="shared" si="11"/>
        <v>0</v>
      </c>
      <c r="AB31" s="251">
        <f t="shared" si="12"/>
        <v>0</v>
      </c>
      <c r="AC31" s="252">
        <f t="shared" si="13"/>
        <v>0</v>
      </c>
      <c r="AD31" s="253">
        <f t="shared" si="14"/>
        <v>0</v>
      </c>
      <c r="AE31"/>
      <c r="AF31" s="250">
        <v>0</v>
      </c>
      <c r="AG31" s="252">
        <f t="shared" si="15"/>
        <v>0</v>
      </c>
      <c r="AH31" s="250">
        <v>0</v>
      </c>
      <c r="AI31" s="252">
        <f t="shared" si="16"/>
        <v>0</v>
      </c>
      <c r="AJ31" s="251">
        <f t="shared" si="17"/>
        <v>0</v>
      </c>
      <c r="AK31" s="252">
        <f t="shared" si="18"/>
        <v>0</v>
      </c>
      <c r="AL31" s="253">
        <f t="shared" si="19"/>
        <v>0</v>
      </c>
    </row>
    <row r="32" spans="2:38" hidden="1" outlineLevel="1" x14ac:dyDescent="0.35">
      <c r="B32" s="255" t="s">
        <v>161</v>
      </c>
      <c r="C32" s="255" t="s">
        <v>160</v>
      </c>
      <c r="D32"/>
      <c r="E32" s="250">
        <v>1.1481825400000001</v>
      </c>
      <c r="F32" s="250">
        <v>0.93643853333799354</v>
      </c>
      <c r="G32"/>
      <c r="H32" s="250">
        <f t="shared" si="20"/>
        <v>-1.521E-3</v>
      </c>
      <c r="I32" s="252">
        <f t="shared" si="0"/>
        <v>-1.3247022550961277E-3</v>
      </c>
      <c r="J32" s="250">
        <f t="shared" si="21"/>
        <v>0</v>
      </c>
      <c r="K32" s="252">
        <f t="shared" si="1"/>
        <v>0</v>
      </c>
      <c r="L32" s="251">
        <f t="shared" si="2"/>
        <v>-1.521E-3</v>
      </c>
      <c r="M32" s="252">
        <f t="shared" si="3"/>
        <v>0</v>
      </c>
      <c r="N32" s="253">
        <f t="shared" si="4"/>
        <v>0</v>
      </c>
      <c r="O32"/>
      <c r="P32" s="250">
        <v>0</v>
      </c>
      <c r="Q32" s="252">
        <f t="shared" si="5"/>
        <v>0</v>
      </c>
      <c r="R32" s="250">
        <v>0</v>
      </c>
      <c r="S32" s="252">
        <f t="shared" si="6"/>
        <v>0</v>
      </c>
      <c r="T32" s="251">
        <f t="shared" si="7"/>
        <v>0</v>
      </c>
      <c r="U32" s="252"/>
      <c r="V32" s="253">
        <f t="shared" si="9"/>
        <v>0</v>
      </c>
      <c r="W32"/>
      <c r="X32" s="250">
        <v>-1.521E-3</v>
      </c>
      <c r="Y32" s="252">
        <f t="shared" si="10"/>
        <v>-1.3247022550961277E-3</v>
      </c>
      <c r="Z32" s="250">
        <v>0</v>
      </c>
      <c r="AA32" s="252">
        <f t="shared" si="11"/>
        <v>0</v>
      </c>
      <c r="AB32" s="251">
        <f t="shared" si="12"/>
        <v>-1.521E-3</v>
      </c>
      <c r="AC32" s="252">
        <f t="shared" si="13"/>
        <v>0</v>
      </c>
      <c r="AD32" s="253">
        <f t="shared" si="14"/>
        <v>0</v>
      </c>
      <c r="AE32"/>
      <c r="AF32" s="250">
        <v>0</v>
      </c>
      <c r="AG32" s="252">
        <f t="shared" si="15"/>
        <v>0</v>
      </c>
      <c r="AH32" s="250">
        <v>0</v>
      </c>
      <c r="AI32" s="252">
        <f t="shared" si="16"/>
        <v>0</v>
      </c>
      <c r="AJ32" s="251">
        <f t="shared" si="17"/>
        <v>0</v>
      </c>
      <c r="AK32" s="252">
        <f t="shared" si="18"/>
        <v>0</v>
      </c>
      <c r="AL32" s="253">
        <f t="shared" si="19"/>
        <v>0</v>
      </c>
    </row>
    <row r="33" spans="2:38" hidden="1" outlineLevel="1" x14ac:dyDescent="0.35">
      <c r="B33" s="255" t="s">
        <v>264</v>
      </c>
      <c r="C33" s="255" t="s">
        <v>158</v>
      </c>
      <c r="D33"/>
      <c r="E33" s="250">
        <v>0</v>
      </c>
      <c r="F33" s="250">
        <v>0</v>
      </c>
      <c r="G33"/>
      <c r="H33" s="250">
        <f t="shared" si="20"/>
        <v>0</v>
      </c>
      <c r="I33" s="252">
        <f t="shared" si="0"/>
        <v>0</v>
      </c>
      <c r="J33" s="250">
        <f t="shared" si="21"/>
        <v>0</v>
      </c>
      <c r="K33" s="252">
        <f t="shared" si="1"/>
        <v>0</v>
      </c>
      <c r="L33" s="251">
        <f t="shared" si="2"/>
        <v>0</v>
      </c>
      <c r="M33" s="252">
        <f t="shared" si="3"/>
        <v>0</v>
      </c>
      <c r="N33" s="253">
        <f t="shared" si="4"/>
        <v>0</v>
      </c>
      <c r="O33"/>
      <c r="P33" s="250">
        <v>0</v>
      </c>
      <c r="Q33" s="252">
        <f t="shared" si="5"/>
        <v>0</v>
      </c>
      <c r="R33" s="250">
        <v>0</v>
      </c>
      <c r="S33" s="252">
        <f t="shared" si="6"/>
        <v>0</v>
      </c>
      <c r="T33" s="251">
        <f t="shared" si="7"/>
        <v>0</v>
      </c>
      <c r="U33" s="252">
        <f t="shared" si="8"/>
        <v>0</v>
      </c>
      <c r="V33" s="253">
        <f t="shared" si="9"/>
        <v>0</v>
      </c>
      <c r="W33"/>
      <c r="X33" s="250">
        <v>0</v>
      </c>
      <c r="Y33" s="252">
        <f t="shared" si="10"/>
        <v>0</v>
      </c>
      <c r="Z33" s="250">
        <v>0</v>
      </c>
      <c r="AA33" s="252">
        <f t="shared" si="11"/>
        <v>0</v>
      </c>
      <c r="AB33" s="251">
        <f t="shared" si="12"/>
        <v>0</v>
      </c>
      <c r="AC33" s="252">
        <f t="shared" si="13"/>
        <v>0</v>
      </c>
      <c r="AD33" s="253">
        <f t="shared" si="14"/>
        <v>0</v>
      </c>
      <c r="AE33"/>
      <c r="AF33" s="250">
        <v>0</v>
      </c>
      <c r="AG33" s="252">
        <f t="shared" si="15"/>
        <v>0</v>
      </c>
      <c r="AH33" s="250">
        <v>0</v>
      </c>
      <c r="AI33" s="252">
        <f t="shared" si="16"/>
        <v>0</v>
      </c>
      <c r="AJ33" s="251">
        <f t="shared" si="17"/>
        <v>0</v>
      </c>
      <c r="AK33" s="252">
        <f t="shared" si="18"/>
        <v>0</v>
      </c>
      <c r="AL33" s="253">
        <f t="shared" si="19"/>
        <v>0</v>
      </c>
    </row>
    <row r="34" spans="2:38" hidden="1" outlineLevel="1" collapsed="1" x14ac:dyDescent="0.35">
      <c r="B34" s="256" t="s">
        <v>265</v>
      </c>
      <c r="C34" s="256" t="s">
        <v>162</v>
      </c>
      <c r="D34"/>
      <c r="E34" s="257">
        <f>SUM(E35:E37)</f>
        <v>2.0923096915000059</v>
      </c>
      <c r="F34" s="257">
        <f>SUM(F35:F37)</f>
        <v>2.0062531339977698</v>
      </c>
      <c r="G34"/>
      <c r="H34" s="257">
        <f>SUM(H35:H37)</f>
        <v>0</v>
      </c>
      <c r="I34" s="259">
        <f t="shared" si="0"/>
        <v>0</v>
      </c>
      <c r="J34" s="257">
        <f>SUM(J35:J37)</f>
        <v>-2.0999999999999999E-3</v>
      </c>
      <c r="K34" s="259">
        <f t="shared" si="1"/>
        <v>-1.0467273368517686E-3</v>
      </c>
      <c r="L34" s="258">
        <f t="shared" si="2"/>
        <v>2.0999999999999999E-3</v>
      </c>
      <c r="M34" s="259">
        <f t="shared" si="3"/>
        <v>-1</v>
      </c>
      <c r="N34" s="260">
        <f t="shared" si="4"/>
        <v>-1</v>
      </c>
      <c r="O34"/>
      <c r="P34" s="257">
        <f>SUM(P35:P37)</f>
        <v>0</v>
      </c>
      <c r="Q34" s="259">
        <f t="shared" si="5"/>
        <v>0</v>
      </c>
      <c r="R34" s="257">
        <f>SUM(R35:R37)</f>
        <v>0</v>
      </c>
      <c r="S34" s="259">
        <f t="shared" si="6"/>
        <v>0</v>
      </c>
      <c r="T34" s="258">
        <f t="shared" si="7"/>
        <v>0</v>
      </c>
      <c r="U34" s="259">
        <f t="shared" si="8"/>
        <v>0</v>
      </c>
      <c r="V34" s="260">
        <f t="shared" si="9"/>
        <v>0</v>
      </c>
      <c r="W34"/>
      <c r="X34" s="257">
        <f>SUM(X35:X37)</f>
        <v>0</v>
      </c>
      <c r="Y34" s="259">
        <f t="shared" si="10"/>
        <v>0</v>
      </c>
      <c r="Z34" s="257">
        <f>SUM(Z35:Z37)</f>
        <v>-2.0999999999999999E-3</v>
      </c>
      <c r="AA34" s="259">
        <f t="shared" si="11"/>
        <v>-1.0467273368517686E-3</v>
      </c>
      <c r="AB34" s="258">
        <f t="shared" si="12"/>
        <v>2.0999999999999999E-3</v>
      </c>
      <c r="AC34" s="259">
        <f t="shared" si="13"/>
        <v>-1</v>
      </c>
      <c r="AD34" s="260">
        <f t="shared" si="14"/>
        <v>-1</v>
      </c>
      <c r="AE34"/>
      <c r="AF34" s="257">
        <f>SUM(AF35:AF37)</f>
        <v>0</v>
      </c>
      <c r="AG34" s="259">
        <f t="shared" si="15"/>
        <v>0</v>
      </c>
      <c r="AH34" s="257">
        <f>SUM(AH35:AH37)</f>
        <v>0</v>
      </c>
      <c r="AI34" s="259">
        <f t="shared" si="16"/>
        <v>0</v>
      </c>
      <c r="AJ34" s="258">
        <f t="shared" si="17"/>
        <v>0</v>
      </c>
      <c r="AK34" s="259">
        <f t="shared" si="18"/>
        <v>0</v>
      </c>
      <c r="AL34" s="260">
        <f t="shared" si="19"/>
        <v>0</v>
      </c>
    </row>
    <row r="35" spans="2:38" hidden="1" outlineLevel="1" x14ac:dyDescent="0.35">
      <c r="B35" s="255" t="s">
        <v>266</v>
      </c>
      <c r="C35" s="255" t="s">
        <v>164</v>
      </c>
      <c r="D35"/>
      <c r="E35" s="250">
        <v>0.8632994100000001</v>
      </c>
      <c r="F35" s="250">
        <v>0.93924776092055307</v>
      </c>
      <c r="G35"/>
      <c r="H35" s="250">
        <f t="shared" si="20"/>
        <v>0</v>
      </c>
      <c r="I35" s="252">
        <f t="shared" si="0"/>
        <v>0</v>
      </c>
      <c r="J35" s="250">
        <f t="shared" si="21"/>
        <v>0</v>
      </c>
      <c r="K35" s="252">
        <f t="shared" si="1"/>
        <v>0</v>
      </c>
      <c r="L35" s="251">
        <f t="shared" si="2"/>
        <v>0</v>
      </c>
      <c r="M35" s="252">
        <f t="shared" si="3"/>
        <v>0</v>
      </c>
      <c r="N35" s="253">
        <f t="shared" si="4"/>
        <v>0</v>
      </c>
      <c r="O35"/>
      <c r="P35" s="250">
        <v>0</v>
      </c>
      <c r="Q35" s="252">
        <f t="shared" si="5"/>
        <v>0</v>
      </c>
      <c r="R35" s="250">
        <v>0</v>
      </c>
      <c r="S35" s="252">
        <f t="shared" si="6"/>
        <v>0</v>
      </c>
      <c r="T35" s="251">
        <f t="shared" si="7"/>
        <v>0</v>
      </c>
      <c r="U35" s="252">
        <f t="shared" si="8"/>
        <v>0</v>
      </c>
      <c r="V35" s="253">
        <f t="shared" si="9"/>
        <v>0</v>
      </c>
      <c r="W35"/>
      <c r="X35" s="250">
        <v>0</v>
      </c>
      <c r="Y35" s="252">
        <f t="shared" si="10"/>
        <v>0</v>
      </c>
      <c r="Z35" s="250">
        <v>0</v>
      </c>
      <c r="AA35" s="252">
        <f t="shared" si="11"/>
        <v>0</v>
      </c>
      <c r="AB35" s="251">
        <f t="shared" si="12"/>
        <v>0</v>
      </c>
      <c r="AC35" s="252">
        <f t="shared" si="13"/>
        <v>0</v>
      </c>
      <c r="AD35" s="253">
        <f t="shared" si="14"/>
        <v>0</v>
      </c>
      <c r="AE35"/>
      <c r="AF35" s="250">
        <v>0</v>
      </c>
      <c r="AG35" s="252">
        <f t="shared" si="15"/>
        <v>0</v>
      </c>
      <c r="AH35" s="250">
        <v>0</v>
      </c>
      <c r="AI35" s="252">
        <f t="shared" si="16"/>
        <v>0</v>
      </c>
      <c r="AJ35" s="251">
        <f t="shared" si="17"/>
        <v>0</v>
      </c>
      <c r="AK35" s="252">
        <f t="shared" si="18"/>
        <v>0</v>
      </c>
      <c r="AL35" s="253">
        <f t="shared" si="19"/>
        <v>0</v>
      </c>
    </row>
    <row r="36" spans="2:38" hidden="1" outlineLevel="1" x14ac:dyDescent="0.35">
      <c r="B36" s="255" t="s">
        <v>267</v>
      </c>
      <c r="C36" s="255" t="s">
        <v>166</v>
      </c>
      <c r="D36"/>
      <c r="E36" s="250">
        <v>0.79563924150000453</v>
      </c>
      <c r="F36" s="250">
        <v>0.58853403552222838</v>
      </c>
      <c r="G36"/>
      <c r="H36" s="250">
        <f t="shared" si="20"/>
        <v>0</v>
      </c>
      <c r="I36" s="252">
        <f t="shared" si="0"/>
        <v>0</v>
      </c>
      <c r="J36" s="250">
        <f t="shared" si="21"/>
        <v>-2.0999999999999999E-3</v>
      </c>
      <c r="K36" s="252">
        <f t="shared" si="1"/>
        <v>-3.5681878587303637E-3</v>
      </c>
      <c r="L36" s="251">
        <f t="shared" si="2"/>
        <v>2.0999999999999999E-3</v>
      </c>
      <c r="M36" s="252">
        <f t="shared" si="3"/>
        <v>-1</v>
      </c>
      <c r="N36" s="253">
        <f t="shared" si="4"/>
        <v>-1</v>
      </c>
      <c r="O36"/>
      <c r="P36" s="250">
        <v>0</v>
      </c>
      <c r="Q36" s="252">
        <f t="shared" si="5"/>
        <v>0</v>
      </c>
      <c r="R36" s="250">
        <v>0</v>
      </c>
      <c r="S36" s="252">
        <f t="shared" si="6"/>
        <v>0</v>
      </c>
      <c r="T36" s="251">
        <f t="shared" si="7"/>
        <v>0</v>
      </c>
      <c r="U36" s="252">
        <f t="shared" si="8"/>
        <v>0</v>
      </c>
      <c r="V36" s="253">
        <f t="shared" si="9"/>
        <v>0</v>
      </c>
      <c r="W36"/>
      <c r="X36" s="250">
        <v>0</v>
      </c>
      <c r="Y36" s="252">
        <f t="shared" si="10"/>
        <v>0</v>
      </c>
      <c r="Z36" s="250">
        <v>-2.0999999999999999E-3</v>
      </c>
      <c r="AA36" s="252">
        <f t="shared" si="11"/>
        <v>-3.5681878587303637E-3</v>
      </c>
      <c r="AB36" s="251">
        <f t="shared" si="12"/>
        <v>2.0999999999999999E-3</v>
      </c>
      <c r="AC36" s="252">
        <f t="shared" si="13"/>
        <v>-1</v>
      </c>
      <c r="AD36" s="253">
        <f t="shared" si="14"/>
        <v>-1</v>
      </c>
      <c r="AE36"/>
      <c r="AF36" s="250">
        <v>0</v>
      </c>
      <c r="AG36" s="252">
        <f t="shared" si="15"/>
        <v>0</v>
      </c>
      <c r="AH36" s="250">
        <v>0</v>
      </c>
      <c r="AI36" s="252">
        <f t="shared" si="16"/>
        <v>0</v>
      </c>
      <c r="AJ36" s="251">
        <f t="shared" si="17"/>
        <v>0</v>
      </c>
      <c r="AK36" s="252">
        <f t="shared" si="18"/>
        <v>0</v>
      </c>
      <c r="AL36" s="253">
        <f t="shared" si="19"/>
        <v>0</v>
      </c>
    </row>
    <row r="37" spans="2:38" hidden="1" outlineLevel="1" x14ac:dyDescent="0.35">
      <c r="B37" s="255" t="s">
        <v>268</v>
      </c>
      <c r="C37" s="255" t="s">
        <v>168</v>
      </c>
      <c r="D37"/>
      <c r="E37" s="250">
        <v>0.4333710400000011</v>
      </c>
      <c r="F37" s="250">
        <v>0.47847133755498839</v>
      </c>
      <c r="G37"/>
      <c r="H37" s="250">
        <f t="shared" si="20"/>
        <v>0</v>
      </c>
      <c r="I37" s="252">
        <f t="shared" si="0"/>
        <v>0</v>
      </c>
      <c r="J37" s="250">
        <f t="shared" si="21"/>
        <v>0</v>
      </c>
      <c r="K37" s="252">
        <f t="shared" si="1"/>
        <v>0</v>
      </c>
      <c r="L37" s="251">
        <f t="shared" si="2"/>
        <v>0</v>
      </c>
      <c r="M37" s="252">
        <f t="shared" si="3"/>
        <v>0</v>
      </c>
      <c r="N37" s="253">
        <f t="shared" si="4"/>
        <v>0</v>
      </c>
      <c r="O37"/>
      <c r="P37" s="250">
        <v>0</v>
      </c>
      <c r="Q37" s="252">
        <f t="shared" si="5"/>
        <v>0</v>
      </c>
      <c r="R37" s="250">
        <v>0</v>
      </c>
      <c r="S37" s="252">
        <f t="shared" si="6"/>
        <v>0</v>
      </c>
      <c r="T37" s="251">
        <f t="shared" si="7"/>
        <v>0</v>
      </c>
      <c r="U37" s="252">
        <f t="shared" si="8"/>
        <v>0</v>
      </c>
      <c r="V37" s="253">
        <f t="shared" si="9"/>
        <v>0</v>
      </c>
      <c r="W37"/>
      <c r="X37" s="250">
        <v>0</v>
      </c>
      <c r="Y37" s="252">
        <f t="shared" si="10"/>
        <v>0</v>
      </c>
      <c r="Z37" s="250">
        <v>0</v>
      </c>
      <c r="AA37" s="252">
        <f t="shared" si="11"/>
        <v>0</v>
      </c>
      <c r="AB37" s="251">
        <f t="shared" si="12"/>
        <v>0</v>
      </c>
      <c r="AC37" s="252">
        <f t="shared" si="13"/>
        <v>0</v>
      </c>
      <c r="AD37" s="253">
        <f t="shared" si="14"/>
        <v>0</v>
      </c>
      <c r="AE37"/>
      <c r="AF37" s="250">
        <v>0</v>
      </c>
      <c r="AG37" s="252">
        <f t="shared" si="15"/>
        <v>0</v>
      </c>
      <c r="AH37" s="250">
        <v>0</v>
      </c>
      <c r="AI37" s="252">
        <f t="shared" si="16"/>
        <v>0</v>
      </c>
      <c r="AJ37" s="251">
        <f t="shared" si="17"/>
        <v>0</v>
      </c>
      <c r="AK37" s="252">
        <f t="shared" si="18"/>
        <v>0</v>
      </c>
      <c r="AL37" s="253">
        <f t="shared" si="19"/>
        <v>0</v>
      </c>
    </row>
    <row r="38" spans="2:38" collapsed="1" x14ac:dyDescent="0.35">
      <c r="B38" s="239" t="s">
        <v>169</v>
      </c>
      <c r="C38" s="239" t="s">
        <v>170</v>
      </c>
      <c r="D38"/>
      <c r="E38" s="240">
        <f>SUM(E39)</f>
        <v>6.2427125341530125</v>
      </c>
      <c r="F38" s="240">
        <f>SUM(F39)</f>
        <v>6.2005573378078624</v>
      </c>
      <c r="G38"/>
      <c r="H38" s="240">
        <f>SUM(H39)</f>
        <v>-2.69115196</v>
      </c>
      <c r="I38" s="242">
        <f t="shared" si="0"/>
        <v>-0.43108695863810509</v>
      </c>
      <c r="J38" s="240">
        <f>SUM(J39)</f>
        <v>0</v>
      </c>
      <c r="K38" s="242">
        <f t="shared" si="1"/>
        <v>0</v>
      </c>
      <c r="L38" s="241">
        <f t="shared" si="2"/>
        <v>-2.69115196</v>
      </c>
      <c r="M38" s="242">
        <f t="shared" si="3"/>
        <v>0</v>
      </c>
      <c r="N38" s="243">
        <f t="shared" si="4"/>
        <v>0</v>
      </c>
      <c r="O38"/>
      <c r="P38" s="240">
        <f>SUM(P39)</f>
        <v>-2.69115196</v>
      </c>
      <c r="Q38" s="242">
        <f t="shared" si="5"/>
        <v>-0.43108695863810509</v>
      </c>
      <c r="R38" s="240">
        <f>SUM(R39)</f>
        <v>0</v>
      </c>
      <c r="S38" s="242">
        <f t="shared" si="6"/>
        <v>0</v>
      </c>
      <c r="T38" s="241">
        <f t="shared" si="7"/>
        <v>-2.69115196</v>
      </c>
      <c r="U38" s="242">
        <f t="shared" si="8"/>
        <v>0</v>
      </c>
      <c r="V38" s="243">
        <f t="shared" si="9"/>
        <v>0</v>
      </c>
      <c r="W38"/>
      <c r="X38" s="240">
        <f>SUM(X39)</f>
        <v>0</v>
      </c>
      <c r="Y38" s="242">
        <f t="shared" si="10"/>
        <v>0</v>
      </c>
      <c r="Z38" s="240">
        <f>SUM(Z39)</f>
        <v>0</v>
      </c>
      <c r="AA38" s="242">
        <f t="shared" si="11"/>
        <v>0</v>
      </c>
      <c r="AB38" s="241">
        <f t="shared" si="12"/>
        <v>0</v>
      </c>
      <c r="AC38" s="242">
        <f t="shared" si="13"/>
        <v>0</v>
      </c>
      <c r="AD38" s="243">
        <f t="shared" si="14"/>
        <v>0</v>
      </c>
      <c r="AE38"/>
      <c r="AF38" s="240">
        <f>SUM(AF39)</f>
        <v>0</v>
      </c>
      <c r="AG38" s="242">
        <f t="shared" si="15"/>
        <v>0</v>
      </c>
      <c r="AH38" s="240">
        <f>SUM(AH39)</f>
        <v>0</v>
      </c>
      <c r="AI38" s="242">
        <f t="shared" si="16"/>
        <v>0</v>
      </c>
      <c r="AJ38" s="241">
        <f t="shared" si="17"/>
        <v>0</v>
      </c>
      <c r="AK38" s="242">
        <f t="shared" si="18"/>
        <v>0</v>
      </c>
      <c r="AL38" s="243">
        <f t="shared" si="19"/>
        <v>0</v>
      </c>
    </row>
    <row r="39" spans="2:38" hidden="1" outlineLevel="1" x14ac:dyDescent="0.35">
      <c r="B39" s="255" t="s">
        <v>171</v>
      </c>
      <c r="C39" s="255" t="s">
        <v>172</v>
      </c>
      <c r="D39"/>
      <c r="E39" s="250">
        <v>6.2427125341530125</v>
      </c>
      <c r="F39" s="250">
        <v>6.2005573378078624</v>
      </c>
      <c r="G39"/>
      <c r="H39" s="250">
        <f t="shared" si="20"/>
        <v>-2.69115196</v>
      </c>
      <c r="I39" s="252">
        <f t="shared" si="0"/>
        <v>-0.43108695863810509</v>
      </c>
      <c r="J39" s="250">
        <f t="shared" si="21"/>
        <v>0</v>
      </c>
      <c r="K39" s="252">
        <f t="shared" si="1"/>
        <v>0</v>
      </c>
      <c r="L39" s="251">
        <f t="shared" si="2"/>
        <v>-2.69115196</v>
      </c>
      <c r="M39" s="252">
        <f t="shared" si="3"/>
        <v>0</v>
      </c>
      <c r="N39" s="253">
        <f t="shared" si="4"/>
        <v>0</v>
      </c>
      <c r="O39"/>
      <c r="P39" s="250">
        <v>-2.69115196</v>
      </c>
      <c r="Q39" s="252">
        <f t="shared" si="5"/>
        <v>-0.43108695863810509</v>
      </c>
      <c r="R39" s="250">
        <v>0</v>
      </c>
      <c r="S39" s="252">
        <f t="shared" si="6"/>
        <v>0</v>
      </c>
      <c r="T39" s="251">
        <f t="shared" si="7"/>
        <v>-2.69115196</v>
      </c>
      <c r="U39" s="252">
        <f t="shared" si="8"/>
        <v>0</v>
      </c>
      <c r="V39" s="253">
        <f t="shared" si="9"/>
        <v>0</v>
      </c>
      <c r="W39"/>
      <c r="X39" s="250">
        <v>0</v>
      </c>
      <c r="Y39" s="252">
        <f t="shared" si="10"/>
        <v>0</v>
      </c>
      <c r="Z39" s="250">
        <v>0</v>
      </c>
      <c r="AA39" s="252">
        <f t="shared" si="11"/>
        <v>0</v>
      </c>
      <c r="AB39" s="251">
        <f t="shared" si="12"/>
        <v>0</v>
      </c>
      <c r="AC39" s="252">
        <f t="shared" si="13"/>
        <v>0</v>
      </c>
      <c r="AD39" s="253">
        <f t="shared" si="14"/>
        <v>0</v>
      </c>
      <c r="AE39"/>
      <c r="AF39" s="250">
        <v>0</v>
      </c>
      <c r="AG39" s="252">
        <f t="shared" si="15"/>
        <v>0</v>
      </c>
      <c r="AH39" s="250">
        <v>0</v>
      </c>
      <c r="AI39" s="252">
        <f t="shared" si="16"/>
        <v>0</v>
      </c>
      <c r="AJ39" s="251">
        <f t="shared" si="17"/>
        <v>0</v>
      </c>
      <c r="AK39" s="252">
        <f t="shared" si="18"/>
        <v>0</v>
      </c>
      <c r="AL39" s="253">
        <f t="shared" si="19"/>
        <v>0</v>
      </c>
    </row>
    <row r="40" spans="2:38" collapsed="1" x14ac:dyDescent="0.35">
      <c r="B40" s="239" t="s">
        <v>173</v>
      </c>
      <c r="C40" s="239" t="s">
        <v>174</v>
      </c>
      <c r="D40"/>
      <c r="E40" s="240">
        <f>SUM(E41:E42)</f>
        <v>14.129920721436594</v>
      </c>
      <c r="F40" s="240">
        <f>SUM(F41:F42)</f>
        <v>15.366100167432833</v>
      </c>
      <c r="G40"/>
      <c r="H40" s="240">
        <f>SUM(H41:H42)</f>
        <v>-0.43314272372000001</v>
      </c>
      <c r="I40" s="242">
        <f t="shared" si="0"/>
        <v>-3.06542925653416E-2</v>
      </c>
      <c r="J40" s="240">
        <f>SUM(J41:J42)</f>
        <v>-0.30952914184626373</v>
      </c>
      <c r="K40" s="242">
        <f t="shared" si="1"/>
        <v>-2.0143636867751578E-2</v>
      </c>
      <c r="L40" s="241">
        <f t="shared" si="2"/>
        <v>-0.12361358187373628</v>
      </c>
      <c r="M40" s="242">
        <f t="shared" si="3"/>
        <v>0.399360076845793</v>
      </c>
      <c r="N40" s="243">
        <f t="shared" si="4"/>
        <v>0.399360076845793</v>
      </c>
      <c r="O40"/>
      <c r="P40" s="240">
        <f>SUM(P41:P42)</f>
        <v>-0.29257612372000003</v>
      </c>
      <c r="Q40" s="242">
        <f t="shared" si="5"/>
        <v>-2.0706140500571308E-2</v>
      </c>
      <c r="R40" s="240">
        <f>SUM(R41:R42)</f>
        <v>0</v>
      </c>
      <c r="S40" s="242">
        <f t="shared" si="6"/>
        <v>0</v>
      </c>
      <c r="T40" s="241">
        <f t="shared" si="7"/>
        <v>-0.29257612372000003</v>
      </c>
      <c r="U40" s="242">
        <f t="shared" si="8"/>
        <v>0</v>
      </c>
      <c r="V40" s="243">
        <f t="shared" si="9"/>
        <v>0</v>
      </c>
      <c r="W40"/>
      <c r="X40" s="240">
        <f>SUM(X41:X42)</f>
        <v>-0.14056660000000001</v>
      </c>
      <c r="Y40" s="242">
        <f t="shared" si="10"/>
        <v>-9.9481520647702933E-3</v>
      </c>
      <c r="Z40" s="240">
        <f>SUM(Z41:Z42)</f>
        <v>-0.30952914184626373</v>
      </c>
      <c r="AA40" s="242">
        <f t="shared" si="11"/>
        <v>-2.0143636867751578E-2</v>
      </c>
      <c r="AB40" s="241">
        <f t="shared" si="12"/>
        <v>0.16896254184626372</v>
      </c>
      <c r="AC40" s="242">
        <f t="shared" si="13"/>
        <v>-0.54586957737951436</v>
      </c>
      <c r="AD40" s="243">
        <f t="shared" si="14"/>
        <v>-0.54586957737951436</v>
      </c>
      <c r="AE40"/>
      <c r="AF40" s="240">
        <f>SUM(AF41:AF42)</f>
        <v>0</v>
      </c>
      <c r="AG40" s="242">
        <f t="shared" si="15"/>
        <v>0</v>
      </c>
      <c r="AH40" s="240">
        <f>SUM(AH41:AH42)</f>
        <v>0</v>
      </c>
      <c r="AI40" s="242">
        <f t="shared" si="16"/>
        <v>0</v>
      </c>
      <c r="AJ40" s="241">
        <f t="shared" si="17"/>
        <v>0</v>
      </c>
      <c r="AK40" s="242">
        <f t="shared" si="18"/>
        <v>0</v>
      </c>
      <c r="AL40" s="243">
        <f t="shared" si="19"/>
        <v>0</v>
      </c>
    </row>
    <row r="41" spans="2:38" hidden="1" outlineLevel="1" x14ac:dyDescent="0.35">
      <c r="B41" s="255" t="s">
        <v>175</v>
      </c>
      <c r="C41" s="255" t="s">
        <v>176</v>
      </c>
      <c r="D41"/>
      <c r="E41" s="250">
        <v>14.129920721436594</v>
      </c>
      <c r="F41" s="250">
        <v>15.366100167432833</v>
      </c>
      <c r="G41"/>
      <c r="H41" s="250">
        <f>SUM(P41,X41,AF41)</f>
        <v>-0.1398066</v>
      </c>
      <c r="I41" s="252">
        <f>IFERROR(H41/$E41,0)</f>
        <v>-9.894365492645581E-3</v>
      </c>
      <c r="J41" s="250">
        <f>SUM(R41,Z41,AH41)</f>
        <v>-0.30952914184626373</v>
      </c>
      <c r="K41" s="252">
        <f>IFERROR(J41/$F41,0)</f>
        <v>-2.0143636867751578E-2</v>
      </c>
      <c r="L41" s="251">
        <f>$H41-J41</f>
        <v>0.16972254184626373</v>
      </c>
      <c r="M41" s="252">
        <f>IFERROR($H41/J41-1,0)</f>
        <v>-0.54832491969548114</v>
      </c>
      <c r="N41" s="253">
        <f>M41</f>
        <v>-0.54832491969548114</v>
      </c>
      <c r="O41"/>
      <c r="P41" s="250">
        <v>7.6000000000000774E-4</v>
      </c>
      <c r="Q41" s="252">
        <f>IFERROR(P41/$E41,0)</f>
        <v>5.3786572124711698E-5</v>
      </c>
      <c r="R41" s="250">
        <v>0</v>
      </c>
      <c r="S41" s="252">
        <f>IFERROR(R41/$F41,0)</f>
        <v>0</v>
      </c>
      <c r="T41" s="251">
        <f>$P41-R41</f>
        <v>7.6000000000000774E-4</v>
      </c>
      <c r="U41" s="252">
        <f>IFERROR($P41/R41-1,0)</f>
        <v>0</v>
      </c>
      <c r="V41" s="253">
        <f>U41</f>
        <v>0</v>
      </c>
      <c r="W41"/>
      <c r="X41" s="250">
        <v>-0.14056660000000001</v>
      </c>
      <c r="Y41" s="252">
        <f>IFERROR(X41/$E41,0)</f>
        <v>-9.9481520647702933E-3</v>
      </c>
      <c r="Z41" s="250">
        <v>-0.30952914184626373</v>
      </c>
      <c r="AA41" s="252">
        <f>IFERROR(Z41/$F41,0)</f>
        <v>-2.0143636867751578E-2</v>
      </c>
      <c r="AB41" s="251">
        <f>X41-Z41</f>
        <v>0.16896254184626372</v>
      </c>
      <c r="AC41" s="252">
        <f>IFERROR(X41/Z41-1,0)</f>
        <v>-0.54586957737951436</v>
      </c>
      <c r="AD41" s="253">
        <f>AC41</f>
        <v>-0.54586957737951436</v>
      </c>
      <c r="AE41"/>
      <c r="AF41" s="250">
        <v>0</v>
      </c>
      <c r="AG41" s="252">
        <f>IFERROR(AF41/$E41,0)</f>
        <v>0</v>
      </c>
      <c r="AH41" s="250">
        <v>0</v>
      </c>
      <c r="AI41" s="252">
        <f>IFERROR(AH41/$F41,0)</f>
        <v>0</v>
      </c>
      <c r="AJ41" s="251">
        <f>AF41-AH41</f>
        <v>0</v>
      </c>
      <c r="AK41" s="252">
        <f>IFERROR(AF41/AH41-1,0)</f>
        <v>0</v>
      </c>
      <c r="AL41" s="253">
        <f>AK41</f>
        <v>0</v>
      </c>
    </row>
    <row r="42" spans="2:38" hidden="1" outlineLevel="1" x14ac:dyDescent="0.35">
      <c r="B42" s="255" t="s">
        <v>177</v>
      </c>
      <c r="C42" s="255" t="s">
        <v>178</v>
      </c>
      <c r="D42"/>
      <c r="E42" s="250">
        <v>0</v>
      </c>
      <c r="F42" s="250">
        <v>0</v>
      </c>
      <c r="G42"/>
      <c r="H42" s="250">
        <f t="shared" si="20"/>
        <v>-0.29333612372000001</v>
      </c>
      <c r="I42" s="252">
        <f t="shared" si="0"/>
        <v>0</v>
      </c>
      <c r="J42" s="250">
        <f t="shared" si="21"/>
        <v>0</v>
      </c>
      <c r="K42" s="252">
        <f t="shared" si="1"/>
        <v>0</v>
      </c>
      <c r="L42" s="251">
        <f t="shared" si="2"/>
        <v>-0.29333612372000001</v>
      </c>
      <c r="M42" s="252">
        <f t="shared" si="3"/>
        <v>0</v>
      </c>
      <c r="N42" s="253">
        <f t="shared" si="4"/>
        <v>0</v>
      </c>
      <c r="O42"/>
      <c r="P42" s="250">
        <v>-0.29333612372000001</v>
      </c>
      <c r="Q42" s="252">
        <f t="shared" si="5"/>
        <v>0</v>
      </c>
      <c r="R42" s="250">
        <v>0</v>
      </c>
      <c r="S42" s="252">
        <f t="shared" si="6"/>
        <v>0</v>
      </c>
      <c r="T42" s="251">
        <f t="shared" si="7"/>
        <v>-0.29333612372000001</v>
      </c>
      <c r="U42" s="252">
        <f t="shared" si="8"/>
        <v>0</v>
      </c>
      <c r="V42" s="253">
        <f t="shared" si="9"/>
        <v>0</v>
      </c>
      <c r="W42"/>
      <c r="X42" s="250">
        <v>0</v>
      </c>
      <c r="Y42" s="252">
        <f t="shared" si="10"/>
        <v>0</v>
      </c>
      <c r="Z42" s="250">
        <v>0</v>
      </c>
      <c r="AA42" s="252">
        <f t="shared" si="11"/>
        <v>0</v>
      </c>
      <c r="AB42" s="251">
        <f t="shared" si="12"/>
        <v>0</v>
      </c>
      <c r="AC42" s="252">
        <f t="shared" si="13"/>
        <v>0</v>
      </c>
      <c r="AD42" s="253">
        <f t="shared" si="14"/>
        <v>0</v>
      </c>
      <c r="AE42"/>
      <c r="AF42" s="250">
        <v>0</v>
      </c>
      <c r="AG42" s="252">
        <f t="shared" si="15"/>
        <v>0</v>
      </c>
      <c r="AH42" s="250">
        <v>0</v>
      </c>
      <c r="AI42" s="252">
        <f t="shared" si="16"/>
        <v>0</v>
      </c>
      <c r="AJ42" s="251">
        <f t="shared" si="17"/>
        <v>0</v>
      </c>
      <c r="AK42" s="252">
        <f t="shared" si="18"/>
        <v>0</v>
      </c>
      <c r="AL42" s="253">
        <f t="shared" si="19"/>
        <v>0</v>
      </c>
    </row>
    <row r="43" spans="2:38" collapsed="1" x14ac:dyDescent="0.35">
      <c r="B43" s="239" t="s">
        <v>179</v>
      </c>
      <c r="C43" s="239" t="s">
        <v>180</v>
      </c>
      <c r="D43"/>
      <c r="E43" s="240">
        <v>8.8630710000000001E-2</v>
      </c>
      <c r="F43" s="240">
        <v>9.5371031685432678E-2</v>
      </c>
      <c r="G43"/>
      <c r="H43" s="240">
        <f t="shared" si="20"/>
        <v>0</v>
      </c>
      <c r="I43" s="242">
        <f t="shared" si="0"/>
        <v>0</v>
      </c>
      <c r="J43" s="240">
        <f t="shared" si="21"/>
        <v>0</v>
      </c>
      <c r="K43" s="242">
        <f t="shared" si="1"/>
        <v>0</v>
      </c>
      <c r="L43" s="241">
        <f t="shared" si="2"/>
        <v>0</v>
      </c>
      <c r="M43" s="242">
        <f t="shared" si="3"/>
        <v>0</v>
      </c>
      <c r="N43" s="243">
        <f t="shared" si="4"/>
        <v>0</v>
      </c>
      <c r="O43"/>
      <c r="P43" s="240">
        <v>0</v>
      </c>
      <c r="Q43" s="242">
        <f t="shared" si="5"/>
        <v>0</v>
      </c>
      <c r="R43" s="240">
        <v>0</v>
      </c>
      <c r="S43" s="242">
        <f t="shared" si="6"/>
        <v>0</v>
      </c>
      <c r="T43" s="241">
        <f t="shared" si="7"/>
        <v>0</v>
      </c>
      <c r="U43" s="242">
        <f t="shared" si="8"/>
        <v>0</v>
      </c>
      <c r="V43" s="243">
        <f t="shared" si="9"/>
        <v>0</v>
      </c>
      <c r="W43"/>
      <c r="X43" s="240">
        <v>0</v>
      </c>
      <c r="Y43" s="242">
        <f t="shared" si="10"/>
        <v>0</v>
      </c>
      <c r="Z43" s="240">
        <v>0</v>
      </c>
      <c r="AA43" s="242">
        <f t="shared" si="11"/>
        <v>0</v>
      </c>
      <c r="AB43" s="241">
        <f t="shared" si="12"/>
        <v>0</v>
      </c>
      <c r="AC43" s="242">
        <f t="shared" si="13"/>
        <v>0</v>
      </c>
      <c r="AD43" s="243">
        <f t="shared" si="14"/>
        <v>0</v>
      </c>
      <c r="AE43"/>
      <c r="AF43" s="240">
        <v>0</v>
      </c>
      <c r="AG43" s="242">
        <f t="shared" si="15"/>
        <v>0</v>
      </c>
      <c r="AH43" s="240">
        <v>0</v>
      </c>
      <c r="AI43" s="242">
        <f t="shared" si="16"/>
        <v>0</v>
      </c>
      <c r="AJ43" s="241">
        <f t="shared" si="17"/>
        <v>0</v>
      </c>
      <c r="AK43" s="242">
        <f t="shared" si="18"/>
        <v>0</v>
      </c>
      <c r="AL43" s="243">
        <f t="shared" si="19"/>
        <v>0</v>
      </c>
    </row>
    <row r="44" spans="2:38" outlineLevel="1" x14ac:dyDescent="0.35">
      <c r="B44" s="255" t="s">
        <v>183</v>
      </c>
      <c r="C44" s="255" t="s">
        <v>184</v>
      </c>
      <c r="D44"/>
      <c r="E44" s="250">
        <v>0</v>
      </c>
      <c r="F44" s="250">
        <v>0</v>
      </c>
      <c r="G44"/>
      <c r="H44" s="250">
        <f t="shared" si="20"/>
        <v>0</v>
      </c>
      <c r="I44" s="252">
        <f t="shared" si="0"/>
        <v>0</v>
      </c>
      <c r="J44" s="250">
        <f t="shared" si="21"/>
        <v>0</v>
      </c>
      <c r="K44" s="252">
        <f t="shared" si="1"/>
        <v>0</v>
      </c>
      <c r="L44" s="251">
        <f t="shared" si="2"/>
        <v>0</v>
      </c>
      <c r="M44" s="252">
        <f t="shared" si="3"/>
        <v>0</v>
      </c>
      <c r="N44" s="253">
        <f t="shared" si="4"/>
        <v>0</v>
      </c>
      <c r="O44"/>
      <c r="P44" s="250">
        <v>0</v>
      </c>
      <c r="Q44" s="252">
        <f t="shared" si="5"/>
        <v>0</v>
      </c>
      <c r="R44" s="250">
        <v>0</v>
      </c>
      <c r="S44" s="252">
        <f t="shared" si="6"/>
        <v>0</v>
      </c>
      <c r="T44" s="251">
        <f t="shared" si="7"/>
        <v>0</v>
      </c>
      <c r="U44" s="252">
        <f t="shared" si="8"/>
        <v>0</v>
      </c>
      <c r="V44" s="253">
        <f t="shared" si="9"/>
        <v>0</v>
      </c>
      <c r="W44"/>
      <c r="X44" s="250">
        <v>0</v>
      </c>
      <c r="Y44" s="252">
        <f t="shared" si="10"/>
        <v>0</v>
      </c>
      <c r="Z44" s="250">
        <v>0</v>
      </c>
      <c r="AA44" s="252">
        <f t="shared" si="11"/>
        <v>0</v>
      </c>
      <c r="AB44" s="251">
        <f t="shared" si="12"/>
        <v>0</v>
      </c>
      <c r="AC44" s="252">
        <f t="shared" si="13"/>
        <v>0</v>
      </c>
      <c r="AD44" s="253">
        <f t="shared" si="14"/>
        <v>0</v>
      </c>
      <c r="AE44"/>
      <c r="AF44" s="250">
        <v>0</v>
      </c>
      <c r="AG44" s="252">
        <f t="shared" si="15"/>
        <v>0</v>
      </c>
      <c r="AH44" s="250">
        <v>0</v>
      </c>
      <c r="AI44" s="252">
        <f t="shared" si="16"/>
        <v>0</v>
      </c>
      <c r="AJ44" s="251">
        <f t="shared" si="17"/>
        <v>0</v>
      </c>
      <c r="AK44" s="252">
        <f t="shared" si="18"/>
        <v>0</v>
      </c>
      <c r="AL44" s="253">
        <f t="shared" si="19"/>
        <v>0</v>
      </c>
    </row>
    <row r="45" spans="2:38" outlineLevel="1" x14ac:dyDescent="0.35">
      <c r="B45" s="255" t="s">
        <v>185</v>
      </c>
      <c r="C45" s="255" t="s">
        <v>186</v>
      </c>
      <c r="D45"/>
      <c r="E45" s="250">
        <v>0</v>
      </c>
      <c r="F45" s="250">
        <v>0</v>
      </c>
      <c r="G45"/>
      <c r="H45" s="250">
        <f t="shared" si="20"/>
        <v>0</v>
      </c>
      <c r="I45" s="252">
        <f t="shared" si="0"/>
        <v>0</v>
      </c>
      <c r="J45" s="250">
        <f t="shared" si="21"/>
        <v>0</v>
      </c>
      <c r="K45" s="252">
        <f t="shared" si="1"/>
        <v>0</v>
      </c>
      <c r="L45" s="251">
        <f t="shared" si="2"/>
        <v>0</v>
      </c>
      <c r="M45" s="252">
        <f t="shared" si="3"/>
        <v>0</v>
      </c>
      <c r="N45" s="253">
        <f t="shared" si="4"/>
        <v>0</v>
      </c>
      <c r="O45"/>
      <c r="P45" s="250">
        <v>0</v>
      </c>
      <c r="Q45" s="252">
        <f t="shared" si="5"/>
        <v>0</v>
      </c>
      <c r="R45" s="250">
        <v>0</v>
      </c>
      <c r="S45" s="252">
        <f t="shared" si="6"/>
        <v>0</v>
      </c>
      <c r="T45" s="251">
        <f t="shared" si="7"/>
        <v>0</v>
      </c>
      <c r="U45" s="252">
        <f t="shared" si="8"/>
        <v>0</v>
      </c>
      <c r="V45" s="253">
        <f t="shared" si="9"/>
        <v>0</v>
      </c>
      <c r="W45"/>
      <c r="X45" s="250">
        <v>0</v>
      </c>
      <c r="Y45" s="252">
        <f t="shared" si="10"/>
        <v>0</v>
      </c>
      <c r="Z45" s="250">
        <v>0</v>
      </c>
      <c r="AA45" s="252">
        <f t="shared" si="11"/>
        <v>0</v>
      </c>
      <c r="AB45" s="251">
        <f t="shared" si="12"/>
        <v>0</v>
      </c>
      <c r="AC45" s="252">
        <f t="shared" si="13"/>
        <v>0</v>
      </c>
      <c r="AD45" s="253">
        <f t="shared" si="14"/>
        <v>0</v>
      </c>
      <c r="AE45"/>
      <c r="AF45" s="250">
        <v>0</v>
      </c>
      <c r="AG45" s="252">
        <f t="shared" si="15"/>
        <v>0</v>
      </c>
      <c r="AH45" s="250">
        <v>0</v>
      </c>
      <c r="AI45" s="252">
        <f t="shared" si="16"/>
        <v>0</v>
      </c>
      <c r="AJ45" s="251">
        <f t="shared" si="17"/>
        <v>0</v>
      </c>
      <c r="AK45" s="252">
        <f t="shared" si="18"/>
        <v>0</v>
      </c>
      <c r="AL45" s="253">
        <f t="shared" si="19"/>
        <v>0</v>
      </c>
    </row>
    <row r="46" spans="2:38" outlineLevel="1" x14ac:dyDescent="0.35">
      <c r="B46" s="255" t="s">
        <v>187</v>
      </c>
      <c r="C46" s="255" t="s">
        <v>188</v>
      </c>
      <c r="D46"/>
      <c r="E46" s="250">
        <v>0</v>
      </c>
      <c r="F46" s="250">
        <v>0</v>
      </c>
      <c r="G46"/>
      <c r="H46" s="250">
        <f t="shared" si="20"/>
        <v>0</v>
      </c>
      <c r="I46" s="252">
        <f t="shared" si="0"/>
        <v>0</v>
      </c>
      <c r="J46" s="250">
        <f t="shared" si="21"/>
        <v>0</v>
      </c>
      <c r="K46" s="252">
        <f t="shared" si="1"/>
        <v>0</v>
      </c>
      <c r="L46" s="251">
        <f t="shared" si="2"/>
        <v>0</v>
      </c>
      <c r="M46" s="252">
        <f t="shared" si="3"/>
        <v>0</v>
      </c>
      <c r="N46" s="253">
        <f t="shared" si="4"/>
        <v>0</v>
      </c>
      <c r="O46"/>
      <c r="P46" s="250">
        <v>0</v>
      </c>
      <c r="Q46" s="252">
        <f t="shared" si="5"/>
        <v>0</v>
      </c>
      <c r="R46" s="250">
        <v>0</v>
      </c>
      <c r="S46" s="252">
        <f t="shared" si="6"/>
        <v>0</v>
      </c>
      <c r="T46" s="251">
        <f t="shared" si="7"/>
        <v>0</v>
      </c>
      <c r="U46" s="252">
        <f t="shared" si="8"/>
        <v>0</v>
      </c>
      <c r="V46" s="253">
        <f t="shared" si="9"/>
        <v>0</v>
      </c>
      <c r="W46"/>
      <c r="X46" s="250">
        <v>0</v>
      </c>
      <c r="Y46" s="252">
        <f t="shared" si="10"/>
        <v>0</v>
      </c>
      <c r="Z46" s="250">
        <v>0</v>
      </c>
      <c r="AA46" s="252">
        <f t="shared" si="11"/>
        <v>0</v>
      </c>
      <c r="AB46" s="251">
        <f t="shared" si="12"/>
        <v>0</v>
      </c>
      <c r="AC46" s="252">
        <f t="shared" si="13"/>
        <v>0</v>
      </c>
      <c r="AD46" s="253">
        <f t="shared" si="14"/>
        <v>0</v>
      </c>
      <c r="AE46"/>
      <c r="AF46" s="250">
        <v>0</v>
      </c>
      <c r="AG46" s="252">
        <f t="shared" si="15"/>
        <v>0</v>
      </c>
      <c r="AH46" s="250">
        <v>0</v>
      </c>
      <c r="AI46" s="252">
        <f t="shared" si="16"/>
        <v>0</v>
      </c>
      <c r="AJ46" s="251">
        <f t="shared" si="17"/>
        <v>0</v>
      </c>
      <c r="AK46" s="252">
        <f t="shared" si="18"/>
        <v>0</v>
      </c>
      <c r="AL46" s="253">
        <f t="shared" si="19"/>
        <v>0</v>
      </c>
    </row>
    <row r="47" spans="2:38" ht="7.5" customHeight="1" x14ac:dyDescent="0.35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</row>
    <row r="48" spans="2:38" x14ac:dyDescent="0.35">
      <c r="B48" s="234">
        <v>2</v>
      </c>
      <c r="C48" s="234" t="s">
        <v>189</v>
      </c>
      <c r="D48"/>
      <c r="E48" s="235">
        <f>SUM(E77,E74,E56,E49,E80,E73)</f>
        <v>62.074587294368975</v>
      </c>
      <c r="F48" s="235">
        <f>SUM(F77,F74,F56,F49,F80,F73)</f>
        <v>61.824648649824283</v>
      </c>
      <c r="G48"/>
      <c r="H48" s="235">
        <f>SUM(H77,H74,H56,H49,H80,H73)</f>
        <v>-1.5694640862800002</v>
      </c>
      <c r="I48" s="237">
        <f t="shared" si="0"/>
        <v>-2.5283520272753747E-2</v>
      </c>
      <c r="J48" s="235">
        <f>SUM(J77,J74,J56,J49,J80,J73)</f>
        <v>-6.246728219696969E-2</v>
      </c>
      <c r="K48" s="237">
        <f t="shared" si="1"/>
        <v>-1.010394455305121E-3</v>
      </c>
      <c r="L48" s="236">
        <f t="shared" si="2"/>
        <v>-1.5069968040830306</v>
      </c>
      <c r="M48" s="237">
        <f t="shared" si="3"/>
        <v>24.124577716239038</v>
      </c>
      <c r="N48" s="238">
        <f t="shared" si="4"/>
        <v>24.124577716239038</v>
      </c>
      <c r="O48"/>
      <c r="P48" s="235">
        <f>SUM(P77,P74,P56,P49,P80,P73)</f>
        <v>-1.5995012362800001</v>
      </c>
      <c r="Q48" s="237">
        <f t="shared" si="5"/>
        <v>-2.5767408306637214E-2</v>
      </c>
      <c r="R48" s="235">
        <f>SUM(R77,R74,R56,R49,R80,R73)</f>
        <v>-5.0000000000000001E-4</v>
      </c>
      <c r="S48" s="237">
        <f t="shared" si="6"/>
        <v>-8.0873892681866635E-6</v>
      </c>
      <c r="T48" s="236">
        <f t="shared" si="7"/>
        <v>-1.5990012362800001</v>
      </c>
      <c r="U48" s="237">
        <f t="shared" si="8"/>
        <v>3198.0024725600001</v>
      </c>
      <c r="V48" s="238">
        <f t="shared" si="9"/>
        <v>3198.0024725600001</v>
      </c>
      <c r="W48"/>
      <c r="X48" s="235">
        <f>SUM(X77,X74,X56,X49,X80,X73)</f>
        <v>2.244107E-2</v>
      </c>
      <c r="Y48" s="237">
        <f t="shared" si="10"/>
        <v>3.6151782844049156E-4</v>
      </c>
      <c r="Z48" s="235">
        <f>SUM(Z77,Z74,Z56,Z49,Z80,Z73)</f>
        <v>-3.5300615530303024E-2</v>
      </c>
      <c r="AA48" s="237">
        <f t="shared" si="11"/>
        <v>-5.7097963840031232E-4</v>
      </c>
      <c r="AB48" s="236">
        <f t="shared" si="12"/>
        <v>5.7741685530303025E-2</v>
      </c>
      <c r="AC48" s="237">
        <f t="shared" si="13"/>
        <v>-1.6357132775981191</v>
      </c>
      <c r="AD48" s="238">
        <f t="shared" si="14"/>
        <v>-1.6357132775981191</v>
      </c>
      <c r="AE48"/>
      <c r="AF48" s="235">
        <f>SUM(AF77,AF74,AF56,AF49,AF80,AF73)</f>
        <v>7.5960799999999816E-3</v>
      </c>
      <c r="AG48" s="237">
        <f t="shared" si="15"/>
        <v>1.2237020544297766E-4</v>
      </c>
      <c r="AH48" s="235">
        <f>SUM(AH77,AH74,AH56,AH49,AH80,AH73)</f>
        <v>-2.6666666666666668E-2</v>
      </c>
      <c r="AI48" s="237">
        <f t="shared" si="16"/>
        <v>-4.3132742763662209E-4</v>
      </c>
      <c r="AJ48" s="236">
        <f t="shared" si="17"/>
        <v>3.4262746666666649E-2</v>
      </c>
      <c r="AK48" s="237">
        <f t="shared" si="18"/>
        <v>-1.2848529999999994</v>
      </c>
      <c r="AL48" s="238">
        <f t="shared" si="19"/>
        <v>-1.2848529999999994</v>
      </c>
    </row>
    <row r="49" spans="2:38" x14ac:dyDescent="0.35">
      <c r="B49" s="239" t="s">
        <v>190</v>
      </c>
      <c r="C49" s="239" t="s">
        <v>191</v>
      </c>
      <c r="D49"/>
      <c r="E49" s="240">
        <f>SUM(E50:E55)</f>
        <v>38.924436779597265</v>
      </c>
      <c r="F49" s="240">
        <f>SUM(F50:F55)</f>
        <v>36.325094843291751</v>
      </c>
      <c r="G49"/>
      <c r="H49" s="240">
        <f>SUM(H50:H55)</f>
        <v>-0.42129800628000003</v>
      </c>
      <c r="I49" s="242">
        <f t="shared" si="0"/>
        <v>-1.0823483681100523E-2</v>
      </c>
      <c r="J49" s="240">
        <f>SUM(J50:J55)</f>
        <v>-6.246728219696969E-2</v>
      </c>
      <c r="K49" s="242">
        <f t="shared" si="1"/>
        <v>-1.7196729276676805E-3</v>
      </c>
      <c r="L49" s="241">
        <f t="shared" si="2"/>
        <v>-0.35883072408303035</v>
      </c>
      <c r="M49" s="242">
        <f t="shared" si="3"/>
        <v>5.7442986386309816</v>
      </c>
      <c r="N49" s="243">
        <f t="shared" si="4"/>
        <v>5.7442986386309816</v>
      </c>
      <c r="O49"/>
      <c r="P49" s="240">
        <f>SUM(P50:P55)</f>
        <v>-0.42129800628000003</v>
      </c>
      <c r="Q49" s="242">
        <f t="shared" si="5"/>
        <v>-1.0823483681100523E-2</v>
      </c>
      <c r="R49" s="240">
        <f>SUM(R50:R55)</f>
        <v>-5.0000000000000001E-4</v>
      </c>
      <c r="S49" s="242">
        <f t="shared" si="6"/>
        <v>-1.3764588975115541E-5</v>
      </c>
      <c r="T49" s="241">
        <f t="shared" si="7"/>
        <v>-0.42079800628000003</v>
      </c>
      <c r="U49" s="242">
        <f t="shared" si="8"/>
        <v>841.59601256000008</v>
      </c>
      <c r="V49" s="243">
        <f t="shared" si="9"/>
        <v>841.59601256000008</v>
      </c>
      <c r="W49"/>
      <c r="X49" s="240">
        <f>SUM(X50:X55)</f>
        <v>0</v>
      </c>
      <c r="Y49" s="242">
        <f t="shared" si="10"/>
        <v>0</v>
      </c>
      <c r="Z49" s="240">
        <f>SUM(Z50:Z55)</f>
        <v>-3.5300615530303024E-2</v>
      </c>
      <c r="AA49" s="242">
        <f t="shared" si="11"/>
        <v>-9.7179692668640288E-4</v>
      </c>
      <c r="AB49" s="241">
        <f t="shared" si="12"/>
        <v>3.5300615530303024E-2</v>
      </c>
      <c r="AC49" s="242">
        <f t="shared" si="13"/>
        <v>-1</v>
      </c>
      <c r="AD49" s="243">
        <f t="shared" si="14"/>
        <v>-1</v>
      </c>
      <c r="AE49"/>
      <c r="AF49" s="240">
        <f>SUM(AF50:AF55)</f>
        <v>0</v>
      </c>
      <c r="AG49" s="242">
        <f t="shared" si="15"/>
        <v>0</v>
      </c>
      <c r="AH49" s="240">
        <f>SUM(AH50:AH55)</f>
        <v>-2.6666666666666668E-2</v>
      </c>
      <c r="AI49" s="242">
        <f t="shared" si="16"/>
        <v>-7.3411141200616222E-4</v>
      </c>
      <c r="AJ49" s="241">
        <f t="shared" si="17"/>
        <v>2.6666666666666668E-2</v>
      </c>
      <c r="AK49" s="242">
        <f t="shared" si="18"/>
        <v>-1</v>
      </c>
      <c r="AL49" s="243">
        <f t="shared" si="19"/>
        <v>-1</v>
      </c>
    </row>
    <row r="50" spans="2:38" hidden="1" outlineLevel="1" x14ac:dyDescent="0.35">
      <c r="B50" s="255" t="s">
        <v>192</v>
      </c>
      <c r="C50" s="255" t="s">
        <v>193</v>
      </c>
      <c r="D50"/>
      <c r="E50" s="250">
        <v>14.867615946748188</v>
      </c>
      <c r="F50" s="250">
        <v>15.215691633150636</v>
      </c>
      <c r="G50"/>
      <c r="H50" s="250">
        <f t="shared" ref="H50:H55" si="22">SUM(P50,X50,AF50)</f>
        <v>-0.16629959938000002</v>
      </c>
      <c r="I50" s="252">
        <f t="shared" si="0"/>
        <v>-1.1185357489434795E-2</v>
      </c>
      <c r="J50" s="250">
        <f t="shared" ref="J50:J55" si="23">SUM(R50,Z50,AH50)</f>
        <v>-5.0000000000000001E-4</v>
      </c>
      <c r="K50" s="252">
        <f t="shared" si="1"/>
        <v>-3.2860813169389104E-5</v>
      </c>
      <c r="L50" s="251">
        <f t="shared" si="2"/>
        <v>-0.16579959938000002</v>
      </c>
      <c r="M50" s="252">
        <f t="shared" si="3"/>
        <v>331.59919876000004</v>
      </c>
      <c r="N50" s="253">
        <f t="shared" si="4"/>
        <v>331.59919876000004</v>
      </c>
      <c r="O50"/>
      <c r="P50" s="250">
        <v>-0.16629959938000002</v>
      </c>
      <c r="Q50" s="252">
        <f t="shared" si="5"/>
        <v>-1.1185357489434795E-2</v>
      </c>
      <c r="R50" s="250">
        <v>-5.0000000000000001E-4</v>
      </c>
      <c r="S50" s="252">
        <f t="shared" si="6"/>
        <v>-3.2860813169389104E-5</v>
      </c>
      <c r="T50" s="251">
        <f t="shared" si="7"/>
        <v>-0.16579959938000002</v>
      </c>
      <c r="U50" s="252">
        <f t="shared" si="8"/>
        <v>331.59919876000004</v>
      </c>
      <c r="V50" s="253">
        <f t="shared" si="9"/>
        <v>331.59919876000004</v>
      </c>
      <c r="W50"/>
      <c r="X50" s="250">
        <v>0</v>
      </c>
      <c r="Y50" s="252">
        <f t="shared" si="10"/>
        <v>0</v>
      </c>
      <c r="Z50" s="250">
        <v>0</v>
      </c>
      <c r="AA50" s="252">
        <f t="shared" si="11"/>
        <v>0</v>
      </c>
      <c r="AB50" s="251">
        <f t="shared" si="12"/>
        <v>0</v>
      </c>
      <c r="AC50" s="252">
        <f t="shared" si="13"/>
        <v>0</v>
      </c>
      <c r="AD50" s="253">
        <f t="shared" si="14"/>
        <v>0</v>
      </c>
      <c r="AE50"/>
      <c r="AF50" s="250">
        <v>0</v>
      </c>
      <c r="AG50" s="252">
        <f t="shared" si="15"/>
        <v>0</v>
      </c>
      <c r="AH50" s="250">
        <v>0</v>
      </c>
      <c r="AI50" s="252">
        <f t="shared" si="16"/>
        <v>0</v>
      </c>
      <c r="AJ50" s="251">
        <f t="shared" si="17"/>
        <v>0</v>
      </c>
      <c r="AK50" s="252">
        <f t="shared" si="18"/>
        <v>0</v>
      </c>
      <c r="AL50" s="253">
        <f t="shared" si="19"/>
        <v>0</v>
      </c>
    </row>
    <row r="51" spans="2:38" hidden="1" outlineLevel="1" x14ac:dyDescent="0.35">
      <c r="B51" s="255" t="s">
        <v>194</v>
      </c>
      <c r="C51" s="255" t="s">
        <v>195</v>
      </c>
      <c r="D51"/>
      <c r="E51" s="250">
        <v>15.912524355364877</v>
      </c>
      <c r="F51" s="250">
        <v>14.227962003800835</v>
      </c>
      <c r="G51"/>
      <c r="H51" s="250">
        <f t="shared" si="22"/>
        <v>-0.18224940484999999</v>
      </c>
      <c r="I51" s="252">
        <f t="shared" si="0"/>
        <v>-1.1453205084242649E-2</v>
      </c>
      <c r="J51" s="250">
        <f t="shared" si="23"/>
        <v>-2.6666666666666668E-2</v>
      </c>
      <c r="K51" s="252">
        <f t="shared" si="1"/>
        <v>-1.8742435957829363E-3</v>
      </c>
      <c r="L51" s="251">
        <f t="shared" si="2"/>
        <v>-0.15558273818333332</v>
      </c>
      <c r="M51" s="252">
        <f t="shared" si="3"/>
        <v>5.8343526818749991</v>
      </c>
      <c r="N51" s="253">
        <f t="shared" si="4"/>
        <v>5.8343526818749991</v>
      </c>
      <c r="O51"/>
      <c r="P51" s="250">
        <v>-0.18224940484999999</v>
      </c>
      <c r="Q51" s="252">
        <f t="shared" si="5"/>
        <v>-1.1453205084242649E-2</v>
      </c>
      <c r="R51" s="250">
        <v>0</v>
      </c>
      <c r="S51" s="252">
        <f t="shared" si="6"/>
        <v>0</v>
      </c>
      <c r="T51" s="251">
        <f t="shared" si="7"/>
        <v>-0.18224940484999999</v>
      </c>
      <c r="U51" s="252">
        <f t="shared" si="8"/>
        <v>0</v>
      </c>
      <c r="V51" s="253">
        <f t="shared" si="9"/>
        <v>0</v>
      </c>
      <c r="W51"/>
      <c r="X51" s="250">
        <v>0</v>
      </c>
      <c r="Y51" s="252">
        <f t="shared" si="10"/>
        <v>0</v>
      </c>
      <c r="Z51" s="250">
        <v>0</v>
      </c>
      <c r="AA51" s="252">
        <f t="shared" si="11"/>
        <v>0</v>
      </c>
      <c r="AB51" s="251">
        <f t="shared" si="12"/>
        <v>0</v>
      </c>
      <c r="AC51" s="252">
        <f t="shared" si="13"/>
        <v>0</v>
      </c>
      <c r="AD51" s="253">
        <f t="shared" si="14"/>
        <v>0</v>
      </c>
      <c r="AE51"/>
      <c r="AF51" s="250">
        <v>0</v>
      </c>
      <c r="AG51" s="252">
        <f t="shared" si="15"/>
        <v>0</v>
      </c>
      <c r="AH51" s="250">
        <v>-2.6666666666666668E-2</v>
      </c>
      <c r="AI51" s="252">
        <f t="shared" si="16"/>
        <v>-1.8742435957829363E-3</v>
      </c>
      <c r="AJ51" s="251">
        <f t="shared" si="17"/>
        <v>2.6666666666666668E-2</v>
      </c>
      <c r="AK51" s="252">
        <f t="shared" si="18"/>
        <v>-1</v>
      </c>
      <c r="AL51" s="253">
        <f t="shared" si="19"/>
        <v>-1</v>
      </c>
    </row>
    <row r="52" spans="2:38" hidden="1" outlineLevel="1" x14ac:dyDescent="0.35">
      <c r="B52" s="255" t="s">
        <v>196</v>
      </c>
      <c r="C52" s="255" t="s">
        <v>197</v>
      </c>
      <c r="D52"/>
      <c r="E52" s="250">
        <v>5.6595802710872505</v>
      </c>
      <c r="F52" s="250">
        <v>5.0062605502712083</v>
      </c>
      <c r="G52"/>
      <c r="H52" s="250">
        <f t="shared" si="22"/>
        <v>-7.1015614149999989E-2</v>
      </c>
      <c r="I52" s="252">
        <f t="shared" si="0"/>
        <v>-1.2547858807267579E-2</v>
      </c>
      <c r="J52" s="250">
        <f t="shared" si="23"/>
        <v>-3.5300615530303024E-2</v>
      </c>
      <c r="K52" s="252">
        <f t="shared" si="1"/>
        <v>-7.0512941098102968E-3</v>
      </c>
      <c r="L52" s="251">
        <f t="shared" si="2"/>
        <v>-3.5714998619696965E-2</v>
      </c>
      <c r="M52" s="252">
        <f t="shared" si="3"/>
        <v>1.0117386930275543</v>
      </c>
      <c r="N52" s="253">
        <f t="shared" si="4"/>
        <v>1.0117386930275543</v>
      </c>
      <c r="O52"/>
      <c r="P52" s="250">
        <v>-7.1015614149999989E-2</v>
      </c>
      <c r="Q52" s="252">
        <f t="shared" si="5"/>
        <v>-1.2547858807267579E-2</v>
      </c>
      <c r="R52" s="250">
        <v>0</v>
      </c>
      <c r="S52" s="252">
        <f t="shared" si="6"/>
        <v>0</v>
      </c>
      <c r="T52" s="251">
        <f t="shared" si="7"/>
        <v>-7.1015614149999989E-2</v>
      </c>
      <c r="U52" s="252">
        <f t="shared" si="8"/>
        <v>0</v>
      </c>
      <c r="V52" s="253">
        <f t="shared" si="9"/>
        <v>0</v>
      </c>
      <c r="W52"/>
      <c r="X52" s="250">
        <v>0</v>
      </c>
      <c r="Y52" s="252">
        <f t="shared" si="10"/>
        <v>0</v>
      </c>
      <c r="Z52" s="250">
        <v>-3.5300615530303024E-2</v>
      </c>
      <c r="AA52" s="252">
        <f t="shared" si="11"/>
        <v>-7.0512941098102968E-3</v>
      </c>
      <c r="AB52" s="251">
        <f t="shared" si="12"/>
        <v>3.5300615530303024E-2</v>
      </c>
      <c r="AC52" s="252">
        <f t="shared" si="13"/>
        <v>-1</v>
      </c>
      <c r="AD52" s="253">
        <f t="shared" si="14"/>
        <v>-1</v>
      </c>
      <c r="AE52"/>
      <c r="AF52" s="250">
        <v>0</v>
      </c>
      <c r="AG52" s="252">
        <f t="shared" si="15"/>
        <v>0</v>
      </c>
      <c r="AH52" s="250">
        <v>0</v>
      </c>
      <c r="AI52" s="252">
        <f t="shared" si="16"/>
        <v>0</v>
      </c>
      <c r="AJ52" s="251">
        <f t="shared" si="17"/>
        <v>0</v>
      </c>
      <c r="AK52" s="252">
        <f t="shared" si="18"/>
        <v>0</v>
      </c>
      <c r="AL52" s="253">
        <f t="shared" si="19"/>
        <v>0</v>
      </c>
    </row>
    <row r="53" spans="2:38" hidden="1" outlineLevel="1" x14ac:dyDescent="0.35">
      <c r="B53" s="255" t="s">
        <v>198</v>
      </c>
      <c r="C53" s="255" t="s">
        <v>199</v>
      </c>
      <c r="D53"/>
      <c r="E53" s="250">
        <v>1.4533071678510003</v>
      </c>
      <c r="F53" s="250">
        <v>0.9462905665312159</v>
      </c>
      <c r="G53"/>
      <c r="H53" s="250">
        <f t="shared" si="22"/>
        <v>0</v>
      </c>
      <c r="I53" s="252">
        <f t="shared" si="0"/>
        <v>0</v>
      </c>
      <c r="J53" s="250">
        <f t="shared" si="23"/>
        <v>0</v>
      </c>
      <c r="K53" s="252">
        <f t="shared" si="1"/>
        <v>0</v>
      </c>
      <c r="L53" s="251">
        <f t="shared" si="2"/>
        <v>0</v>
      </c>
      <c r="M53" s="252">
        <f t="shared" si="3"/>
        <v>0</v>
      </c>
      <c r="N53" s="253">
        <f t="shared" si="4"/>
        <v>0</v>
      </c>
      <c r="O53"/>
      <c r="P53" s="250">
        <v>0</v>
      </c>
      <c r="Q53" s="252">
        <f t="shared" si="5"/>
        <v>0</v>
      </c>
      <c r="R53" s="250">
        <v>0</v>
      </c>
      <c r="S53" s="252">
        <f t="shared" si="6"/>
        <v>0</v>
      </c>
      <c r="T53" s="251">
        <f t="shared" si="7"/>
        <v>0</v>
      </c>
      <c r="U53" s="252">
        <f t="shared" si="8"/>
        <v>0</v>
      </c>
      <c r="V53" s="253">
        <f t="shared" si="9"/>
        <v>0</v>
      </c>
      <c r="W53"/>
      <c r="X53" s="250">
        <v>0</v>
      </c>
      <c r="Y53" s="252">
        <f t="shared" si="10"/>
        <v>0</v>
      </c>
      <c r="Z53" s="250">
        <v>0</v>
      </c>
      <c r="AA53" s="252">
        <f t="shared" si="11"/>
        <v>0</v>
      </c>
      <c r="AB53" s="251">
        <f t="shared" si="12"/>
        <v>0</v>
      </c>
      <c r="AC53" s="252">
        <f t="shared" si="13"/>
        <v>0</v>
      </c>
      <c r="AD53" s="253">
        <f t="shared" si="14"/>
        <v>0</v>
      </c>
      <c r="AE53"/>
      <c r="AF53" s="250">
        <v>0</v>
      </c>
      <c r="AG53" s="252">
        <f t="shared" si="15"/>
        <v>0</v>
      </c>
      <c r="AH53" s="250">
        <v>0</v>
      </c>
      <c r="AI53" s="252">
        <f t="shared" si="16"/>
        <v>0</v>
      </c>
      <c r="AJ53" s="251">
        <f t="shared" si="17"/>
        <v>0</v>
      </c>
      <c r="AK53" s="252">
        <f t="shared" si="18"/>
        <v>0</v>
      </c>
      <c r="AL53" s="253">
        <f t="shared" si="19"/>
        <v>0</v>
      </c>
    </row>
    <row r="54" spans="2:38" hidden="1" outlineLevel="1" x14ac:dyDescent="0.35">
      <c r="B54" s="255" t="s">
        <v>200</v>
      </c>
      <c r="C54" s="255" t="s">
        <v>201</v>
      </c>
      <c r="D54"/>
      <c r="E54" s="250">
        <v>1.031409038545944</v>
      </c>
      <c r="F54" s="250">
        <v>0.92889008953785124</v>
      </c>
      <c r="G54"/>
      <c r="H54" s="250">
        <f t="shared" si="22"/>
        <v>-1.7333878999999995E-3</v>
      </c>
      <c r="I54" s="252">
        <f t="shared" si="0"/>
        <v>-1.6806018128789027E-3</v>
      </c>
      <c r="J54" s="250">
        <f t="shared" si="23"/>
        <v>0</v>
      </c>
      <c r="K54" s="252">
        <f t="shared" si="1"/>
        <v>0</v>
      </c>
      <c r="L54" s="251">
        <f t="shared" si="2"/>
        <v>-1.7333878999999995E-3</v>
      </c>
      <c r="M54" s="252">
        <f t="shared" si="3"/>
        <v>0</v>
      </c>
      <c r="N54" s="253">
        <f t="shared" si="4"/>
        <v>0</v>
      </c>
      <c r="O54"/>
      <c r="P54" s="250">
        <v>-1.7333878999999995E-3</v>
      </c>
      <c r="Q54" s="252">
        <f t="shared" si="5"/>
        <v>-1.6806018128789027E-3</v>
      </c>
      <c r="R54" s="250">
        <v>0</v>
      </c>
      <c r="S54" s="252">
        <f t="shared" si="6"/>
        <v>0</v>
      </c>
      <c r="T54" s="251">
        <f t="shared" si="7"/>
        <v>-1.7333878999999995E-3</v>
      </c>
      <c r="U54" s="252">
        <f t="shared" si="8"/>
        <v>0</v>
      </c>
      <c r="V54" s="253">
        <f t="shared" si="9"/>
        <v>0</v>
      </c>
      <c r="W54"/>
      <c r="X54" s="250">
        <v>0</v>
      </c>
      <c r="Y54" s="252">
        <f t="shared" si="10"/>
        <v>0</v>
      </c>
      <c r="Z54" s="250">
        <v>0</v>
      </c>
      <c r="AA54" s="252">
        <f t="shared" si="11"/>
        <v>0</v>
      </c>
      <c r="AB54" s="251">
        <f t="shared" si="12"/>
        <v>0</v>
      </c>
      <c r="AC54" s="252">
        <f t="shared" si="13"/>
        <v>0</v>
      </c>
      <c r="AD54" s="253">
        <f t="shared" si="14"/>
        <v>0</v>
      </c>
      <c r="AE54"/>
      <c r="AF54" s="250">
        <v>0</v>
      </c>
      <c r="AG54" s="252">
        <f t="shared" si="15"/>
        <v>0</v>
      </c>
      <c r="AH54" s="250">
        <v>0</v>
      </c>
      <c r="AI54" s="252">
        <f t="shared" si="16"/>
        <v>0</v>
      </c>
      <c r="AJ54" s="251">
        <f t="shared" si="17"/>
        <v>0</v>
      </c>
      <c r="AK54" s="252">
        <f t="shared" si="18"/>
        <v>0</v>
      </c>
      <c r="AL54" s="253">
        <f t="shared" si="19"/>
        <v>0</v>
      </c>
    </row>
    <row r="55" spans="2:38" hidden="1" outlineLevel="1" x14ac:dyDescent="0.35">
      <c r="B55" s="255" t="s">
        <v>202</v>
      </c>
      <c r="C55" s="255" t="s">
        <v>203</v>
      </c>
      <c r="D55"/>
      <c r="E55" s="250">
        <v>0</v>
      </c>
      <c r="F55" s="250">
        <v>0</v>
      </c>
      <c r="G55"/>
      <c r="H55" s="250">
        <f t="shared" si="22"/>
        <v>0</v>
      </c>
      <c r="I55" s="252">
        <f t="shared" si="0"/>
        <v>0</v>
      </c>
      <c r="J55" s="250">
        <f t="shared" si="23"/>
        <v>0</v>
      </c>
      <c r="K55" s="252">
        <f t="shared" si="1"/>
        <v>0</v>
      </c>
      <c r="L55" s="251">
        <f t="shared" si="2"/>
        <v>0</v>
      </c>
      <c r="M55" s="252">
        <f t="shared" si="3"/>
        <v>0</v>
      </c>
      <c r="N55" s="253">
        <f t="shared" si="4"/>
        <v>0</v>
      </c>
      <c r="O55"/>
      <c r="P55" s="250">
        <v>0</v>
      </c>
      <c r="Q55" s="252">
        <f t="shared" si="5"/>
        <v>0</v>
      </c>
      <c r="R55" s="250">
        <v>0</v>
      </c>
      <c r="S55" s="252">
        <f t="shared" si="6"/>
        <v>0</v>
      </c>
      <c r="T55" s="251">
        <f t="shared" si="7"/>
        <v>0</v>
      </c>
      <c r="U55" s="252">
        <f t="shared" si="8"/>
        <v>0</v>
      </c>
      <c r="V55" s="253">
        <f t="shared" si="9"/>
        <v>0</v>
      </c>
      <c r="W55"/>
      <c r="X55" s="250">
        <v>0</v>
      </c>
      <c r="Y55" s="252">
        <f t="shared" si="10"/>
        <v>0</v>
      </c>
      <c r="Z55" s="250">
        <v>0</v>
      </c>
      <c r="AA55" s="252">
        <f t="shared" si="11"/>
        <v>0</v>
      </c>
      <c r="AB55" s="251">
        <f t="shared" si="12"/>
        <v>0</v>
      </c>
      <c r="AC55" s="252">
        <f t="shared" si="13"/>
        <v>0</v>
      </c>
      <c r="AD55" s="253">
        <f t="shared" si="14"/>
        <v>0</v>
      </c>
      <c r="AE55"/>
      <c r="AF55" s="250">
        <v>0</v>
      </c>
      <c r="AG55" s="252">
        <f t="shared" si="15"/>
        <v>0</v>
      </c>
      <c r="AH55" s="250">
        <v>0</v>
      </c>
      <c r="AI55" s="252">
        <f t="shared" si="16"/>
        <v>0</v>
      </c>
      <c r="AJ55" s="251">
        <f t="shared" si="17"/>
        <v>0</v>
      </c>
      <c r="AK55" s="252">
        <f t="shared" si="18"/>
        <v>0</v>
      </c>
      <c r="AL55" s="253">
        <f t="shared" si="19"/>
        <v>0</v>
      </c>
    </row>
    <row r="56" spans="2:38" collapsed="1" x14ac:dyDescent="0.35">
      <c r="B56" s="239" t="s">
        <v>204</v>
      </c>
      <c r="C56" s="239" t="s">
        <v>205</v>
      </c>
      <c r="D56"/>
      <c r="E56" s="240">
        <f>SUM(E57,E65,E69:E73)</f>
        <v>17.984970874771712</v>
      </c>
      <c r="F56" s="240">
        <f>SUM(F57,F65,F69:F73)</f>
        <v>20.451512765189506</v>
      </c>
      <c r="G56"/>
      <c r="H56" s="240">
        <f>SUM(H57,H65,H69:H73)</f>
        <v>-0.92028955000000012</v>
      </c>
      <c r="I56" s="242">
        <f t="shared" si="0"/>
        <v>-5.1169921619997151E-2</v>
      </c>
      <c r="J56" s="240">
        <f>SUM(J57,J65,J69:J73)</f>
        <v>0</v>
      </c>
      <c r="K56" s="242">
        <f t="shared" si="1"/>
        <v>0</v>
      </c>
      <c r="L56" s="241">
        <f t="shared" si="2"/>
        <v>-0.92028955000000012</v>
      </c>
      <c r="M56" s="242">
        <f t="shared" si="3"/>
        <v>0</v>
      </c>
      <c r="N56" s="243">
        <f t="shared" si="4"/>
        <v>0</v>
      </c>
      <c r="O56"/>
      <c r="P56" s="240">
        <f>SUM(P57,P65,P69:P73)</f>
        <v>-0.95032670000000008</v>
      </c>
      <c r="Q56" s="242">
        <f t="shared" si="5"/>
        <v>-5.2840046648786297E-2</v>
      </c>
      <c r="R56" s="240">
        <f>SUM(R57,R65,R69:R73)</f>
        <v>0</v>
      </c>
      <c r="S56" s="242">
        <f t="shared" si="6"/>
        <v>0</v>
      </c>
      <c r="T56" s="241">
        <f t="shared" si="7"/>
        <v>-0.95032670000000008</v>
      </c>
      <c r="U56" s="242">
        <f t="shared" si="8"/>
        <v>0</v>
      </c>
      <c r="V56" s="243">
        <f t="shared" si="9"/>
        <v>0</v>
      </c>
      <c r="W56"/>
      <c r="X56" s="240">
        <f>SUM(X57,X65,X69:X73)</f>
        <v>2.244107E-2</v>
      </c>
      <c r="Y56" s="242">
        <f t="shared" si="10"/>
        <v>1.2477679366986938E-3</v>
      </c>
      <c r="Z56" s="240">
        <f>SUM(Z57,Z65,Z69:Z73)</f>
        <v>0</v>
      </c>
      <c r="AA56" s="242">
        <f t="shared" si="11"/>
        <v>0</v>
      </c>
      <c r="AB56" s="241">
        <f t="shared" si="12"/>
        <v>2.244107E-2</v>
      </c>
      <c r="AC56" s="242">
        <f t="shared" si="13"/>
        <v>0</v>
      </c>
      <c r="AD56" s="243">
        <f t="shared" si="14"/>
        <v>0</v>
      </c>
      <c r="AE56"/>
      <c r="AF56" s="240">
        <f>SUM(AF57,AF65,AF69:AF73)</f>
        <v>7.5960799999999816E-3</v>
      </c>
      <c r="AG56" s="242">
        <f t="shared" si="15"/>
        <v>4.2235709209044806E-4</v>
      </c>
      <c r="AH56" s="240">
        <f>SUM(AH57,AH65,AH69:AH73)</f>
        <v>0</v>
      </c>
      <c r="AI56" s="242">
        <f t="shared" si="16"/>
        <v>0</v>
      </c>
      <c r="AJ56" s="241">
        <f t="shared" si="17"/>
        <v>7.5960799999999816E-3</v>
      </c>
      <c r="AK56" s="242">
        <f t="shared" si="18"/>
        <v>0</v>
      </c>
      <c r="AL56" s="243">
        <f t="shared" si="19"/>
        <v>0</v>
      </c>
    </row>
    <row r="57" spans="2:38" x14ac:dyDescent="0.35">
      <c r="B57" s="256" t="s">
        <v>206</v>
      </c>
      <c r="C57" s="256" t="s">
        <v>207</v>
      </c>
      <c r="D57"/>
      <c r="E57" s="257">
        <f t="shared" ref="E57:F57" si="24">SUM(E58:E64)</f>
        <v>6.6598379517279325</v>
      </c>
      <c r="F57" s="257">
        <f t="shared" si="24"/>
        <v>7.7025353791368527</v>
      </c>
      <c r="G57"/>
      <c r="H57" s="257">
        <f>SUM(H58:H64)</f>
        <v>-0.52821030000000002</v>
      </c>
      <c r="I57" s="259">
        <f t="shared" si="0"/>
        <v>-7.9312785660641025E-2</v>
      </c>
      <c r="J57" s="257">
        <f>SUM(J58:J64)</f>
        <v>0</v>
      </c>
      <c r="K57" s="259">
        <f t="shared" si="1"/>
        <v>0</v>
      </c>
      <c r="L57" s="258">
        <f t="shared" si="2"/>
        <v>-0.52821030000000002</v>
      </c>
      <c r="M57" s="259">
        <f t="shared" si="3"/>
        <v>0</v>
      </c>
      <c r="N57" s="260">
        <f t="shared" si="4"/>
        <v>0</v>
      </c>
      <c r="O57"/>
      <c r="P57" s="257">
        <f>SUM(P58:P64)</f>
        <v>-0.52821030000000002</v>
      </c>
      <c r="Q57" s="259">
        <f t="shared" si="5"/>
        <v>-7.9312785660641025E-2</v>
      </c>
      <c r="R57" s="257">
        <f>SUM(R58:R64)</f>
        <v>0</v>
      </c>
      <c r="S57" s="259">
        <f t="shared" si="6"/>
        <v>0</v>
      </c>
      <c r="T57" s="258">
        <f t="shared" si="7"/>
        <v>-0.52821030000000002</v>
      </c>
      <c r="U57" s="259">
        <f t="shared" si="8"/>
        <v>0</v>
      </c>
      <c r="V57" s="260">
        <f t="shared" si="9"/>
        <v>0</v>
      </c>
      <c r="W57"/>
      <c r="X57" s="257">
        <f>SUM(X58:X64)</f>
        <v>0</v>
      </c>
      <c r="Y57" s="259">
        <f t="shared" si="10"/>
        <v>0</v>
      </c>
      <c r="Z57" s="257">
        <f>SUM(Z58:Z64)</f>
        <v>0</v>
      </c>
      <c r="AA57" s="259">
        <f t="shared" si="11"/>
        <v>0</v>
      </c>
      <c r="AB57" s="258">
        <f t="shared" si="12"/>
        <v>0</v>
      </c>
      <c r="AC57" s="259">
        <f t="shared" si="13"/>
        <v>0</v>
      </c>
      <c r="AD57" s="260">
        <f t="shared" si="14"/>
        <v>0</v>
      </c>
      <c r="AE57"/>
      <c r="AF57" s="257">
        <f>SUM(AF58:AF64)</f>
        <v>0</v>
      </c>
      <c r="AG57" s="259">
        <f t="shared" si="15"/>
        <v>0</v>
      </c>
      <c r="AH57" s="257">
        <f>SUM(AH58:AH64)</f>
        <v>0</v>
      </c>
      <c r="AI57" s="259">
        <f t="shared" si="16"/>
        <v>0</v>
      </c>
      <c r="AJ57" s="258">
        <f t="shared" si="17"/>
        <v>0</v>
      </c>
      <c r="AK57" s="259">
        <f t="shared" si="18"/>
        <v>0</v>
      </c>
      <c r="AL57" s="260">
        <f t="shared" si="19"/>
        <v>0</v>
      </c>
    </row>
    <row r="58" spans="2:38" hidden="1" outlineLevel="1" x14ac:dyDescent="0.35">
      <c r="B58" s="255" t="s">
        <v>208</v>
      </c>
      <c r="C58" s="255" t="s">
        <v>209</v>
      </c>
      <c r="D58"/>
      <c r="E58" s="250">
        <v>3.3614275900000004</v>
      </c>
      <c r="F58" s="250">
        <v>3.2640924181445299</v>
      </c>
      <c r="G58"/>
      <c r="H58" s="250">
        <f t="shared" ref="H58:H84" si="25">SUM(P58,X58,AF58)</f>
        <v>0</v>
      </c>
      <c r="I58" s="252">
        <f t="shared" si="0"/>
        <v>0</v>
      </c>
      <c r="J58" s="250">
        <f t="shared" ref="J58:J84" si="26">SUM(R58,Z58,AH58)</f>
        <v>0</v>
      </c>
      <c r="K58" s="252">
        <f t="shared" si="1"/>
        <v>0</v>
      </c>
      <c r="L58" s="251">
        <f t="shared" si="2"/>
        <v>0</v>
      </c>
      <c r="M58" s="252">
        <f t="shared" si="3"/>
        <v>0</v>
      </c>
      <c r="N58" s="253">
        <f t="shared" si="4"/>
        <v>0</v>
      </c>
      <c r="O58"/>
      <c r="P58" s="250">
        <v>0</v>
      </c>
      <c r="Q58" s="252">
        <f t="shared" si="5"/>
        <v>0</v>
      </c>
      <c r="R58" s="250">
        <v>0</v>
      </c>
      <c r="S58" s="252">
        <f t="shared" si="6"/>
        <v>0</v>
      </c>
      <c r="T58" s="251">
        <f t="shared" si="7"/>
        <v>0</v>
      </c>
      <c r="U58" s="252">
        <f t="shared" si="8"/>
        <v>0</v>
      </c>
      <c r="V58" s="253">
        <f t="shared" si="9"/>
        <v>0</v>
      </c>
      <c r="W58"/>
      <c r="X58" s="250">
        <v>0</v>
      </c>
      <c r="Y58" s="252">
        <f t="shared" si="10"/>
        <v>0</v>
      </c>
      <c r="Z58" s="250">
        <v>0</v>
      </c>
      <c r="AA58" s="252">
        <f t="shared" si="11"/>
        <v>0</v>
      </c>
      <c r="AB58" s="251">
        <f t="shared" si="12"/>
        <v>0</v>
      </c>
      <c r="AC58" s="252">
        <f t="shared" si="13"/>
        <v>0</v>
      </c>
      <c r="AD58" s="253">
        <f t="shared" si="14"/>
        <v>0</v>
      </c>
      <c r="AE58"/>
      <c r="AF58" s="250">
        <v>0</v>
      </c>
      <c r="AG58" s="252">
        <f t="shared" si="15"/>
        <v>0</v>
      </c>
      <c r="AH58" s="250">
        <v>0</v>
      </c>
      <c r="AI58" s="252">
        <f t="shared" si="16"/>
        <v>0</v>
      </c>
      <c r="AJ58" s="250">
        <f t="shared" si="17"/>
        <v>0</v>
      </c>
      <c r="AK58" s="252">
        <f t="shared" si="18"/>
        <v>0</v>
      </c>
      <c r="AL58" s="253">
        <f t="shared" si="19"/>
        <v>0</v>
      </c>
    </row>
    <row r="59" spans="2:38" hidden="1" outlineLevel="1" x14ac:dyDescent="0.35">
      <c r="B59" s="255" t="s">
        <v>210</v>
      </c>
      <c r="C59" s="255" t="s">
        <v>211</v>
      </c>
      <c r="D59"/>
      <c r="E59" s="250">
        <v>1.2512490000000001</v>
      </c>
      <c r="F59" s="250">
        <v>1.3126566071126693</v>
      </c>
      <c r="G59"/>
      <c r="H59" s="250">
        <f t="shared" si="25"/>
        <v>0</v>
      </c>
      <c r="I59" s="252">
        <f t="shared" si="0"/>
        <v>0</v>
      </c>
      <c r="J59" s="250">
        <f t="shared" si="26"/>
        <v>0</v>
      </c>
      <c r="K59" s="252">
        <f t="shared" si="1"/>
        <v>0</v>
      </c>
      <c r="L59" s="251">
        <f t="shared" si="2"/>
        <v>0</v>
      </c>
      <c r="M59" s="252">
        <f t="shared" si="3"/>
        <v>0</v>
      </c>
      <c r="N59" s="253">
        <f t="shared" si="4"/>
        <v>0</v>
      </c>
      <c r="O59"/>
      <c r="P59" s="250">
        <v>0</v>
      </c>
      <c r="Q59" s="252">
        <f t="shared" si="5"/>
        <v>0</v>
      </c>
      <c r="R59" s="250">
        <v>0</v>
      </c>
      <c r="S59" s="252">
        <f t="shared" si="6"/>
        <v>0</v>
      </c>
      <c r="T59" s="251">
        <f t="shared" si="7"/>
        <v>0</v>
      </c>
      <c r="U59" s="252">
        <f t="shared" si="8"/>
        <v>0</v>
      </c>
      <c r="V59" s="253">
        <f t="shared" si="9"/>
        <v>0</v>
      </c>
      <c r="W59"/>
      <c r="X59" s="250">
        <v>0</v>
      </c>
      <c r="Y59" s="252">
        <f t="shared" si="10"/>
        <v>0</v>
      </c>
      <c r="Z59" s="250">
        <v>0</v>
      </c>
      <c r="AA59" s="252">
        <f t="shared" si="11"/>
        <v>0</v>
      </c>
      <c r="AB59" s="251">
        <f t="shared" si="12"/>
        <v>0</v>
      </c>
      <c r="AC59" s="252">
        <f t="shared" si="13"/>
        <v>0</v>
      </c>
      <c r="AD59" s="253">
        <f t="shared" si="14"/>
        <v>0</v>
      </c>
      <c r="AE59"/>
      <c r="AF59" s="250">
        <v>0</v>
      </c>
      <c r="AG59" s="252">
        <f t="shared" si="15"/>
        <v>0</v>
      </c>
      <c r="AH59" s="250">
        <v>0</v>
      </c>
      <c r="AI59" s="252">
        <f t="shared" si="16"/>
        <v>0</v>
      </c>
      <c r="AJ59" s="250">
        <f t="shared" si="17"/>
        <v>0</v>
      </c>
      <c r="AK59" s="252">
        <f t="shared" si="18"/>
        <v>0</v>
      </c>
      <c r="AL59" s="253">
        <f t="shared" si="19"/>
        <v>0</v>
      </c>
    </row>
    <row r="60" spans="2:38" hidden="1" outlineLevel="1" x14ac:dyDescent="0.35">
      <c r="B60" s="255" t="s">
        <v>212</v>
      </c>
      <c r="C60" s="255" t="s">
        <v>213</v>
      </c>
      <c r="D60"/>
      <c r="E60" s="250">
        <v>0.48817199999999999</v>
      </c>
      <c r="F60" s="250">
        <v>0.50770009284945561</v>
      </c>
      <c r="G60"/>
      <c r="H60" s="250">
        <f t="shared" si="25"/>
        <v>0</v>
      </c>
      <c r="I60" s="252">
        <f t="shared" si="0"/>
        <v>0</v>
      </c>
      <c r="J60" s="250">
        <f t="shared" si="26"/>
        <v>0</v>
      </c>
      <c r="K60" s="252">
        <f t="shared" si="1"/>
        <v>0</v>
      </c>
      <c r="L60" s="251">
        <f t="shared" si="2"/>
        <v>0</v>
      </c>
      <c r="M60" s="252">
        <f t="shared" si="3"/>
        <v>0</v>
      </c>
      <c r="N60" s="253">
        <f t="shared" si="4"/>
        <v>0</v>
      </c>
      <c r="O60"/>
      <c r="P60" s="250">
        <v>0</v>
      </c>
      <c r="Q60" s="252">
        <f t="shared" si="5"/>
        <v>0</v>
      </c>
      <c r="R60" s="250">
        <v>0</v>
      </c>
      <c r="S60" s="252">
        <f t="shared" si="6"/>
        <v>0</v>
      </c>
      <c r="T60" s="251">
        <f t="shared" si="7"/>
        <v>0</v>
      </c>
      <c r="U60" s="252">
        <f t="shared" si="8"/>
        <v>0</v>
      </c>
      <c r="V60" s="253">
        <f t="shared" si="9"/>
        <v>0</v>
      </c>
      <c r="W60"/>
      <c r="X60" s="250">
        <v>0</v>
      </c>
      <c r="Y60" s="252">
        <f t="shared" si="10"/>
        <v>0</v>
      </c>
      <c r="Z60" s="250">
        <v>0</v>
      </c>
      <c r="AA60" s="252">
        <f t="shared" si="11"/>
        <v>0</v>
      </c>
      <c r="AB60" s="251">
        <f t="shared" si="12"/>
        <v>0</v>
      </c>
      <c r="AC60" s="252">
        <f t="shared" si="13"/>
        <v>0</v>
      </c>
      <c r="AD60" s="253">
        <f t="shared" si="14"/>
        <v>0</v>
      </c>
      <c r="AE60"/>
      <c r="AF60" s="250">
        <v>0</v>
      </c>
      <c r="AG60" s="252">
        <f t="shared" si="15"/>
        <v>0</v>
      </c>
      <c r="AH60" s="250">
        <v>0</v>
      </c>
      <c r="AI60" s="252">
        <f t="shared" si="16"/>
        <v>0</v>
      </c>
      <c r="AJ60" s="250">
        <f t="shared" si="17"/>
        <v>0</v>
      </c>
      <c r="AK60" s="252">
        <f t="shared" si="18"/>
        <v>0</v>
      </c>
      <c r="AL60" s="253">
        <f t="shared" si="19"/>
        <v>0</v>
      </c>
    </row>
    <row r="61" spans="2:38" hidden="1" outlineLevel="1" x14ac:dyDescent="0.35">
      <c r="B61" s="255" t="s">
        <v>214</v>
      </c>
      <c r="C61" s="255" t="s">
        <v>215</v>
      </c>
      <c r="D61"/>
      <c r="E61" s="250">
        <v>0.94227874172793258</v>
      </c>
      <c r="F61" s="250">
        <v>1.7457616762093735</v>
      </c>
      <c r="G61"/>
      <c r="H61" s="250">
        <f t="shared" si="25"/>
        <v>-0.47038089</v>
      </c>
      <c r="I61" s="252">
        <f t="shared" si="0"/>
        <v>-0.49919505680179582</v>
      </c>
      <c r="J61" s="250">
        <f t="shared" si="26"/>
        <v>0</v>
      </c>
      <c r="K61" s="252">
        <f t="shared" si="1"/>
        <v>0</v>
      </c>
      <c r="L61" s="251">
        <f t="shared" si="2"/>
        <v>-0.47038089</v>
      </c>
      <c r="M61" s="252">
        <f t="shared" si="3"/>
        <v>0</v>
      </c>
      <c r="N61" s="253">
        <f t="shared" si="4"/>
        <v>0</v>
      </c>
      <c r="O61"/>
      <c r="P61" s="250">
        <v>-0.47038089</v>
      </c>
      <c r="Q61" s="252">
        <f t="shared" si="5"/>
        <v>-0.49919505680179582</v>
      </c>
      <c r="R61" s="250">
        <v>0</v>
      </c>
      <c r="S61" s="252">
        <f t="shared" si="6"/>
        <v>0</v>
      </c>
      <c r="T61" s="251">
        <f t="shared" si="7"/>
        <v>-0.47038089</v>
      </c>
      <c r="U61" s="252">
        <f t="shared" si="8"/>
        <v>0</v>
      </c>
      <c r="V61" s="253">
        <f t="shared" si="9"/>
        <v>0</v>
      </c>
      <c r="W61"/>
      <c r="X61" s="250">
        <v>0</v>
      </c>
      <c r="Y61" s="252">
        <f t="shared" si="10"/>
        <v>0</v>
      </c>
      <c r="Z61" s="250">
        <v>0</v>
      </c>
      <c r="AA61" s="252">
        <f t="shared" si="11"/>
        <v>0</v>
      </c>
      <c r="AB61" s="251">
        <f t="shared" si="12"/>
        <v>0</v>
      </c>
      <c r="AC61" s="252">
        <f t="shared" si="13"/>
        <v>0</v>
      </c>
      <c r="AD61" s="253">
        <f t="shared" si="14"/>
        <v>0</v>
      </c>
      <c r="AE61"/>
      <c r="AF61" s="250">
        <v>0</v>
      </c>
      <c r="AG61" s="252">
        <f t="shared" si="15"/>
        <v>0</v>
      </c>
      <c r="AH61" s="250">
        <v>0</v>
      </c>
      <c r="AI61" s="252">
        <f t="shared" si="16"/>
        <v>0</v>
      </c>
      <c r="AJ61" s="250">
        <f t="shared" si="17"/>
        <v>0</v>
      </c>
      <c r="AK61" s="252">
        <f t="shared" si="18"/>
        <v>0</v>
      </c>
      <c r="AL61" s="253">
        <f t="shared" si="19"/>
        <v>0</v>
      </c>
    </row>
    <row r="62" spans="2:38" hidden="1" outlineLevel="1" x14ac:dyDescent="0.35">
      <c r="B62" s="255" t="s">
        <v>216</v>
      </c>
      <c r="C62" s="255" t="s">
        <v>217</v>
      </c>
      <c r="D62"/>
      <c r="E62" s="250">
        <v>0.6167106200000001</v>
      </c>
      <c r="F62" s="250">
        <v>0.78832458482082368</v>
      </c>
      <c r="G62"/>
      <c r="H62" s="250">
        <f t="shared" si="25"/>
        <v>0</v>
      </c>
      <c r="I62" s="252">
        <f t="shared" si="0"/>
        <v>0</v>
      </c>
      <c r="J62" s="250">
        <f t="shared" si="26"/>
        <v>0</v>
      </c>
      <c r="K62" s="252">
        <f t="shared" si="1"/>
        <v>0</v>
      </c>
      <c r="L62" s="251">
        <f t="shared" si="2"/>
        <v>0</v>
      </c>
      <c r="M62" s="252">
        <f t="shared" si="3"/>
        <v>0</v>
      </c>
      <c r="N62" s="253">
        <f t="shared" si="4"/>
        <v>0</v>
      </c>
      <c r="O62"/>
      <c r="P62" s="250">
        <v>0</v>
      </c>
      <c r="Q62" s="252">
        <f t="shared" si="5"/>
        <v>0</v>
      </c>
      <c r="R62" s="250">
        <v>0</v>
      </c>
      <c r="S62" s="252">
        <f t="shared" si="6"/>
        <v>0</v>
      </c>
      <c r="T62" s="251">
        <f t="shared" si="7"/>
        <v>0</v>
      </c>
      <c r="U62" s="252">
        <f t="shared" si="8"/>
        <v>0</v>
      </c>
      <c r="V62" s="253">
        <f t="shared" si="9"/>
        <v>0</v>
      </c>
      <c r="W62"/>
      <c r="X62" s="250">
        <v>0</v>
      </c>
      <c r="Y62" s="252">
        <f t="shared" si="10"/>
        <v>0</v>
      </c>
      <c r="Z62" s="250">
        <v>0</v>
      </c>
      <c r="AA62" s="252">
        <f t="shared" si="11"/>
        <v>0</v>
      </c>
      <c r="AB62" s="251">
        <f t="shared" si="12"/>
        <v>0</v>
      </c>
      <c r="AC62" s="252">
        <f t="shared" si="13"/>
        <v>0</v>
      </c>
      <c r="AD62" s="253">
        <f t="shared" si="14"/>
        <v>0</v>
      </c>
      <c r="AE62"/>
      <c r="AF62" s="250">
        <v>0</v>
      </c>
      <c r="AG62" s="252">
        <f t="shared" si="15"/>
        <v>0</v>
      </c>
      <c r="AH62" s="250">
        <v>0</v>
      </c>
      <c r="AI62" s="252">
        <f t="shared" si="16"/>
        <v>0</v>
      </c>
      <c r="AJ62" s="250">
        <f t="shared" si="17"/>
        <v>0</v>
      </c>
      <c r="AK62" s="252">
        <f t="shared" si="18"/>
        <v>0</v>
      </c>
      <c r="AL62" s="253">
        <f t="shared" si="19"/>
        <v>0</v>
      </c>
    </row>
    <row r="63" spans="2:38" collapsed="1" x14ac:dyDescent="0.35">
      <c r="B63" s="255" t="s">
        <v>218</v>
      </c>
      <c r="C63" s="255" t="s">
        <v>219</v>
      </c>
      <c r="D63"/>
      <c r="E63" s="250">
        <v>0</v>
      </c>
      <c r="F63" s="250">
        <v>4.2000000000000003E-2</v>
      </c>
      <c r="G63"/>
      <c r="H63" s="250">
        <f>SUM(P63,X63,AF63)</f>
        <v>0</v>
      </c>
      <c r="I63" s="252">
        <f>IFERROR(H63/$E63,0)</f>
        <v>0</v>
      </c>
      <c r="J63" s="250">
        <f>SUM(R63,Z63,AH63)</f>
        <v>0</v>
      </c>
      <c r="K63" s="252">
        <f>IFERROR(J63/$F63,0)</f>
        <v>0</v>
      </c>
      <c r="L63" s="251">
        <f>$H63-J63</f>
        <v>0</v>
      </c>
      <c r="M63" s="252">
        <f>IFERROR($H63/J63-1,0)</f>
        <v>0</v>
      </c>
      <c r="N63" s="253">
        <f>M63</f>
        <v>0</v>
      </c>
      <c r="O63"/>
      <c r="P63" s="250">
        <v>0</v>
      </c>
      <c r="Q63" s="252">
        <f>IFERROR(P63/$E63,0)</f>
        <v>0</v>
      </c>
      <c r="R63" s="250">
        <v>0</v>
      </c>
      <c r="S63" s="252">
        <f>IFERROR(R63/$F63,0)</f>
        <v>0</v>
      </c>
      <c r="T63" s="251">
        <f>$P63-R63</f>
        <v>0</v>
      </c>
      <c r="U63" s="252">
        <f>IFERROR($P63/R63-1,0)</f>
        <v>0</v>
      </c>
      <c r="V63" s="253">
        <f>U63</f>
        <v>0</v>
      </c>
      <c r="W63"/>
      <c r="X63" s="250">
        <v>0</v>
      </c>
      <c r="Y63" s="252">
        <f>IFERROR(X63/$E63,0)</f>
        <v>0</v>
      </c>
      <c r="Z63" s="250">
        <v>0</v>
      </c>
      <c r="AA63" s="252">
        <f>IFERROR(Z63/$F63,0)</f>
        <v>0</v>
      </c>
      <c r="AB63" s="251">
        <f t="shared" si="12"/>
        <v>0</v>
      </c>
      <c r="AC63" s="252">
        <f t="shared" si="13"/>
        <v>0</v>
      </c>
      <c r="AD63" s="253">
        <f>AC63</f>
        <v>0</v>
      </c>
      <c r="AE63"/>
      <c r="AF63" s="250">
        <v>0</v>
      </c>
      <c r="AG63" s="252">
        <f>IFERROR(AF63/$E63,0)</f>
        <v>0</v>
      </c>
      <c r="AH63" s="250">
        <v>0</v>
      </c>
      <c r="AI63" s="252">
        <f>IFERROR(AH63/$F63,0)</f>
        <v>0</v>
      </c>
      <c r="AJ63" s="250">
        <f t="shared" si="17"/>
        <v>0</v>
      </c>
      <c r="AK63" s="252">
        <f t="shared" si="18"/>
        <v>0</v>
      </c>
      <c r="AL63" s="265">
        <f>AK63</f>
        <v>0</v>
      </c>
    </row>
    <row r="64" spans="2:38" x14ac:dyDescent="0.35">
      <c r="B64" s="255" t="s">
        <v>220</v>
      </c>
      <c r="C64" s="255" t="s">
        <v>221</v>
      </c>
      <c r="D64"/>
      <c r="E64" s="250">
        <v>0</v>
      </c>
      <c r="F64" s="250">
        <v>4.2000000000000003E-2</v>
      </c>
      <c r="G64"/>
      <c r="H64" s="250">
        <f>SUM(P64,X64,AF64)</f>
        <v>-5.7829410000000005E-2</v>
      </c>
      <c r="I64" s="252">
        <f>IFERROR(H64/$E64,0)</f>
        <v>0</v>
      </c>
      <c r="J64" s="250">
        <f>SUM(R64,Z64,AH64)</f>
        <v>0</v>
      </c>
      <c r="K64" s="252">
        <f>IFERROR(J64/$F64,0)</f>
        <v>0</v>
      </c>
      <c r="L64" s="251">
        <f>$H64-J64</f>
        <v>-5.7829410000000005E-2</v>
      </c>
      <c r="M64" s="252">
        <f>IFERROR($H64/J64-1,0)</f>
        <v>0</v>
      </c>
      <c r="N64" s="253">
        <f>M64</f>
        <v>0</v>
      </c>
      <c r="O64"/>
      <c r="P64" s="250">
        <v>-5.7829410000000005E-2</v>
      </c>
      <c r="Q64" s="252">
        <f>IFERROR(P64/$E64,0)</f>
        <v>0</v>
      </c>
      <c r="R64" s="250">
        <v>0</v>
      </c>
      <c r="S64" s="252">
        <f>IFERROR(R64/$F64,0)</f>
        <v>0</v>
      </c>
      <c r="T64" s="251">
        <f>$P64-R64</f>
        <v>-5.7829410000000005E-2</v>
      </c>
      <c r="U64" s="252">
        <f>IFERROR($P64/R64-1,0)</f>
        <v>0</v>
      </c>
      <c r="V64" s="253">
        <f>U64</f>
        <v>0</v>
      </c>
      <c r="W64"/>
      <c r="X64" s="250">
        <v>0</v>
      </c>
      <c r="Y64" s="252">
        <f>IFERROR(X64/$E64,0)</f>
        <v>0</v>
      </c>
      <c r="Z64" s="250">
        <v>0</v>
      </c>
      <c r="AA64" s="252">
        <f>IFERROR(Z64/$F64,0)</f>
        <v>0</v>
      </c>
      <c r="AB64" s="251">
        <f t="shared" si="12"/>
        <v>0</v>
      </c>
      <c r="AC64" s="252">
        <f t="shared" si="13"/>
        <v>0</v>
      </c>
      <c r="AD64" s="253">
        <f>AC64</f>
        <v>0</v>
      </c>
      <c r="AE64"/>
      <c r="AF64" s="250">
        <v>0</v>
      </c>
      <c r="AG64" s="252">
        <f>IFERROR(AF64/$E64,0)</f>
        <v>0</v>
      </c>
      <c r="AH64" s="250">
        <v>0</v>
      </c>
      <c r="AI64" s="252">
        <f>IFERROR(AH64/$F64,0)</f>
        <v>0</v>
      </c>
      <c r="AJ64" s="250">
        <f t="shared" si="17"/>
        <v>0</v>
      </c>
      <c r="AK64" s="252">
        <f t="shared" si="18"/>
        <v>0</v>
      </c>
      <c r="AL64" s="265">
        <f>AK64</f>
        <v>0</v>
      </c>
    </row>
    <row r="65" spans="2:38" x14ac:dyDescent="0.35">
      <c r="B65" s="256" t="s">
        <v>222</v>
      </c>
      <c r="C65" s="256" t="s">
        <v>223</v>
      </c>
      <c r="D65"/>
      <c r="E65" s="257">
        <f>SUM(E66:E68)</f>
        <v>4.4999177786979692</v>
      </c>
      <c r="F65" s="257">
        <f>SUM(F66:F68)</f>
        <v>4.8297130758457918</v>
      </c>
      <c r="G65"/>
      <c r="H65" s="257">
        <f>SUM(H66:H68)</f>
        <v>0</v>
      </c>
      <c r="I65" s="259">
        <f>IFERROR(H65/$E65,0)</f>
        <v>0</v>
      </c>
      <c r="J65" s="257">
        <f>SUM(J66:J68)</f>
        <v>0</v>
      </c>
      <c r="K65" s="259">
        <f>IFERROR(J65/$F65,0)</f>
        <v>0</v>
      </c>
      <c r="L65" s="258">
        <f>$H65-J65</f>
        <v>0</v>
      </c>
      <c r="M65" s="259">
        <f>IFERROR($H65/J65-1,0)</f>
        <v>0</v>
      </c>
      <c r="N65" s="260">
        <f>M65</f>
        <v>0</v>
      </c>
      <c r="O65"/>
      <c r="P65" s="257">
        <f>SUM(P66:P68)</f>
        <v>0</v>
      </c>
      <c r="Q65" s="259">
        <f>IFERROR(P65/$E65,0)</f>
        <v>0</v>
      </c>
      <c r="R65" s="257">
        <f>SUM(R66:R68)</f>
        <v>0</v>
      </c>
      <c r="S65" s="259">
        <f>IFERROR(R65/$F65,0)</f>
        <v>0</v>
      </c>
      <c r="T65" s="258">
        <f>$P65-R65</f>
        <v>0</v>
      </c>
      <c r="U65" s="259">
        <f>IFERROR($P65/R65-1,0)</f>
        <v>0</v>
      </c>
      <c r="V65" s="260">
        <f>U65</f>
        <v>0</v>
      </c>
      <c r="W65"/>
      <c r="X65" s="257">
        <f>SUM(X66:X68)</f>
        <v>0</v>
      </c>
      <c r="Y65" s="259">
        <f>IFERROR(X65/$E65,0)</f>
        <v>0</v>
      </c>
      <c r="Z65" s="257">
        <f>SUM(Z66:Z68)</f>
        <v>0</v>
      </c>
      <c r="AA65" s="259">
        <f>IFERROR(Z65/$F65,0)</f>
        <v>0</v>
      </c>
      <c r="AB65" s="258">
        <f t="shared" si="12"/>
        <v>0</v>
      </c>
      <c r="AC65" s="259">
        <f t="shared" si="13"/>
        <v>0</v>
      </c>
      <c r="AD65" s="260">
        <f>AC65</f>
        <v>0</v>
      </c>
      <c r="AE65"/>
      <c r="AF65" s="257">
        <f>SUM(AF66:AF68)</f>
        <v>0</v>
      </c>
      <c r="AG65" s="259">
        <f>IFERROR(AF65/$E65,0)</f>
        <v>0</v>
      </c>
      <c r="AH65" s="257">
        <f>SUM(AH66:AH68)</f>
        <v>0</v>
      </c>
      <c r="AI65" s="259">
        <f>IFERROR(AH65/$F65,0)</f>
        <v>0</v>
      </c>
      <c r="AJ65" s="258">
        <f t="shared" si="17"/>
        <v>0</v>
      </c>
      <c r="AK65" s="259">
        <f t="shared" si="18"/>
        <v>0</v>
      </c>
      <c r="AL65" s="260">
        <f>AK65</f>
        <v>0</v>
      </c>
    </row>
    <row r="66" spans="2:38" hidden="1" outlineLevel="1" x14ac:dyDescent="0.35">
      <c r="B66" s="255" t="s">
        <v>224</v>
      </c>
      <c r="C66" s="255" t="s">
        <v>225</v>
      </c>
      <c r="D66"/>
      <c r="E66" s="250">
        <v>2.6589272256907321</v>
      </c>
      <c r="F66" s="250">
        <v>2.6968144767150397</v>
      </c>
      <c r="G66"/>
      <c r="H66" s="250">
        <f t="shared" si="25"/>
        <v>0</v>
      </c>
      <c r="I66" s="252">
        <f t="shared" si="0"/>
        <v>0</v>
      </c>
      <c r="J66" s="250">
        <f t="shared" si="26"/>
        <v>0</v>
      </c>
      <c r="K66" s="252">
        <f t="shared" si="1"/>
        <v>0</v>
      </c>
      <c r="L66" s="251">
        <f t="shared" si="2"/>
        <v>0</v>
      </c>
      <c r="M66" s="252">
        <f t="shared" si="3"/>
        <v>0</v>
      </c>
      <c r="N66" s="253">
        <f t="shared" si="4"/>
        <v>0</v>
      </c>
      <c r="O66"/>
      <c r="P66" s="250">
        <v>0</v>
      </c>
      <c r="Q66" s="252">
        <f t="shared" si="5"/>
        <v>0</v>
      </c>
      <c r="R66" s="250">
        <v>0</v>
      </c>
      <c r="S66" s="252">
        <f t="shared" si="6"/>
        <v>0</v>
      </c>
      <c r="T66" s="251">
        <f t="shared" si="7"/>
        <v>0</v>
      </c>
      <c r="U66" s="252">
        <f t="shared" si="8"/>
        <v>0</v>
      </c>
      <c r="V66" s="253">
        <f t="shared" si="9"/>
        <v>0</v>
      </c>
      <c r="W66"/>
      <c r="X66" s="250">
        <v>0</v>
      </c>
      <c r="Y66" s="252">
        <f t="shared" si="10"/>
        <v>0</v>
      </c>
      <c r="Z66" s="250">
        <v>0</v>
      </c>
      <c r="AA66" s="252">
        <f t="shared" si="11"/>
        <v>0</v>
      </c>
      <c r="AB66" s="251">
        <f t="shared" si="12"/>
        <v>0</v>
      </c>
      <c r="AC66" s="252">
        <f t="shared" si="13"/>
        <v>0</v>
      </c>
      <c r="AD66" s="253">
        <f t="shared" si="14"/>
        <v>0</v>
      </c>
      <c r="AE66"/>
      <c r="AF66" s="250">
        <v>0</v>
      </c>
      <c r="AG66" s="252">
        <f t="shared" si="15"/>
        <v>0</v>
      </c>
      <c r="AH66" s="250">
        <v>0</v>
      </c>
      <c r="AI66" s="252">
        <f t="shared" si="16"/>
        <v>0</v>
      </c>
      <c r="AJ66" s="250">
        <f t="shared" si="17"/>
        <v>0</v>
      </c>
      <c r="AK66" s="252">
        <f t="shared" si="18"/>
        <v>0</v>
      </c>
      <c r="AL66" s="253">
        <f t="shared" si="19"/>
        <v>0</v>
      </c>
    </row>
    <row r="67" spans="2:38" hidden="1" outlineLevel="1" x14ac:dyDescent="0.35">
      <c r="B67" s="255" t="s">
        <v>226</v>
      </c>
      <c r="C67" s="255" t="s">
        <v>227</v>
      </c>
      <c r="D67"/>
      <c r="E67" s="250">
        <v>0.96448918353949653</v>
      </c>
      <c r="F67" s="250">
        <v>1.0435929624539739</v>
      </c>
      <c r="G67"/>
      <c r="H67" s="250">
        <f t="shared" si="25"/>
        <v>0</v>
      </c>
      <c r="I67" s="252">
        <f t="shared" si="0"/>
        <v>0</v>
      </c>
      <c r="J67" s="250">
        <f t="shared" si="26"/>
        <v>0</v>
      </c>
      <c r="K67" s="252">
        <f t="shared" si="1"/>
        <v>0</v>
      </c>
      <c r="L67" s="251">
        <f t="shared" si="2"/>
        <v>0</v>
      </c>
      <c r="M67" s="252">
        <f t="shared" si="3"/>
        <v>0</v>
      </c>
      <c r="N67" s="253">
        <f t="shared" si="4"/>
        <v>0</v>
      </c>
      <c r="O67"/>
      <c r="P67" s="250">
        <v>0</v>
      </c>
      <c r="Q67" s="252">
        <f t="shared" si="5"/>
        <v>0</v>
      </c>
      <c r="R67" s="250">
        <v>0</v>
      </c>
      <c r="S67" s="252">
        <f t="shared" si="6"/>
        <v>0</v>
      </c>
      <c r="T67" s="251">
        <f t="shared" si="7"/>
        <v>0</v>
      </c>
      <c r="U67" s="252">
        <f t="shared" si="8"/>
        <v>0</v>
      </c>
      <c r="V67" s="253">
        <f t="shared" si="9"/>
        <v>0</v>
      </c>
      <c r="W67"/>
      <c r="X67" s="250">
        <v>0</v>
      </c>
      <c r="Y67" s="252">
        <f t="shared" si="10"/>
        <v>0</v>
      </c>
      <c r="Z67" s="250">
        <v>0</v>
      </c>
      <c r="AA67" s="252">
        <f t="shared" si="11"/>
        <v>0</v>
      </c>
      <c r="AB67" s="251">
        <f t="shared" si="12"/>
        <v>0</v>
      </c>
      <c r="AC67" s="252">
        <f t="shared" si="13"/>
        <v>0</v>
      </c>
      <c r="AD67" s="253">
        <f t="shared" si="14"/>
        <v>0</v>
      </c>
      <c r="AE67"/>
      <c r="AF67" s="250">
        <v>0</v>
      </c>
      <c r="AG67" s="252">
        <f t="shared" si="15"/>
        <v>0</v>
      </c>
      <c r="AH67" s="250">
        <v>0</v>
      </c>
      <c r="AI67" s="252">
        <f t="shared" si="16"/>
        <v>0</v>
      </c>
      <c r="AJ67" s="250">
        <f t="shared" si="17"/>
        <v>0</v>
      </c>
      <c r="AK67" s="252">
        <f t="shared" si="18"/>
        <v>0</v>
      </c>
      <c r="AL67" s="253">
        <f t="shared" si="19"/>
        <v>0</v>
      </c>
    </row>
    <row r="68" spans="2:38" hidden="1" outlineLevel="1" x14ac:dyDescent="0.35">
      <c r="B68" s="255" t="s">
        <v>228</v>
      </c>
      <c r="C68" s="255" t="s">
        <v>229</v>
      </c>
      <c r="D68"/>
      <c r="E68" s="250">
        <v>0.87650136946774071</v>
      </c>
      <c r="F68" s="250">
        <v>1.0893056366767784</v>
      </c>
      <c r="G68"/>
      <c r="H68" s="250">
        <f>SUM(P68,X68,AF68)</f>
        <v>0</v>
      </c>
      <c r="I68" s="252">
        <f>IFERROR(H68/$E68,0)</f>
        <v>0</v>
      </c>
      <c r="J68" s="250">
        <f>SUM(R68,Z68,AH68)</f>
        <v>0</v>
      </c>
      <c r="K68" s="252">
        <f>IFERROR(J68/$F68,0)</f>
        <v>0</v>
      </c>
      <c r="L68" s="251">
        <f>$H68-J68</f>
        <v>0</v>
      </c>
      <c r="M68" s="252">
        <f>IFERROR($H68/J68-1,0)</f>
        <v>0</v>
      </c>
      <c r="N68" s="253">
        <f>M68</f>
        <v>0</v>
      </c>
      <c r="O68"/>
      <c r="P68" s="250">
        <v>0</v>
      </c>
      <c r="Q68" s="252">
        <f>IFERROR(P68/$E68,0)</f>
        <v>0</v>
      </c>
      <c r="R68" s="250">
        <v>0</v>
      </c>
      <c r="S68" s="252">
        <f>IFERROR(R68/$F68,0)</f>
        <v>0</v>
      </c>
      <c r="T68" s="251">
        <f>$P68-R68</f>
        <v>0</v>
      </c>
      <c r="U68" s="252">
        <f>IFERROR($P68/R68-1,0)</f>
        <v>0</v>
      </c>
      <c r="V68" s="253">
        <f>U68</f>
        <v>0</v>
      </c>
      <c r="W68"/>
      <c r="X68" s="250">
        <v>0</v>
      </c>
      <c r="Y68" s="252">
        <f>IFERROR(X68/$E68,0)</f>
        <v>0</v>
      </c>
      <c r="Z68" s="250">
        <v>0</v>
      </c>
      <c r="AA68" s="252">
        <f>IFERROR(Z68/$F68,0)</f>
        <v>0</v>
      </c>
      <c r="AB68" s="251">
        <f>X68-Z68</f>
        <v>0</v>
      </c>
      <c r="AC68" s="252">
        <f>IFERROR(X68/Z68-1,0)</f>
        <v>0</v>
      </c>
      <c r="AD68" s="253">
        <f>AC68</f>
        <v>0</v>
      </c>
      <c r="AE68"/>
      <c r="AF68" s="250">
        <v>0</v>
      </c>
      <c r="AG68" s="252">
        <f>IFERROR(AF68/$E68,0)</f>
        <v>0</v>
      </c>
      <c r="AH68" s="250">
        <v>0</v>
      </c>
      <c r="AI68" s="252">
        <f>IFERROR(AH68/$F68,0)</f>
        <v>0</v>
      </c>
      <c r="AJ68" s="250">
        <f>AF68-AH68</f>
        <v>0</v>
      </c>
      <c r="AK68" s="252">
        <f>IFERROR(AF68/AH68-1,0)</f>
        <v>0</v>
      </c>
      <c r="AL68" s="253">
        <f>AK68</f>
        <v>0</v>
      </c>
    </row>
    <row r="69" spans="2:38" collapsed="1" x14ac:dyDescent="0.35">
      <c r="B69" s="244" t="s">
        <v>230</v>
      </c>
      <c r="C69" s="244" t="s">
        <v>231</v>
      </c>
      <c r="D69"/>
      <c r="E69" s="245">
        <v>4.7940460073759734</v>
      </c>
      <c r="F69" s="245">
        <v>5.6527470870358316</v>
      </c>
      <c r="G69"/>
      <c r="H69" s="245">
        <f>SUM(P69,X69,AF69)</f>
        <v>-0.14151078000000003</v>
      </c>
      <c r="I69" s="264">
        <f>IFERROR(H69/$E69,0)</f>
        <v>-2.9518027107431979E-2</v>
      </c>
      <c r="J69" s="245">
        <f>SUM(R69,Z69,AH69)</f>
        <v>0</v>
      </c>
      <c r="K69" s="264">
        <f>IFERROR(J69/$F69,0)</f>
        <v>0</v>
      </c>
      <c r="L69" s="246">
        <f>$H69-J69</f>
        <v>-0.14151078000000003</v>
      </c>
      <c r="M69" s="264">
        <f>IFERROR($H69/J69-1,0)</f>
        <v>0</v>
      </c>
      <c r="N69" s="265">
        <f>M69</f>
        <v>0</v>
      </c>
      <c r="O69"/>
      <c r="P69" s="245">
        <v>-0.14151078000000003</v>
      </c>
      <c r="Q69" s="264">
        <f>IFERROR(P69/$E69,0)</f>
        <v>-2.9518027107431979E-2</v>
      </c>
      <c r="R69" s="245">
        <v>0</v>
      </c>
      <c r="S69" s="264">
        <f>IFERROR(R69/$F69,0)</f>
        <v>0</v>
      </c>
      <c r="T69" s="246">
        <f>$P69-R69</f>
        <v>-0.14151078000000003</v>
      </c>
      <c r="U69" s="264">
        <f>IFERROR($P69/R69-1,0)</f>
        <v>0</v>
      </c>
      <c r="V69" s="265">
        <f>U69</f>
        <v>0</v>
      </c>
      <c r="W69"/>
      <c r="X69" s="245">
        <v>0</v>
      </c>
      <c r="Y69" s="264">
        <f>IFERROR(X69/$E69,0)</f>
        <v>0</v>
      </c>
      <c r="Z69" s="245">
        <v>0</v>
      </c>
      <c r="AA69" s="264">
        <f>IFERROR(Z69/$F69,0)</f>
        <v>0</v>
      </c>
      <c r="AB69" s="246">
        <f>X69-Z69</f>
        <v>0</v>
      </c>
      <c r="AC69" s="264">
        <f>IFERROR(X69/Z69-1,0)</f>
        <v>0</v>
      </c>
      <c r="AD69" s="265">
        <f>AC69</f>
        <v>0</v>
      </c>
      <c r="AE69"/>
      <c r="AF69" s="245">
        <v>0</v>
      </c>
      <c r="AG69" s="264">
        <f>IFERROR(AF69/$E69,0)</f>
        <v>0</v>
      </c>
      <c r="AH69" s="245">
        <v>0</v>
      </c>
      <c r="AI69" s="264">
        <f>IFERROR(AH69/$F69,0)</f>
        <v>0</v>
      </c>
      <c r="AJ69" s="245">
        <f>AF69-AH69</f>
        <v>0</v>
      </c>
      <c r="AK69" s="264">
        <f>IFERROR(AF69/AH69-1,0)</f>
        <v>0</v>
      </c>
      <c r="AL69" s="265">
        <f>AK69</f>
        <v>0</v>
      </c>
    </row>
    <row r="70" spans="2:38" x14ac:dyDescent="0.35">
      <c r="B70" s="244" t="s">
        <v>232</v>
      </c>
      <c r="C70" s="244" t="s">
        <v>233</v>
      </c>
      <c r="D70"/>
      <c r="E70" s="245">
        <v>1.0195065500000002</v>
      </c>
      <c r="F70" s="245">
        <v>1.1739768682728313</v>
      </c>
      <c r="G70"/>
      <c r="H70" s="245">
        <f t="shared" si="25"/>
        <v>0</v>
      </c>
      <c r="I70" s="264">
        <f t="shared" si="0"/>
        <v>0</v>
      </c>
      <c r="J70" s="245">
        <f t="shared" si="26"/>
        <v>0</v>
      </c>
      <c r="K70" s="264">
        <f t="shared" si="1"/>
        <v>0</v>
      </c>
      <c r="L70" s="246">
        <f t="shared" si="2"/>
        <v>0</v>
      </c>
      <c r="M70" s="264">
        <f t="shared" si="3"/>
        <v>0</v>
      </c>
      <c r="N70" s="265">
        <f t="shared" si="4"/>
        <v>0</v>
      </c>
      <c r="O70"/>
      <c r="P70" s="245">
        <v>0</v>
      </c>
      <c r="Q70" s="264">
        <f t="shared" si="5"/>
        <v>0</v>
      </c>
      <c r="R70" s="245">
        <v>0</v>
      </c>
      <c r="S70" s="264">
        <f t="shared" si="6"/>
        <v>0</v>
      </c>
      <c r="T70" s="246">
        <f t="shared" si="7"/>
        <v>0</v>
      </c>
      <c r="U70" s="264">
        <f t="shared" si="8"/>
        <v>0</v>
      </c>
      <c r="V70" s="265">
        <f t="shared" si="9"/>
        <v>0</v>
      </c>
      <c r="W70"/>
      <c r="X70" s="245">
        <v>0</v>
      </c>
      <c r="Y70" s="264">
        <f t="shared" si="10"/>
        <v>0</v>
      </c>
      <c r="Z70" s="245">
        <v>0</v>
      </c>
      <c r="AA70" s="264">
        <f t="shared" si="11"/>
        <v>0</v>
      </c>
      <c r="AB70" s="246">
        <f t="shared" si="12"/>
        <v>0</v>
      </c>
      <c r="AC70" s="264">
        <f t="shared" si="13"/>
        <v>0</v>
      </c>
      <c r="AD70" s="265">
        <f t="shared" si="14"/>
        <v>0</v>
      </c>
      <c r="AE70"/>
      <c r="AF70" s="245">
        <v>0</v>
      </c>
      <c r="AG70" s="264">
        <f t="shared" si="15"/>
        <v>0</v>
      </c>
      <c r="AH70" s="245">
        <v>0</v>
      </c>
      <c r="AI70" s="264">
        <f t="shared" si="16"/>
        <v>0</v>
      </c>
      <c r="AJ70" s="245">
        <f t="shared" si="17"/>
        <v>0</v>
      </c>
      <c r="AK70" s="264">
        <f t="shared" si="18"/>
        <v>0</v>
      </c>
      <c r="AL70" s="265">
        <f t="shared" si="19"/>
        <v>0</v>
      </c>
    </row>
    <row r="71" spans="2:38" x14ac:dyDescent="0.35">
      <c r="B71" s="244" t="s">
        <v>234</v>
      </c>
      <c r="C71" s="244" t="s">
        <v>235</v>
      </c>
      <c r="D71"/>
      <c r="E71" s="245">
        <v>0.10082659696983849</v>
      </c>
      <c r="F71" s="245">
        <v>0.14240380420319784</v>
      </c>
      <c r="G71"/>
      <c r="H71" s="245">
        <f t="shared" si="25"/>
        <v>-0.28060562</v>
      </c>
      <c r="I71" s="264">
        <f t="shared" si="0"/>
        <v>-2.7830515799709183</v>
      </c>
      <c r="J71" s="245">
        <f t="shared" si="26"/>
        <v>0</v>
      </c>
      <c r="K71" s="264">
        <f t="shared" si="1"/>
        <v>0</v>
      </c>
      <c r="L71" s="246">
        <f t="shared" si="2"/>
        <v>-0.28060562</v>
      </c>
      <c r="M71" s="264">
        <f t="shared" si="3"/>
        <v>0</v>
      </c>
      <c r="N71" s="265">
        <f t="shared" si="4"/>
        <v>0</v>
      </c>
      <c r="O71"/>
      <c r="P71" s="245">
        <v>-0.28060562</v>
      </c>
      <c r="Q71" s="264">
        <f t="shared" si="5"/>
        <v>-2.7830515799709183</v>
      </c>
      <c r="R71" s="245">
        <v>0</v>
      </c>
      <c r="S71" s="264">
        <f t="shared" si="6"/>
        <v>0</v>
      </c>
      <c r="T71" s="246">
        <f t="shared" si="7"/>
        <v>-0.28060562</v>
      </c>
      <c r="U71" s="264">
        <f t="shared" si="8"/>
        <v>0</v>
      </c>
      <c r="V71" s="265">
        <f t="shared" si="9"/>
        <v>0</v>
      </c>
      <c r="W71"/>
      <c r="X71" s="245">
        <v>0</v>
      </c>
      <c r="Y71" s="264">
        <f t="shared" si="10"/>
        <v>0</v>
      </c>
      <c r="Z71" s="245">
        <v>0</v>
      </c>
      <c r="AA71" s="264">
        <f t="shared" si="11"/>
        <v>0</v>
      </c>
      <c r="AB71" s="246">
        <f t="shared" si="12"/>
        <v>0</v>
      </c>
      <c r="AC71" s="264">
        <f t="shared" si="13"/>
        <v>0</v>
      </c>
      <c r="AD71" s="265">
        <f t="shared" si="14"/>
        <v>0</v>
      </c>
      <c r="AE71"/>
      <c r="AF71" s="245">
        <v>0</v>
      </c>
      <c r="AG71" s="264">
        <f t="shared" si="15"/>
        <v>0</v>
      </c>
      <c r="AH71" s="245">
        <v>0</v>
      </c>
      <c r="AI71" s="264">
        <f t="shared" si="16"/>
        <v>0</v>
      </c>
      <c r="AJ71" s="245">
        <f t="shared" si="17"/>
        <v>0</v>
      </c>
      <c r="AK71" s="264">
        <f t="shared" si="18"/>
        <v>0</v>
      </c>
      <c r="AL71" s="265">
        <f t="shared" si="19"/>
        <v>0</v>
      </c>
    </row>
    <row r="72" spans="2:38" x14ac:dyDescent="0.35">
      <c r="B72" s="244" t="s">
        <v>236</v>
      </c>
      <c r="C72" s="244" t="s">
        <v>237</v>
      </c>
      <c r="D72"/>
      <c r="E72" s="245">
        <v>0.91083599000000004</v>
      </c>
      <c r="F72" s="245">
        <v>0.95013655069500003</v>
      </c>
      <c r="G72"/>
      <c r="H72" s="245">
        <f t="shared" si="25"/>
        <v>3.0037149999999981E-2</v>
      </c>
      <c r="I72" s="264">
        <f t="shared" si="0"/>
        <v>3.2977561635437767E-2</v>
      </c>
      <c r="J72" s="245">
        <f t="shared" si="26"/>
        <v>0</v>
      </c>
      <c r="K72" s="264">
        <f t="shared" si="1"/>
        <v>0</v>
      </c>
      <c r="L72" s="246">
        <f t="shared" si="2"/>
        <v>3.0037149999999981E-2</v>
      </c>
      <c r="M72" s="264">
        <f t="shared" si="3"/>
        <v>0</v>
      </c>
      <c r="N72" s="265">
        <f t="shared" si="4"/>
        <v>0</v>
      </c>
      <c r="O72"/>
      <c r="P72" s="245">
        <v>0</v>
      </c>
      <c r="Q72" s="264">
        <f t="shared" si="5"/>
        <v>0</v>
      </c>
      <c r="R72" s="245">
        <v>0</v>
      </c>
      <c r="S72" s="264">
        <f t="shared" si="6"/>
        <v>0</v>
      </c>
      <c r="T72" s="246">
        <f t="shared" si="7"/>
        <v>0</v>
      </c>
      <c r="U72" s="264">
        <f t="shared" si="8"/>
        <v>0</v>
      </c>
      <c r="V72" s="265">
        <f t="shared" si="9"/>
        <v>0</v>
      </c>
      <c r="W72"/>
      <c r="X72" s="245">
        <v>2.244107E-2</v>
      </c>
      <c r="Y72" s="264">
        <f t="shared" si="10"/>
        <v>2.4637882391977065E-2</v>
      </c>
      <c r="Z72" s="245">
        <v>0</v>
      </c>
      <c r="AA72" s="264">
        <f t="shared" si="11"/>
        <v>0</v>
      </c>
      <c r="AB72" s="246">
        <f t="shared" si="12"/>
        <v>2.244107E-2</v>
      </c>
      <c r="AC72" s="264">
        <f t="shared" si="13"/>
        <v>0</v>
      </c>
      <c r="AD72" s="265">
        <f t="shared" si="14"/>
        <v>0</v>
      </c>
      <c r="AE72"/>
      <c r="AF72" s="245">
        <v>7.5960799999999816E-3</v>
      </c>
      <c r="AG72" s="264">
        <f t="shared" si="15"/>
        <v>8.3396792434607039E-3</v>
      </c>
      <c r="AH72" s="245">
        <v>0</v>
      </c>
      <c r="AI72" s="264">
        <f t="shared" si="16"/>
        <v>0</v>
      </c>
      <c r="AJ72" s="245">
        <f t="shared" si="17"/>
        <v>7.5960799999999816E-3</v>
      </c>
      <c r="AK72" s="264">
        <f t="shared" si="18"/>
        <v>0</v>
      </c>
      <c r="AL72" s="265">
        <f t="shared" si="19"/>
        <v>0</v>
      </c>
    </row>
    <row r="73" spans="2:38" x14ac:dyDescent="0.35">
      <c r="B73" s="244" t="s">
        <v>238</v>
      </c>
      <c r="C73" s="244" t="s">
        <v>239</v>
      </c>
      <c r="D73"/>
      <c r="E73" s="245">
        <v>0</v>
      </c>
      <c r="F73" s="245">
        <v>0</v>
      </c>
      <c r="G73"/>
      <c r="H73" s="245">
        <f t="shared" si="25"/>
        <v>0</v>
      </c>
      <c r="I73" s="264">
        <f>IFERROR(H73/$E73,0)</f>
        <v>0</v>
      </c>
      <c r="J73" s="245">
        <f>SUM(R73,Z73,AH73)</f>
        <v>0</v>
      </c>
      <c r="K73" s="264">
        <f>IFERROR(J73/$F73,0)</f>
        <v>0</v>
      </c>
      <c r="L73" s="246">
        <f>$H73-J73</f>
        <v>0</v>
      </c>
      <c r="M73" s="264">
        <f>IFERROR($H73/J73-1,0)</f>
        <v>0</v>
      </c>
      <c r="N73" s="265">
        <f t="shared" si="4"/>
        <v>0</v>
      </c>
      <c r="O73"/>
      <c r="P73" s="245">
        <v>0</v>
      </c>
      <c r="Q73" s="264">
        <f>IFERROR(P73/$E73,0)</f>
        <v>0</v>
      </c>
      <c r="R73" s="245">
        <v>0</v>
      </c>
      <c r="S73" s="264">
        <f>IFERROR(R73/$F73,0)</f>
        <v>0</v>
      </c>
      <c r="T73" s="246">
        <f>$P73-R73</f>
        <v>0</v>
      </c>
      <c r="U73" s="264">
        <f>IFERROR($P73/R73-1,0)</f>
        <v>0</v>
      </c>
      <c r="V73" s="265">
        <f t="shared" si="9"/>
        <v>0</v>
      </c>
      <c r="W73"/>
      <c r="X73" s="245">
        <v>0</v>
      </c>
      <c r="Y73" s="264">
        <f>IFERROR(X73/$E73,0)</f>
        <v>0</v>
      </c>
      <c r="Z73" s="245">
        <v>0</v>
      </c>
      <c r="AA73" s="264">
        <f>IFERROR(Z73/$F73,0)</f>
        <v>0</v>
      </c>
      <c r="AB73" s="246">
        <f t="shared" si="12"/>
        <v>0</v>
      </c>
      <c r="AC73" s="264">
        <f t="shared" si="13"/>
        <v>0</v>
      </c>
      <c r="AD73" s="265">
        <f t="shared" si="14"/>
        <v>0</v>
      </c>
      <c r="AE73"/>
      <c r="AF73" s="245">
        <v>0</v>
      </c>
      <c r="AG73" s="264">
        <f>IFERROR(AF73/$E73,0)</f>
        <v>0</v>
      </c>
      <c r="AH73" s="245">
        <v>0</v>
      </c>
      <c r="AI73" s="264">
        <f>IFERROR(AH73/$F73,0)</f>
        <v>0</v>
      </c>
      <c r="AJ73" s="245">
        <f t="shared" si="17"/>
        <v>0</v>
      </c>
      <c r="AK73" s="264">
        <f t="shared" si="18"/>
        <v>0</v>
      </c>
      <c r="AL73" s="265">
        <f t="shared" si="19"/>
        <v>0</v>
      </c>
    </row>
    <row r="74" spans="2:38" x14ac:dyDescent="0.35">
      <c r="B74" s="239" t="s">
        <v>240</v>
      </c>
      <c r="C74" s="239" t="s">
        <v>241</v>
      </c>
      <c r="D74"/>
      <c r="E74" s="240">
        <f>SUM(E75:E76)</f>
        <v>5.0082569899999978</v>
      </c>
      <c r="F74" s="240">
        <f>SUM(F75:F76)</f>
        <v>4.7529504644291345</v>
      </c>
      <c r="G74"/>
      <c r="H74" s="240">
        <f>SUM(H75:H76)</f>
        <v>-0.22787652999999999</v>
      </c>
      <c r="I74" s="242">
        <f t="shared" si="0"/>
        <v>-4.55001671150266E-2</v>
      </c>
      <c r="J74" s="240">
        <f>SUM(J75:J76)</f>
        <v>0</v>
      </c>
      <c r="K74" s="242">
        <f t="shared" si="1"/>
        <v>0</v>
      </c>
      <c r="L74" s="241">
        <f t="shared" si="2"/>
        <v>-0.22787652999999999</v>
      </c>
      <c r="M74" s="242">
        <f t="shared" si="3"/>
        <v>0</v>
      </c>
      <c r="N74" s="243">
        <f t="shared" si="4"/>
        <v>0</v>
      </c>
      <c r="O74"/>
      <c r="P74" s="240">
        <f>SUM(P75:P76)</f>
        <v>-0.22787652999999999</v>
      </c>
      <c r="Q74" s="242">
        <f t="shared" si="5"/>
        <v>-4.55001671150266E-2</v>
      </c>
      <c r="R74" s="240">
        <f>SUM(R75:R76)</f>
        <v>0</v>
      </c>
      <c r="S74" s="242">
        <f t="shared" si="6"/>
        <v>0</v>
      </c>
      <c r="T74" s="241">
        <f t="shared" si="7"/>
        <v>-0.22787652999999999</v>
      </c>
      <c r="U74" s="242">
        <f t="shared" si="8"/>
        <v>0</v>
      </c>
      <c r="V74" s="243">
        <f t="shared" si="9"/>
        <v>0</v>
      </c>
      <c r="W74"/>
      <c r="X74" s="240">
        <f>SUM(X75:X76)</f>
        <v>0</v>
      </c>
      <c r="Y74" s="242">
        <f t="shared" si="10"/>
        <v>0</v>
      </c>
      <c r="Z74" s="240">
        <f>SUM(Z75:Z76)</f>
        <v>0</v>
      </c>
      <c r="AA74" s="242">
        <f t="shared" si="11"/>
        <v>0</v>
      </c>
      <c r="AB74" s="241">
        <f t="shared" si="12"/>
        <v>0</v>
      </c>
      <c r="AC74" s="242">
        <f t="shared" si="13"/>
        <v>0</v>
      </c>
      <c r="AD74" s="243">
        <f t="shared" si="14"/>
        <v>0</v>
      </c>
      <c r="AE74"/>
      <c r="AF74" s="240">
        <f>SUM(AF75:AF76)</f>
        <v>0</v>
      </c>
      <c r="AG74" s="242">
        <f t="shared" si="15"/>
        <v>0</v>
      </c>
      <c r="AH74" s="240">
        <f>SUM(AH75:AH76)</f>
        <v>0</v>
      </c>
      <c r="AI74" s="242">
        <f t="shared" si="16"/>
        <v>0</v>
      </c>
      <c r="AJ74" s="240">
        <f t="shared" si="17"/>
        <v>0</v>
      </c>
      <c r="AK74" s="242">
        <f t="shared" si="18"/>
        <v>0</v>
      </c>
      <c r="AL74" s="243">
        <f t="shared" si="19"/>
        <v>0</v>
      </c>
    </row>
    <row r="75" spans="2:38" hidden="1" outlineLevel="1" x14ac:dyDescent="0.35">
      <c r="B75" s="255" t="s">
        <v>242</v>
      </c>
      <c r="C75" s="255" t="s">
        <v>243</v>
      </c>
      <c r="D75"/>
      <c r="E75" s="250">
        <v>5.0082569899999978</v>
      </c>
      <c r="F75" s="250">
        <v>4.7529504644291345</v>
      </c>
      <c r="G75"/>
      <c r="H75" s="250">
        <f t="shared" si="25"/>
        <v>-0.22787652999999999</v>
      </c>
      <c r="I75" s="252">
        <f t="shared" si="0"/>
        <v>-4.55001671150266E-2</v>
      </c>
      <c r="J75" s="250">
        <f t="shared" si="26"/>
        <v>0</v>
      </c>
      <c r="K75" s="252">
        <f t="shared" si="1"/>
        <v>0</v>
      </c>
      <c r="L75" s="251">
        <f t="shared" si="2"/>
        <v>-0.22787652999999999</v>
      </c>
      <c r="M75" s="252">
        <f t="shared" si="3"/>
        <v>0</v>
      </c>
      <c r="N75" s="253">
        <f t="shared" si="4"/>
        <v>0</v>
      </c>
      <c r="O75"/>
      <c r="P75" s="250">
        <v>-0.22787652999999999</v>
      </c>
      <c r="Q75" s="252">
        <f t="shared" si="5"/>
        <v>-4.55001671150266E-2</v>
      </c>
      <c r="R75" s="250">
        <v>0</v>
      </c>
      <c r="S75" s="252">
        <f t="shared" si="6"/>
        <v>0</v>
      </c>
      <c r="T75" s="251">
        <f t="shared" si="7"/>
        <v>-0.22787652999999999</v>
      </c>
      <c r="U75" s="252">
        <f t="shared" si="8"/>
        <v>0</v>
      </c>
      <c r="V75" s="253">
        <f t="shared" si="9"/>
        <v>0</v>
      </c>
      <c r="W75"/>
      <c r="X75" s="250">
        <v>0</v>
      </c>
      <c r="Y75" s="252">
        <f t="shared" si="10"/>
        <v>0</v>
      </c>
      <c r="Z75" s="250">
        <v>0</v>
      </c>
      <c r="AA75" s="252">
        <f t="shared" si="11"/>
        <v>0</v>
      </c>
      <c r="AB75" s="251">
        <f t="shared" si="12"/>
        <v>0</v>
      </c>
      <c r="AC75" s="252">
        <f t="shared" si="13"/>
        <v>0</v>
      </c>
      <c r="AD75" s="253">
        <f t="shared" si="14"/>
        <v>0</v>
      </c>
      <c r="AE75"/>
      <c r="AF75" s="250">
        <v>0</v>
      </c>
      <c r="AG75" s="252">
        <f t="shared" si="15"/>
        <v>0</v>
      </c>
      <c r="AH75" s="250">
        <v>0</v>
      </c>
      <c r="AI75" s="252">
        <f t="shared" si="16"/>
        <v>0</v>
      </c>
      <c r="AJ75" s="250">
        <f t="shared" si="17"/>
        <v>0</v>
      </c>
      <c r="AK75" s="252">
        <f t="shared" si="18"/>
        <v>0</v>
      </c>
      <c r="AL75" s="253">
        <f t="shared" si="19"/>
        <v>0</v>
      </c>
    </row>
    <row r="76" spans="2:38" hidden="1" outlineLevel="1" x14ac:dyDescent="0.35">
      <c r="B76" s="255" t="s">
        <v>244</v>
      </c>
      <c r="C76" s="255" t="s">
        <v>245</v>
      </c>
      <c r="D76"/>
      <c r="E76" s="250">
        <v>0</v>
      </c>
      <c r="F76" s="250">
        <v>0</v>
      </c>
      <c r="G76"/>
      <c r="H76" s="250">
        <f t="shared" si="25"/>
        <v>0</v>
      </c>
      <c r="I76" s="252">
        <f t="shared" si="0"/>
        <v>0</v>
      </c>
      <c r="J76" s="250">
        <f t="shared" si="26"/>
        <v>0</v>
      </c>
      <c r="K76" s="252">
        <f t="shared" si="1"/>
        <v>0</v>
      </c>
      <c r="L76" s="251">
        <f t="shared" si="2"/>
        <v>0</v>
      </c>
      <c r="M76" s="252">
        <f t="shared" si="3"/>
        <v>0</v>
      </c>
      <c r="N76" s="253">
        <f t="shared" si="4"/>
        <v>0</v>
      </c>
      <c r="O76"/>
      <c r="P76" s="250">
        <v>0</v>
      </c>
      <c r="Q76" s="252">
        <f t="shared" si="5"/>
        <v>0</v>
      </c>
      <c r="R76" s="250">
        <v>0</v>
      </c>
      <c r="S76" s="252">
        <f t="shared" si="6"/>
        <v>0</v>
      </c>
      <c r="T76" s="251">
        <f t="shared" si="7"/>
        <v>0</v>
      </c>
      <c r="U76" s="252">
        <f t="shared" si="8"/>
        <v>0</v>
      </c>
      <c r="V76" s="253">
        <f t="shared" si="9"/>
        <v>0</v>
      </c>
      <c r="W76"/>
      <c r="X76" s="250">
        <v>0</v>
      </c>
      <c r="Y76" s="252">
        <f t="shared" si="10"/>
        <v>0</v>
      </c>
      <c r="Z76" s="250">
        <v>0</v>
      </c>
      <c r="AA76" s="252">
        <f t="shared" si="11"/>
        <v>0</v>
      </c>
      <c r="AB76" s="251">
        <f t="shared" si="12"/>
        <v>0</v>
      </c>
      <c r="AC76" s="252">
        <f t="shared" si="13"/>
        <v>0</v>
      </c>
      <c r="AD76" s="253">
        <f t="shared" si="14"/>
        <v>0</v>
      </c>
      <c r="AE76"/>
      <c r="AF76" s="250">
        <v>0</v>
      </c>
      <c r="AG76" s="252">
        <f t="shared" si="15"/>
        <v>0</v>
      </c>
      <c r="AH76" s="250">
        <v>0</v>
      </c>
      <c r="AI76" s="252">
        <f t="shared" si="16"/>
        <v>0</v>
      </c>
      <c r="AJ76" s="250">
        <f t="shared" si="17"/>
        <v>0</v>
      </c>
      <c r="AK76" s="252">
        <f t="shared" si="18"/>
        <v>0</v>
      </c>
      <c r="AL76" s="253">
        <f t="shared" si="19"/>
        <v>0</v>
      </c>
    </row>
    <row r="77" spans="2:38" collapsed="1" x14ac:dyDescent="0.35">
      <c r="B77" s="239" t="s">
        <v>246</v>
      </c>
      <c r="C77" s="239" t="s">
        <v>247</v>
      </c>
      <c r="D77"/>
      <c r="E77" s="240">
        <f>SUM(E78:E79)</f>
        <v>0.15692264999999939</v>
      </c>
      <c r="F77" s="240">
        <f>SUM(F78:F79)</f>
        <v>0.29509057691388835</v>
      </c>
      <c r="G77"/>
      <c r="H77" s="240">
        <f>SUM(H78:H79)</f>
        <v>0</v>
      </c>
      <c r="I77" s="242">
        <f t="shared" si="0"/>
        <v>0</v>
      </c>
      <c r="J77" s="240">
        <f>SUM(J78:J79)</f>
        <v>0</v>
      </c>
      <c r="K77" s="242">
        <f t="shared" si="1"/>
        <v>0</v>
      </c>
      <c r="L77" s="241">
        <f t="shared" si="2"/>
        <v>0</v>
      </c>
      <c r="M77" s="242">
        <f t="shared" si="3"/>
        <v>0</v>
      </c>
      <c r="N77" s="243">
        <f t="shared" si="4"/>
        <v>0</v>
      </c>
      <c r="O77"/>
      <c r="P77" s="240">
        <f>SUM(P78:P79)</f>
        <v>0</v>
      </c>
      <c r="Q77" s="242">
        <f t="shared" si="5"/>
        <v>0</v>
      </c>
      <c r="R77" s="240">
        <f>SUM(R78:R79)</f>
        <v>0</v>
      </c>
      <c r="S77" s="242">
        <f t="shared" si="6"/>
        <v>0</v>
      </c>
      <c r="T77" s="241">
        <f t="shared" si="7"/>
        <v>0</v>
      </c>
      <c r="U77" s="242">
        <f t="shared" si="8"/>
        <v>0</v>
      </c>
      <c r="V77" s="243">
        <f t="shared" si="9"/>
        <v>0</v>
      </c>
      <c r="W77"/>
      <c r="X77" s="240">
        <f>SUM(X78:X79)</f>
        <v>0</v>
      </c>
      <c r="Y77" s="242">
        <f t="shared" si="10"/>
        <v>0</v>
      </c>
      <c r="Z77" s="240">
        <f>SUM(Z78:Z79)</f>
        <v>0</v>
      </c>
      <c r="AA77" s="242">
        <f t="shared" si="11"/>
        <v>0</v>
      </c>
      <c r="AB77" s="241">
        <f t="shared" si="12"/>
        <v>0</v>
      </c>
      <c r="AC77" s="242">
        <f t="shared" si="13"/>
        <v>0</v>
      </c>
      <c r="AD77" s="243">
        <f t="shared" si="14"/>
        <v>0</v>
      </c>
      <c r="AE77"/>
      <c r="AF77" s="240">
        <f>SUM(AF78:AF79)</f>
        <v>0</v>
      </c>
      <c r="AG77" s="242">
        <f t="shared" si="15"/>
        <v>0</v>
      </c>
      <c r="AH77" s="240">
        <f>SUM(AH78:AH79)</f>
        <v>0</v>
      </c>
      <c r="AI77" s="242">
        <f t="shared" si="16"/>
        <v>0</v>
      </c>
      <c r="AJ77" s="240">
        <f t="shared" si="17"/>
        <v>0</v>
      </c>
      <c r="AK77" s="242">
        <f t="shared" si="18"/>
        <v>0</v>
      </c>
      <c r="AL77" s="243">
        <f t="shared" si="19"/>
        <v>0</v>
      </c>
    </row>
    <row r="78" spans="2:38" hidden="1" outlineLevel="1" x14ac:dyDescent="0.35">
      <c r="B78" s="255" t="s">
        <v>248</v>
      </c>
      <c r="C78" s="255" t="s">
        <v>249</v>
      </c>
      <c r="D78"/>
      <c r="E78" s="266">
        <v>0.15692264999999939</v>
      </c>
      <c r="F78" s="250">
        <v>0.29509057691388835</v>
      </c>
      <c r="G78"/>
      <c r="H78" s="266">
        <f t="shared" si="25"/>
        <v>0</v>
      </c>
      <c r="I78" s="252">
        <f t="shared" si="0"/>
        <v>0</v>
      </c>
      <c r="J78" s="266">
        <f t="shared" si="26"/>
        <v>0</v>
      </c>
      <c r="K78" s="252">
        <f t="shared" si="1"/>
        <v>0</v>
      </c>
      <c r="L78" s="251">
        <f t="shared" si="2"/>
        <v>0</v>
      </c>
      <c r="M78" s="252">
        <f t="shared" si="3"/>
        <v>0</v>
      </c>
      <c r="N78" s="253">
        <f t="shared" si="4"/>
        <v>0</v>
      </c>
      <c r="O78"/>
      <c r="P78" s="266">
        <v>0</v>
      </c>
      <c r="Q78" s="252">
        <f t="shared" si="5"/>
        <v>0</v>
      </c>
      <c r="R78" s="266">
        <v>0</v>
      </c>
      <c r="S78" s="252">
        <f t="shared" si="6"/>
        <v>0</v>
      </c>
      <c r="T78" s="251">
        <f t="shared" si="7"/>
        <v>0</v>
      </c>
      <c r="U78" s="252">
        <f t="shared" si="8"/>
        <v>0</v>
      </c>
      <c r="V78" s="253">
        <f t="shared" si="9"/>
        <v>0</v>
      </c>
      <c r="W78"/>
      <c r="X78" s="266">
        <v>0</v>
      </c>
      <c r="Y78" s="252">
        <f t="shared" si="10"/>
        <v>0</v>
      </c>
      <c r="Z78" s="266">
        <v>0</v>
      </c>
      <c r="AA78" s="252">
        <f t="shared" si="11"/>
        <v>0</v>
      </c>
      <c r="AB78" s="251">
        <f t="shared" si="12"/>
        <v>0</v>
      </c>
      <c r="AC78" s="252">
        <f t="shared" si="13"/>
        <v>0</v>
      </c>
      <c r="AD78" s="253">
        <f t="shared" si="14"/>
        <v>0</v>
      </c>
      <c r="AE78"/>
      <c r="AF78" s="266">
        <v>0</v>
      </c>
      <c r="AG78" s="252">
        <f t="shared" si="15"/>
        <v>0</v>
      </c>
      <c r="AH78" s="266">
        <v>0</v>
      </c>
      <c r="AI78" s="252">
        <f t="shared" si="16"/>
        <v>0</v>
      </c>
      <c r="AJ78" s="266">
        <f t="shared" si="17"/>
        <v>0</v>
      </c>
      <c r="AK78" s="252">
        <f t="shared" si="18"/>
        <v>0</v>
      </c>
      <c r="AL78" s="253">
        <f t="shared" si="19"/>
        <v>0</v>
      </c>
    </row>
    <row r="79" spans="2:38" hidden="1" outlineLevel="1" x14ac:dyDescent="0.35">
      <c r="B79" s="255" t="s">
        <v>250</v>
      </c>
      <c r="C79" s="255" t="s">
        <v>251</v>
      </c>
      <c r="D79"/>
      <c r="E79" s="266">
        <v>0</v>
      </c>
      <c r="F79" s="250">
        <v>0</v>
      </c>
      <c r="G79"/>
      <c r="H79" s="266">
        <f t="shared" si="25"/>
        <v>0</v>
      </c>
      <c r="I79" s="252">
        <f t="shared" si="0"/>
        <v>0</v>
      </c>
      <c r="J79" s="266">
        <f t="shared" si="26"/>
        <v>0</v>
      </c>
      <c r="K79" s="252">
        <f t="shared" si="1"/>
        <v>0</v>
      </c>
      <c r="L79" s="251">
        <f t="shared" si="2"/>
        <v>0</v>
      </c>
      <c r="M79" s="252">
        <f t="shared" si="3"/>
        <v>0</v>
      </c>
      <c r="N79" s="253">
        <f t="shared" si="4"/>
        <v>0</v>
      </c>
      <c r="O79"/>
      <c r="P79" s="266">
        <v>0</v>
      </c>
      <c r="Q79" s="252">
        <f t="shared" si="5"/>
        <v>0</v>
      </c>
      <c r="R79" s="266">
        <v>0</v>
      </c>
      <c r="S79" s="252">
        <f t="shared" si="6"/>
        <v>0</v>
      </c>
      <c r="T79" s="251">
        <f t="shared" si="7"/>
        <v>0</v>
      </c>
      <c r="U79" s="252">
        <f t="shared" si="8"/>
        <v>0</v>
      </c>
      <c r="V79" s="253">
        <f t="shared" si="9"/>
        <v>0</v>
      </c>
      <c r="W79"/>
      <c r="X79" s="266">
        <v>0</v>
      </c>
      <c r="Y79" s="252">
        <f t="shared" si="10"/>
        <v>0</v>
      </c>
      <c r="Z79" s="266">
        <v>0</v>
      </c>
      <c r="AA79" s="252">
        <f t="shared" si="11"/>
        <v>0</v>
      </c>
      <c r="AB79" s="251">
        <f t="shared" ref="AB79:AB85" si="27">X79-Z79</f>
        <v>0</v>
      </c>
      <c r="AC79" s="252">
        <f t="shared" ref="AC79:AC85" si="28">IFERROR(X79/Z79-1,0)</f>
        <v>0</v>
      </c>
      <c r="AD79" s="253">
        <f t="shared" si="14"/>
        <v>0</v>
      </c>
      <c r="AE79"/>
      <c r="AF79" s="266">
        <v>0</v>
      </c>
      <c r="AG79" s="252">
        <f t="shared" si="15"/>
        <v>0</v>
      </c>
      <c r="AH79" s="266">
        <v>0</v>
      </c>
      <c r="AI79" s="252">
        <f t="shared" si="16"/>
        <v>0</v>
      </c>
      <c r="AJ79" s="266">
        <f t="shared" ref="AJ79:AJ85" si="29">AF79-AH79</f>
        <v>0</v>
      </c>
      <c r="AK79" s="252">
        <f t="shared" ref="AK79:AK85" si="30">IFERROR(AF79/AH79-1,0)</f>
        <v>0</v>
      </c>
      <c r="AL79" s="253">
        <f t="shared" si="19"/>
        <v>0</v>
      </c>
    </row>
    <row r="80" spans="2:38" collapsed="1" x14ac:dyDescent="0.35">
      <c r="B80" s="239" t="s">
        <v>252</v>
      </c>
      <c r="C80" s="239" t="s">
        <v>253</v>
      </c>
      <c r="D80"/>
      <c r="E80" s="240">
        <v>0</v>
      </c>
      <c r="F80" s="240">
        <v>0</v>
      </c>
      <c r="G80"/>
      <c r="H80" s="240">
        <f t="shared" si="25"/>
        <v>0</v>
      </c>
      <c r="I80" s="242">
        <f t="shared" si="0"/>
        <v>0</v>
      </c>
      <c r="J80" s="240">
        <f t="shared" si="26"/>
        <v>0</v>
      </c>
      <c r="K80" s="242">
        <f t="shared" si="1"/>
        <v>0</v>
      </c>
      <c r="L80" s="241">
        <f t="shared" si="2"/>
        <v>0</v>
      </c>
      <c r="M80" s="242">
        <f t="shared" si="3"/>
        <v>0</v>
      </c>
      <c r="N80" s="243">
        <f t="shared" si="4"/>
        <v>0</v>
      </c>
      <c r="O80"/>
      <c r="P80" s="240">
        <v>0</v>
      </c>
      <c r="Q80" s="242">
        <f t="shared" si="5"/>
        <v>0</v>
      </c>
      <c r="R80" s="240">
        <v>0</v>
      </c>
      <c r="S80" s="242">
        <f t="shared" si="6"/>
        <v>0</v>
      </c>
      <c r="T80" s="241">
        <f t="shared" si="7"/>
        <v>0</v>
      </c>
      <c r="U80" s="242">
        <f t="shared" si="8"/>
        <v>0</v>
      </c>
      <c r="V80" s="243">
        <f t="shared" si="9"/>
        <v>0</v>
      </c>
      <c r="W80"/>
      <c r="X80" s="240">
        <v>0</v>
      </c>
      <c r="Y80" s="242">
        <f t="shared" si="10"/>
        <v>0</v>
      </c>
      <c r="Z80" s="240">
        <v>0</v>
      </c>
      <c r="AA80" s="242">
        <f t="shared" si="11"/>
        <v>0</v>
      </c>
      <c r="AB80" s="241">
        <f t="shared" si="27"/>
        <v>0</v>
      </c>
      <c r="AC80" s="242">
        <f t="shared" si="28"/>
        <v>0</v>
      </c>
      <c r="AD80" s="243">
        <f t="shared" si="14"/>
        <v>0</v>
      </c>
      <c r="AE80"/>
      <c r="AF80" s="240">
        <v>0</v>
      </c>
      <c r="AG80" s="242">
        <f t="shared" si="15"/>
        <v>0</v>
      </c>
      <c r="AH80" s="240">
        <v>0</v>
      </c>
      <c r="AI80" s="242">
        <f t="shared" si="16"/>
        <v>0</v>
      </c>
      <c r="AJ80" s="240">
        <f t="shared" si="29"/>
        <v>0</v>
      </c>
      <c r="AK80" s="242">
        <f t="shared" si="30"/>
        <v>0</v>
      </c>
      <c r="AL80" s="243">
        <f t="shared" si="19"/>
        <v>0</v>
      </c>
    </row>
    <row r="81" spans="2:40" ht="7.5" customHeight="1" x14ac:dyDescent="0.35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</row>
    <row r="82" spans="2:40" hidden="1" outlineLevel="1" x14ac:dyDescent="0.35">
      <c r="B82" s="255" t="s">
        <v>254</v>
      </c>
      <c r="C82" s="255" t="s">
        <v>255</v>
      </c>
      <c r="D82"/>
      <c r="E82" s="266">
        <v>0</v>
      </c>
      <c r="F82" s="266">
        <v>0</v>
      </c>
      <c r="G82"/>
      <c r="H82" s="266">
        <f t="shared" si="25"/>
        <v>-3.4063490000000016E-2</v>
      </c>
      <c r="I82" s="252">
        <f t="shared" ref="I82:I85" si="31">IFERROR(H82/$E82,0)</f>
        <v>0</v>
      </c>
      <c r="J82" s="250">
        <f t="shared" si="26"/>
        <v>0</v>
      </c>
      <c r="K82" s="252">
        <f t="shared" ref="K82:K85" si="32">IFERROR(J82/$F82,0)</f>
        <v>0</v>
      </c>
      <c r="L82" s="251">
        <f t="shared" ref="L82:L85" si="33">$H82-J82</f>
        <v>-3.4063490000000016E-2</v>
      </c>
      <c r="M82" s="252">
        <f t="shared" ref="M82:M85" si="34">IFERROR($H82/J82-1,0)</f>
        <v>0</v>
      </c>
      <c r="N82" s="253">
        <f t="shared" ref="N82:N85" si="35">M82</f>
        <v>0</v>
      </c>
      <c r="O82"/>
      <c r="P82" s="266">
        <v>-3.4063490000000016E-2</v>
      </c>
      <c r="Q82" s="252">
        <f t="shared" ref="Q82:Q85" si="36">IFERROR(P82/$E82,0)</f>
        <v>0</v>
      </c>
      <c r="R82" s="266">
        <v>0</v>
      </c>
      <c r="S82" s="252">
        <f t="shared" ref="S82:S85" si="37">IFERROR(R82/$F82,0)</f>
        <v>0</v>
      </c>
      <c r="T82" s="251">
        <f t="shared" ref="T82:T85" si="38">$P82-R82</f>
        <v>-3.4063490000000016E-2</v>
      </c>
      <c r="U82" s="252">
        <f t="shared" ref="U82:U85" si="39">IFERROR($P82/R82-1,0)</f>
        <v>0</v>
      </c>
      <c r="V82" s="253">
        <f t="shared" ref="V82:V85" si="40">U82</f>
        <v>0</v>
      </c>
      <c r="W82"/>
      <c r="X82" s="266">
        <v>0</v>
      </c>
      <c r="Y82" s="252">
        <f t="shared" ref="Y82:Y85" si="41">IFERROR(X82/$E82,0)</f>
        <v>0</v>
      </c>
      <c r="Z82" s="266">
        <v>0</v>
      </c>
      <c r="AA82" s="252">
        <f t="shared" ref="AA82:AA85" si="42">IFERROR(Z82/$F82,0)</f>
        <v>0</v>
      </c>
      <c r="AB82" s="251">
        <f t="shared" si="27"/>
        <v>0</v>
      </c>
      <c r="AC82" s="252">
        <f t="shared" si="28"/>
        <v>0</v>
      </c>
      <c r="AD82" s="253">
        <f t="shared" ref="AD82:AD85" si="43">AC82</f>
        <v>0</v>
      </c>
      <c r="AE82"/>
      <c r="AF82" s="266">
        <v>0</v>
      </c>
      <c r="AG82" s="252">
        <f t="shared" ref="AG82:AG85" si="44">IFERROR(AF82/$E82,0)</f>
        <v>0</v>
      </c>
      <c r="AH82" s="266">
        <v>0</v>
      </c>
      <c r="AI82" s="252">
        <f t="shared" ref="AI82:AI85" si="45">IFERROR(AH82/$F82,0)</f>
        <v>0</v>
      </c>
      <c r="AJ82" s="266">
        <f t="shared" si="29"/>
        <v>0</v>
      </c>
      <c r="AK82" s="252">
        <f t="shared" si="30"/>
        <v>0</v>
      </c>
      <c r="AL82" s="253">
        <f t="shared" ref="AL82:AL85" si="46">AK82</f>
        <v>0</v>
      </c>
    </row>
    <row r="83" spans="2:40" hidden="1" outlineLevel="1" x14ac:dyDescent="0.35">
      <c r="B83" s="255" t="s">
        <v>256</v>
      </c>
      <c r="C83" s="255" t="s">
        <v>257</v>
      </c>
      <c r="D83"/>
      <c r="E83" s="266">
        <v>0</v>
      </c>
      <c r="F83" s="266">
        <v>0</v>
      </c>
      <c r="G83"/>
      <c r="H83" s="266">
        <f t="shared" si="25"/>
        <v>0</v>
      </c>
      <c r="I83" s="252">
        <f t="shared" si="31"/>
        <v>0</v>
      </c>
      <c r="J83" s="250">
        <f t="shared" si="26"/>
        <v>0</v>
      </c>
      <c r="K83" s="252">
        <f t="shared" si="32"/>
        <v>0</v>
      </c>
      <c r="L83" s="251">
        <f t="shared" si="33"/>
        <v>0</v>
      </c>
      <c r="M83" s="252">
        <f t="shared" si="34"/>
        <v>0</v>
      </c>
      <c r="N83" s="253">
        <f t="shared" si="35"/>
        <v>0</v>
      </c>
      <c r="O83"/>
      <c r="P83" s="266">
        <v>0</v>
      </c>
      <c r="Q83" s="252">
        <f t="shared" si="36"/>
        <v>0</v>
      </c>
      <c r="R83" s="266">
        <v>0</v>
      </c>
      <c r="S83" s="252">
        <f t="shared" si="37"/>
        <v>0</v>
      </c>
      <c r="T83" s="251">
        <f t="shared" si="38"/>
        <v>0</v>
      </c>
      <c r="U83" s="252">
        <f t="shared" si="39"/>
        <v>0</v>
      </c>
      <c r="V83" s="253">
        <f t="shared" si="40"/>
        <v>0</v>
      </c>
      <c r="W83"/>
      <c r="X83" s="266">
        <v>0</v>
      </c>
      <c r="Y83" s="252">
        <f t="shared" si="41"/>
        <v>0</v>
      </c>
      <c r="Z83" s="266">
        <v>0</v>
      </c>
      <c r="AA83" s="252">
        <f t="shared" si="42"/>
        <v>0</v>
      </c>
      <c r="AB83" s="251">
        <f t="shared" si="27"/>
        <v>0</v>
      </c>
      <c r="AC83" s="252">
        <f t="shared" si="28"/>
        <v>0</v>
      </c>
      <c r="AD83" s="253">
        <f t="shared" si="43"/>
        <v>0</v>
      </c>
      <c r="AE83"/>
      <c r="AF83" s="266">
        <v>0</v>
      </c>
      <c r="AG83" s="252">
        <f t="shared" si="44"/>
        <v>0</v>
      </c>
      <c r="AH83" s="266">
        <v>0</v>
      </c>
      <c r="AI83" s="252">
        <f t="shared" si="45"/>
        <v>0</v>
      </c>
      <c r="AJ83" s="266">
        <f t="shared" si="29"/>
        <v>0</v>
      </c>
      <c r="AK83" s="252">
        <f t="shared" si="30"/>
        <v>0</v>
      </c>
      <c r="AL83" s="253">
        <f t="shared" si="46"/>
        <v>0</v>
      </c>
    </row>
    <row r="84" spans="2:40" hidden="1" outlineLevel="1" x14ac:dyDescent="0.35">
      <c r="B84" s="255" t="s">
        <v>258</v>
      </c>
      <c r="C84" s="255" t="s">
        <v>259</v>
      </c>
      <c r="D84"/>
      <c r="E84" s="266">
        <v>0</v>
      </c>
      <c r="F84" s="266">
        <v>0</v>
      </c>
      <c r="G84"/>
      <c r="H84" s="266">
        <f t="shared" si="25"/>
        <v>-1.5446855900000003</v>
      </c>
      <c r="I84" s="252">
        <f t="shared" si="31"/>
        <v>0</v>
      </c>
      <c r="J84" s="250">
        <f t="shared" si="26"/>
        <v>-2.5000000000000001E-3</v>
      </c>
      <c r="K84" s="252">
        <f t="shared" si="32"/>
        <v>0</v>
      </c>
      <c r="L84" s="251">
        <f t="shared" si="33"/>
        <v>-1.5421855900000003</v>
      </c>
      <c r="M84" s="252">
        <f t="shared" si="34"/>
        <v>616.87423600000011</v>
      </c>
      <c r="N84" s="253">
        <f t="shared" si="35"/>
        <v>616.87423600000011</v>
      </c>
      <c r="O84"/>
      <c r="P84" s="266">
        <v>-1.5446855900000003</v>
      </c>
      <c r="Q84" s="252">
        <f t="shared" si="36"/>
        <v>0</v>
      </c>
      <c r="R84" s="266">
        <v>-2.5000000000000001E-3</v>
      </c>
      <c r="S84" s="252">
        <f t="shared" si="37"/>
        <v>0</v>
      </c>
      <c r="T84" s="251">
        <f t="shared" si="38"/>
        <v>-1.5421855900000003</v>
      </c>
      <c r="U84" s="252">
        <f t="shared" si="39"/>
        <v>616.87423600000011</v>
      </c>
      <c r="V84" s="253">
        <f t="shared" si="40"/>
        <v>616.87423600000011</v>
      </c>
      <c r="W84"/>
      <c r="X84" s="266">
        <v>0</v>
      </c>
      <c r="Y84" s="252">
        <f t="shared" si="41"/>
        <v>0</v>
      </c>
      <c r="Z84" s="266">
        <v>0</v>
      </c>
      <c r="AA84" s="252">
        <f t="shared" si="42"/>
        <v>0</v>
      </c>
      <c r="AB84" s="251">
        <f t="shared" si="27"/>
        <v>0</v>
      </c>
      <c r="AC84" s="252">
        <f t="shared" si="28"/>
        <v>0</v>
      </c>
      <c r="AD84" s="253">
        <f t="shared" si="43"/>
        <v>0</v>
      </c>
      <c r="AE84"/>
      <c r="AF84" s="266">
        <v>0</v>
      </c>
      <c r="AG84" s="252">
        <f t="shared" si="44"/>
        <v>0</v>
      </c>
      <c r="AH84" s="266">
        <v>0</v>
      </c>
      <c r="AI84" s="252">
        <f t="shared" si="45"/>
        <v>0</v>
      </c>
      <c r="AJ84" s="266">
        <f t="shared" si="29"/>
        <v>0</v>
      </c>
      <c r="AK84" s="252">
        <f t="shared" si="30"/>
        <v>0</v>
      </c>
      <c r="AL84" s="253">
        <f t="shared" si="46"/>
        <v>0</v>
      </c>
      <c r="AN84" s="203"/>
    </row>
    <row r="85" spans="2:40" collapsed="1" x14ac:dyDescent="0.35">
      <c r="B85" s="234">
        <v>3</v>
      </c>
      <c r="C85" s="234" t="s">
        <v>260</v>
      </c>
      <c r="D85"/>
      <c r="E85" s="235">
        <f>SUM(E82:E84)</f>
        <v>0</v>
      </c>
      <c r="F85" s="235">
        <f>SUM(F82:F84)</f>
        <v>0</v>
      </c>
      <c r="G85"/>
      <c r="H85" s="235">
        <f>SUM(H82:H84)</f>
        <v>-1.5787490800000004</v>
      </c>
      <c r="I85" s="237">
        <f t="shared" si="31"/>
        <v>0</v>
      </c>
      <c r="J85" s="235">
        <f>SUM(J82:J84)</f>
        <v>-2.5000000000000001E-3</v>
      </c>
      <c r="K85" s="237">
        <f t="shared" si="32"/>
        <v>0</v>
      </c>
      <c r="L85" s="236">
        <f t="shared" si="33"/>
        <v>-1.5762490800000004</v>
      </c>
      <c r="M85" s="237">
        <f t="shared" si="34"/>
        <v>630.49963200000013</v>
      </c>
      <c r="N85" s="238">
        <f t="shared" si="35"/>
        <v>630.49963200000013</v>
      </c>
      <c r="O85"/>
      <c r="P85" s="235">
        <f>SUM(P82:P84)</f>
        <v>-1.5787490800000004</v>
      </c>
      <c r="Q85" s="237">
        <f t="shared" si="36"/>
        <v>0</v>
      </c>
      <c r="R85" s="235">
        <f>SUM(R82:R84)</f>
        <v>-2.5000000000000001E-3</v>
      </c>
      <c r="S85" s="237">
        <f t="shared" si="37"/>
        <v>0</v>
      </c>
      <c r="T85" s="236">
        <f t="shared" si="38"/>
        <v>-1.5762490800000004</v>
      </c>
      <c r="U85" s="237">
        <f t="shared" si="39"/>
        <v>630.49963200000013</v>
      </c>
      <c r="V85" s="238">
        <f t="shared" si="40"/>
        <v>630.49963200000013</v>
      </c>
      <c r="W85"/>
      <c r="X85" s="235">
        <f>SUM(X82:X84)</f>
        <v>0</v>
      </c>
      <c r="Y85" s="237">
        <f t="shared" si="41"/>
        <v>0</v>
      </c>
      <c r="Z85" s="235">
        <f>SUM(Z82:Z84)</f>
        <v>0</v>
      </c>
      <c r="AA85" s="237">
        <f t="shared" si="42"/>
        <v>0</v>
      </c>
      <c r="AB85" s="236">
        <f t="shared" si="27"/>
        <v>0</v>
      </c>
      <c r="AC85" s="237">
        <f t="shared" si="28"/>
        <v>0</v>
      </c>
      <c r="AD85" s="238">
        <f t="shared" si="43"/>
        <v>0</v>
      </c>
      <c r="AE85"/>
      <c r="AF85" s="235">
        <f>SUM(AF82:AF84)</f>
        <v>0</v>
      </c>
      <c r="AG85" s="237">
        <f t="shared" si="44"/>
        <v>0</v>
      </c>
      <c r="AH85" s="235">
        <f>SUM(AH82:AH84)</f>
        <v>0</v>
      </c>
      <c r="AI85" s="237">
        <f t="shared" si="45"/>
        <v>0</v>
      </c>
      <c r="AJ85" s="235">
        <f t="shared" si="29"/>
        <v>0</v>
      </c>
      <c r="AK85" s="237">
        <f t="shared" si="30"/>
        <v>0</v>
      </c>
      <c r="AL85" s="238">
        <f t="shared" si="46"/>
        <v>0</v>
      </c>
    </row>
    <row r="87" spans="2:40" x14ac:dyDescent="0.35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</row>
    <row r="88" spans="2:40" x14ac:dyDescent="0.35">
      <c r="E88" s="269"/>
      <c r="F88" s="269"/>
      <c r="G88" s="269"/>
      <c r="H88" s="269"/>
      <c r="I88" s="269"/>
      <c r="J88" s="269"/>
      <c r="K88" s="269"/>
      <c r="L88" s="269"/>
      <c r="M88" s="269"/>
      <c r="N88" s="269"/>
      <c r="O88" s="269"/>
      <c r="P88" s="269"/>
      <c r="Q88" s="269"/>
      <c r="R88" s="269"/>
      <c r="S88" s="269"/>
      <c r="T88" s="269"/>
      <c r="U88" s="269"/>
      <c r="V88" s="269"/>
      <c r="W88" s="269"/>
      <c r="X88" s="269"/>
      <c r="Y88" s="269"/>
      <c r="Z88" s="269"/>
      <c r="AA88" s="269"/>
      <c r="AB88" s="269"/>
      <c r="AC88" s="269"/>
      <c r="AD88" s="269"/>
      <c r="AE88" s="269"/>
      <c r="AF88" s="269"/>
      <c r="AG88" s="269"/>
      <c r="AH88" s="269"/>
      <c r="AI88" s="269"/>
      <c r="AJ88" s="269"/>
      <c r="AK88" s="269"/>
      <c r="AL88" s="269"/>
    </row>
    <row r="90" spans="2:40" x14ac:dyDescent="0.35">
      <c r="H90" s="215"/>
    </row>
  </sheetData>
  <conditionalFormatting sqref="N82:N85 N11 N48:N80 N13:N46">
    <cfRule type="iconSet" priority="1">
      <iconSet showValue="0">
        <cfvo type="percent" val="0"/>
        <cfvo type="num" val="-0.03"/>
        <cfvo type="num" val="0.03"/>
      </iconSet>
    </cfRule>
  </conditionalFormatting>
  <conditionalFormatting sqref="V82:V85 V11 V48:V80 V13:V46">
    <cfRule type="iconSet" priority="2">
      <iconSet showValue="0">
        <cfvo type="percent" val="0"/>
        <cfvo type="num" val="-0.03"/>
        <cfvo type="num" val="0.03"/>
      </iconSet>
    </cfRule>
  </conditionalFormatting>
  <conditionalFormatting sqref="AD82:AD85 AD11 AD48:AD80 AD13:AD46">
    <cfRule type="iconSet" priority="3">
      <iconSet showValue="0">
        <cfvo type="percent" val="0"/>
        <cfvo type="num" val="-0.03"/>
        <cfvo type="num" val="0.03"/>
      </iconSet>
    </cfRule>
  </conditionalFormatting>
  <conditionalFormatting sqref="AL82:AL85 AL11 AL48:AL80 AL13:AL46">
    <cfRule type="iconSet" priority="4">
      <iconSet showValue="0">
        <cfvo type="percent" val="0"/>
        <cfvo type="num" val="-0.03"/>
        <cfvo type="num" val="0.03"/>
      </iconSet>
    </cfRule>
  </conditionalFormatting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C936B-0691-48ED-A376-DA9D2547E821}">
  <sheetPr>
    <tabColor theme="3"/>
  </sheetPr>
  <dimension ref="B2:AM88"/>
  <sheetViews>
    <sheetView showGridLines="0" zoomScaleNormal="100" workbookViewId="0">
      <pane xSplit="4" ySplit="11" topLeftCell="H14" activePane="bottomRight" state="frozen"/>
      <selection activeCell="O45" sqref="O45"/>
      <selection pane="topRight" activeCell="O45" sqref="O45"/>
      <selection pane="bottomLeft" activeCell="O45" sqref="O45"/>
      <selection pane="bottomRight" activeCell="M90" sqref="M90"/>
    </sheetView>
  </sheetViews>
  <sheetFormatPr defaultRowHeight="14.5" outlineLevelRow="1" outlineLevelCol="1" x14ac:dyDescent="0.35"/>
  <cols>
    <col min="1" max="1" width="1.54296875" customWidth="1"/>
    <col min="2" max="2" width="9.54296875" style="96" bestFit="1" customWidth="1"/>
    <col min="3" max="3" width="24.54296875" style="96" bestFit="1" customWidth="1"/>
    <col min="4" max="4" width="0.7265625" style="96" customWidth="1"/>
    <col min="5" max="6" width="8.81640625" style="96" hidden="1" customWidth="1" outlineLevel="1"/>
    <col min="7" max="7" width="0.7265625" style="96" hidden="1" customWidth="1" outlineLevel="1"/>
    <col min="8" max="8" width="8.81640625" style="96" customWidth="1" collapsed="1"/>
    <col min="9" max="9" width="9" style="96" customWidth="1"/>
    <col min="10" max="10" width="8.81640625" style="96" customWidth="1"/>
    <col min="11" max="11" width="9" style="96" customWidth="1"/>
    <col min="12" max="12" width="7.54296875" style="96" customWidth="1"/>
    <col min="13" max="13" width="9" style="96" customWidth="1"/>
    <col min="14" max="14" width="3.1796875" style="96" customWidth="1"/>
    <col min="15" max="15" width="0.7265625" style="96" customWidth="1"/>
    <col min="16" max="16" width="8.81640625" style="96" customWidth="1"/>
    <col min="17" max="17" width="9" style="96" customWidth="1"/>
    <col min="18" max="18" width="8.81640625" style="96" hidden="1" customWidth="1" outlineLevel="1"/>
    <col min="19" max="19" width="9" style="96" hidden="1" customWidth="1" outlineLevel="1"/>
    <col min="20" max="20" width="7.54296875" style="96" hidden="1" customWidth="1" outlineLevel="1"/>
    <col min="21" max="21" width="8.81640625" style="96" hidden="1" customWidth="1" outlineLevel="1"/>
    <col min="22" max="22" width="3.1796875" style="96" hidden="1" customWidth="1" outlineLevel="1"/>
    <col min="23" max="23" width="0.7265625" style="96" customWidth="1" collapsed="1"/>
    <col min="24" max="24" width="8.81640625" style="96" customWidth="1"/>
    <col min="25" max="25" width="9" style="96" customWidth="1"/>
    <col min="26" max="26" width="8.81640625" style="96" customWidth="1"/>
    <col min="27" max="27" width="9" style="96" customWidth="1"/>
    <col min="28" max="28" width="7.54296875" style="96" hidden="1" customWidth="1" outlineLevel="1"/>
    <col min="29" max="29" width="9" style="96" hidden="1" customWidth="1" outlineLevel="1"/>
    <col min="30" max="30" width="3.1796875" style="96" hidden="1" customWidth="1" outlineLevel="1"/>
    <col min="31" max="31" width="0.7265625" style="96" customWidth="1" collapsed="1"/>
    <col min="32" max="32" width="8.81640625" style="96" customWidth="1"/>
    <col min="33" max="33" width="9" style="96" customWidth="1"/>
    <col min="34" max="34" width="8.81640625" style="96" customWidth="1"/>
    <col min="35" max="35" width="9" style="96" customWidth="1"/>
    <col min="36" max="36" width="7.54296875" style="96" hidden="1" customWidth="1" outlineLevel="1"/>
    <col min="37" max="37" width="9" style="96" hidden="1" customWidth="1" outlineLevel="1"/>
    <col min="38" max="38" width="3.1796875" style="96" hidden="1" customWidth="1" outlineLevel="1"/>
    <col min="39" max="39" width="9.1796875" collapsed="1"/>
  </cols>
  <sheetData>
    <row r="2" spans="2:38" hidden="1" outlineLevel="1" x14ac:dyDescent="0.35">
      <c r="C2" s="216">
        <v>1000000</v>
      </c>
    </row>
    <row r="3" spans="2:38" hidden="1" outlineLevel="1" x14ac:dyDescent="0.35">
      <c r="C3" s="218" t="e">
        <f>#REF!</f>
        <v>#REF!</v>
      </c>
    </row>
    <row r="4" spans="2:38" collapsed="1" x14ac:dyDescent="0.35">
      <c r="B4" s="219"/>
      <c r="C4" s="220" t="s">
        <v>269</v>
      </c>
      <c r="D4" s="221"/>
      <c r="E4" s="222" t="s">
        <v>109</v>
      </c>
      <c r="F4" s="222"/>
      <c r="G4" s="221"/>
      <c r="H4" s="222" t="s">
        <v>270</v>
      </c>
      <c r="I4" s="222"/>
      <c r="J4" s="222"/>
      <c r="K4" s="222"/>
      <c r="L4" s="222"/>
      <c r="M4" s="222"/>
      <c r="N4" s="222"/>
      <c r="O4" s="221"/>
      <c r="P4" s="222" t="s">
        <v>271</v>
      </c>
      <c r="Q4" s="222"/>
      <c r="R4" s="222"/>
      <c r="S4" s="222"/>
      <c r="T4" s="222"/>
      <c r="U4" s="222"/>
      <c r="V4" s="222"/>
      <c r="W4" s="221"/>
      <c r="X4" s="222" t="s">
        <v>272</v>
      </c>
      <c r="Y4" s="222"/>
      <c r="Z4" s="222"/>
      <c r="AA4" s="222"/>
      <c r="AB4" s="222"/>
      <c r="AC4" s="222"/>
      <c r="AD4" s="222"/>
      <c r="AE4" s="221"/>
      <c r="AF4" s="222" t="s">
        <v>273</v>
      </c>
      <c r="AG4" s="222"/>
      <c r="AH4" s="222"/>
      <c r="AI4" s="222"/>
      <c r="AJ4" s="222"/>
      <c r="AK4" s="222"/>
      <c r="AL4" s="222"/>
    </row>
    <row r="5" spans="2:38" ht="7.5" customHeight="1" x14ac:dyDescent="0.35"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</row>
    <row r="6" spans="2:38" hidden="1" outlineLevel="1" x14ac:dyDescent="0.35">
      <c r="B6"/>
      <c r="C6"/>
      <c r="D6"/>
      <c r="E6" s="99" t="s">
        <v>109</v>
      </c>
      <c r="F6" s="99" t="s">
        <v>109</v>
      </c>
      <c r="G6"/>
      <c r="H6" s="99" t="s">
        <v>28</v>
      </c>
      <c r="I6"/>
      <c r="J6" s="99" t="s">
        <v>28</v>
      </c>
      <c r="K6"/>
      <c r="L6"/>
      <c r="M6"/>
      <c r="N6"/>
      <c r="O6"/>
      <c r="P6" s="99" t="s">
        <v>271</v>
      </c>
      <c r="Q6"/>
      <c r="R6" s="99" t="str">
        <f>P6</f>
        <v>Software</v>
      </c>
      <c r="S6"/>
      <c r="T6"/>
      <c r="U6"/>
      <c r="V6"/>
      <c r="W6"/>
      <c r="X6" s="99" t="s">
        <v>272</v>
      </c>
      <c r="Y6"/>
      <c r="Z6" s="99" t="str">
        <f>X6</f>
        <v>Equipamentos</v>
      </c>
      <c r="AA6"/>
      <c r="AB6"/>
      <c r="AC6"/>
      <c r="AD6"/>
      <c r="AE6"/>
      <c r="AF6" s="99" t="s">
        <v>273</v>
      </c>
      <c r="AG6"/>
      <c r="AH6" s="99" t="str">
        <f>AF6</f>
        <v>Benfeitorias e outros</v>
      </c>
      <c r="AI6"/>
      <c r="AJ6"/>
      <c r="AK6"/>
      <c r="AL6"/>
    </row>
    <row r="7" spans="2:38" hidden="1" outlineLevel="1" x14ac:dyDescent="0.35">
      <c r="B7"/>
      <c r="C7" s="203"/>
      <c r="D7"/>
      <c r="E7" s="99" t="s">
        <v>19</v>
      </c>
      <c r="F7" s="99" t="s">
        <v>20</v>
      </c>
      <c r="G7"/>
      <c r="H7" s="99" t="s">
        <v>19</v>
      </c>
      <c r="I7"/>
      <c r="J7" s="99" t="s">
        <v>20</v>
      </c>
      <c r="K7"/>
      <c r="L7"/>
      <c r="M7"/>
      <c r="N7"/>
      <c r="O7"/>
      <c r="P7" s="99" t="s">
        <v>19</v>
      </c>
      <c r="Q7"/>
      <c r="R7" s="99" t="s">
        <v>20</v>
      </c>
      <c r="S7"/>
      <c r="T7"/>
      <c r="U7"/>
      <c r="V7"/>
      <c r="W7"/>
      <c r="X7" s="99" t="s">
        <v>19</v>
      </c>
      <c r="Y7"/>
      <c r="Z7" s="99" t="s">
        <v>20</v>
      </c>
      <c r="AA7"/>
      <c r="AB7"/>
      <c r="AC7"/>
      <c r="AD7"/>
      <c r="AE7"/>
      <c r="AF7" s="99" t="s">
        <v>19</v>
      </c>
      <c r="AG7"/>
      <c r="AH7" s="99" t="s">
        <v>20</v>
      </c>
      <c r="AI7"/>
      <c r="AJ7"/>
      <c r="AK7"/>
      <c r="AL7"/>
    </row>
    <row r="8" spans="2:38" hidden="1" outlineLevel="1" x14ac:dyDescent="0.35">
      <c r="B8"/>
      <c r="C8"/>
      <c r="D8"/>
      <c r="E8" s="99" t="e">
        <f>YEAR($C$3)</f>
        <v>#REF!</v>
      </c>
      <c r="F8" s="99" t="e">
        <f>E8</f>
        <v>#REF!</v>
      </c>
      <c r="G8"/>
      <c r="H8" s="99" t="e">
        <f>YEAR($C$3)</f>
        <v>#REF!</v>
      </c>
      <c r="I8"/>
      <c r="J8" s="99" t="e">
        <f>H8</f>
        <v>#REF!</v>
      </c>
      <c r="K8"/>
      <c r="L8"/>
      <c r="M8"/>
      <c r="N8"/>
      <c r="O8"/>
      <c r="P8" s="99" t="e">
        <f>YEAR($C$3)</f>
        <v>#REF!</v>
      </c>
      <c r="Q8"/>
      <c r="R8" s="99" t="e">
        <f>P8</f>
        <v>#REF!</v>
      </c>
      <c r="S8"/>
      <c r="T8"/>
      <c r="U8"/>
      <c r="V8"/>
      <c r="W8"/>
      <c r="X8" s="99" t="e">
        <f>YEAR($C$3)</f>
        <v>#REF!</v>
      </c>
      <c r="Y8"/>
      <c r="Z8" s="99" t="e">
        <f>X8</f>
        <v>#REF!</v>
      </c>
      <c r="AA8"/>
      <c r="AB8"/>
      <c r="AC8"/>
      <c r="AD8"/>
      <c r="AE8"/>
      <c r="AF8" s="99" t="e">
        <f>YEAR($C$3)</f>
        <v>#REF!</v>
      </c>
      <c r="AG8"/>
      <c r="AH8" s="99" t="e">
        <f>AF8</f>
        <v>#REF!</v>
      </c>
      <c r="AI8"/>
      <c r="AJ8"/>
      <c r="AK8"/>
      <c r="AL8"/>
    </row>
    <row r="9" spans="2:38" collapsed="1" x14ac:dyDescent="0.35">
      <c r="C9" s="220" t="s">
        <v>274</v>
      </c>
      <c r="D9" s="224"/>
      <c r="E9" s="225" t="s">
        <v>19</v>
      </c>
      <c r="F9" s="226" t="s">
        <v>20</v>
      </c>
      <c r="G9" s="224"/>
      <c r="H9" s="225" t="s">
        <v>19</v>
      </c>
      <c r="I9" s="227" t="s">
        <v>112</v>
      </c>
      <c r="J9" s="226" t="s">
        <v>20</v>
      </c>
      <c r="K9" s="227" t="s">
        <v>112</v>
      </c>
      <c r="L9" s="227" t="s">
        <v>50</v>
      </c>
      <c r="M9" s="227" t="s">
        <v>51</v>
      </c>
      <c r="N9" s="228"/>
      <c r="O9" s="224"/>
      <c r="P9" s="225" t="s">
        <v>19</v>
      </c>
      <c r="Q9" s="227" t="s">
        <v>112</v>
      </c>
      <c r="R9" s="226" t="s">
        <v>20</v>
      </c>
      <c r="S9" s="227" t="s">
        <v>112</v>
      </c>
      <c r="T9" s="227" t="s">
        <v>50</v>
      </c>
      <c r="U9" s="227" t="s">
        <v>51</v>
      </c>
      <c r="V9" s="228"/>
      <c r="W9" s="224"/>
      <c r="X9" s="225" t="s">
        <v>19</v>
      </c>
      <c r="Y9" s="227" t="s">
        <v>112</v>
      </c>
      <c r="Z9" s="226" t="s">
        <v>20</v>
      </c>
      <c r="AA9" s="227" t="s">
        <v>112</v>
      </c>
      <c r="AB9" s="227" t="s">
        <v>50</v>
      </c>
      <c r="AC9" s="227" t="s">
        <v>51</v>
      </c>
      <c r="AD9" s="228"/>
      <c r="AE9" s="224"/>
      <c r="AF9" s="225" t="s">
        <v>19</v>
      </c>
      <c r="AG9" s="227" t="s">
        <v>112</v>
      </c>
      <c r="AH9" s="226" t="s">
        <v>20</v>
      </c>
      <c r="AI9" s="227" t="s">
        <v>112</v>
      </c>
      <c r="AJ9" s="227" t="s">
        <v>50</v>
      </c>
      <c r="AK9" s="227" t="s">
        <v>51</v>
      </c>
      <c r="AL9" s="228"/>
    </row>
    <row r="10" spans="2:38" ht="7.5" customHeight="1" x14ac:dyDescent="0.35"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</row>
    <row r="11" spans="2:38" x14ac:dyDescent="0.35">
      <c r="B11" s="229" t="s">
        <v>114</v>
      </c>
      <c r="C11" s="229" t="s">
        <v>115</v>
      </c>
      <c r="D11"/>
      <c r="E11" s="230">
        <f>SUM(E48,E13,E85)</f>
        <v>543.46677968312247</v>
      </c>
      <c r="F11" s="230">
        <f>SUM(F48,F13,F85)</f>
        <v>541.69577162352152</v>
      </c>
      <c r="G11"/>
      <c r="H11" s="230">
        <f>SUM(H48,H13,H85)</f>
        <v>-32.028326097980006</v>
      </c>
      <c r="I11" s="232">
        <f>IFERROR(H11/$E11,0)</f>
        <v>-5.893336501019375E-2</v>
      </c>
      <c r="J11" s="230">
        <f>SUM(J48,J13,J85)</f>
        <v>-2.485001532466045</v>
      </c>
      <c r="K11" s="232">
        <f>IFERROR(J11/$F11,0)</f>
        <v>-4.5874486430237836E-3</v>
      </c>
      <c r="L11" s="231">
        <f>$H11-J11</f>
        <v>-29.543324565513963</v>
      </c>
      <c r="M11" s="232">
        <f>IFERROR($H11/J11-1,0)</f>
        <v>11.888654465414355</v>
      </c>
      <c r="N11" s="233">
        <f>M11</f>
        <v>11.888654465414355</v>
      </c>
      <c r="O11"/>
      <c r="P11" s="230">
        <f>SUM(P48,P13,P85)</f>
        <v>-31.264679787980004</v>
      </c>
      <c r="Q11" s="232">
        <f>IFERROR(P11/$E11,0)</f>
        <v>-5.7528226115696357E-2</v>
      </c>
      <c r="R11" s="230">
        <f>SUM(R48,R13,R85)</f>
        <v>-0.12684399999999998</v>
      </c>
      <c r="S11" s="232">
        <f>IFERROR(R11/$F11,0)</f>
        <v>-2.3416095647162729E-4</v>
      </c>
      <c r="T11" s="231">
        <f>$P11-R11</f>
        <v>-31.137835787980006</v>
      </c>
      <c r="U11" s="232">
        <f>IFERROR($P11/R11-1,0)</f>
        <v>245.48134549509641</v>
      </c>
      <c r="V11" s="233">
        <f>U11</f>
        <v>245.48134549509641</v>
      </c>
      <c r="W11"/>
      <c r="X11" s="230">
        <f>SUM(X48,X13,X85)</f>
        <v>-0.82105256000000093</v>
      </c>
      <c r="Y11" s="232">
        <f>IFERROR(X11/$E11,0)</f>
        <v>-1.5107686259659323E-3</v>
      </c>
      <c r="Z11" s="230">
        <f>SUM(Z48,Z13,Z85)</f>
        <v>-1.7437241991327117</v>
      </c>
      <c r="AA11" s="232">
        <f>IFERROR(Z11/$F11,0)</f>
        <v>-3.219010172271752E-3</v>
      </c>
      <c r="AB11" s="231">
        <f>X11-Z11</f>
        <v>0.92267163913271077</v>
      </c>
      <c r="AC11" s="232">
        <f>IFERROR(X11/Z11-1,0)</f>
        <v>-0.52913851834574888</v>
      </c>
      <c r="AD11" s="233">
        <f>AC11</f>
        <v>-0.52913851834574888</v>
      </c>
      <c r="AE11"/>
      <c r="AF11" s="230">
        <f>SUM(AF48,AF13,AF85)</f>
        <v>5.740624999999952E-2</v>
      </c>
      <c r="AG11" s="232">
        <f>IFERROR(AF11/$E11,0)</f>
        <v>1.0562973146853836E-4</v>
      </c>
      <c r="AH11" s="230">
        <f>SUM(AH48,AH13,AH85)</f>
        <v>-0.61443333333333339</v>
      </c>
      <c r="AI11" s="232">
        <f>IFERROR(AH11/$F11,0)</f>
        <v>-1.134277514280404E-3</v>
      </c>
      <c r="AJ11" s="231">
        <f t="shared" ref="AJ11:AJ76" si="0">AF11-AH11</f>
        <v>0.67183958333333293</v>
      </c>
      <c r="AK11" s="232">
        <f t="shared" ref="AK11:AK76" si="1">IFERROR(AF11/AH11-1,0)</f>
        <v>-1.0934295828134317</v>
      </c>
      <c r="AL11" s="233">
        <f>AK11</f>
        <v>-1.0934295828134317</v>
      </c>
    </row>
    <row r="12" spans="2:38" ht="7.5" customHeight="1" x14ac:dyDescent="0.35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</row>
    <row r="13" spans="2:38" x14ac:dyDescent="0.35">
      <c r="B13" s="234">
        <v>1</v>
      </c>
      <c r="C13" s="234" t="s">
        <v>116</v>
      </c>
      <c r="D13"/>
      <c r="E13" s="235">
        <f>SUM(E44:E46,E40,E38,E14,E43,E29)</f>
        <v>245.21687184484625</v>
      </c>
      <c r="F13" s="235">
        <f>SUM(F44:F46,F40,F38,F14,F43,F29)</f>
        <v>244.90609754469199</v>
      </c>
      <c r="G13"/>
      <c r="H13" s="235">
        <f>SUM(H44:H46,H40,H38,H14,H43,H29)</f>
        <v>-17.658617949004789</v>
      </c>
      <c r="I13" s="237">
        <f t="shared" ref="I13:I80" si="2">IFERROR(H13/$E13,0)</f>
        <v>-7.2012247020987033E-2</v>
      </c>
      <c r="J13" s="235">
        <f>SUM(J44:J46,J40,J38,J14,J43,J29)</f>
        <v>-1.8825211214811965</v>
      </c>
      <c r="K13" s="237">
        <f t="shared" ref="K13:K80" si="3">IFERROR(J13/$F13,0)</f>
        <v>-7.6867058042018018E-3</v>
      </c>
      <c r="L13" s="236">
        <f t="shared" ref="L13:L80" si="4">$H13-J13</f>
        <v>-15.776096827523592</v>
      </c>
      <c r="M13" s="237">
        <f t="shared" ref="M13:M80" si="5">IFERROR($H13/J13-1,0)</f>
        <v>8.3803026948832944</v>
      </c>
      <c r="N13" s="238">
        <f t="shared" ref="N13:N80" si="6">M13</f>
        <v>8.3803026948832944</v>
      </c>
      <c r="O13"/>
      <c r="P13" s="235">
        <f>SUM(P44:P46,P40,P38,P14,P43,P29)</f>
        <v>-16.891872629004787</v>
      </c>
      <c r="Q13" s="237">
        <f t="shared" ref="Q13:Q80" si="7">IFERROR(P13/$E13,0)</f>
        <v>-6.8885442106498371E-2</v>
      </c>
      <c r="R13" s="235">
        <f>SUM(R44:R46,R40,R38,R14,R43,R29)</f>
        <v>0</v>
      </c>
      <c r="S13" s="237">
        <f t="shared" ref="S13:S80" si="8">IFERROR(R13/$F13,0)</f>
        <v>0</v>
      </c>
      <c r="T13" s="236">
        <f t="shared" ref="T13:T80" si="9">$P13-R13</f>
        <v>-16.891872629004787</v>
      </c>
      <c r="U13" s="237">
        <f t="shared" ref="U13:U80" si="10">IFERROR($P13/R13-1,0)</f>
        <v>0</v>
      </c>
      <c r="V13" s="238">
        <f t="shared" ref="V13:V80" si="11">U13</f>
        <v>0</v>
      </c>
      <c r="W13"/>
      <c r="X13" s="235">
        <f>SUM(X44:X46,X40,X38,X14,X43,X29)</f>
        <v>-0.69839473000000096</v>
      </c>
      <c r="Y13" s="237">
        <f t="shared" ref="Y13:Y80" si="12">IFERROR(X13/$E13,0)</f>
        <v>-2.8480696484942097E-3</v>
      </c>
      <c r="Z13" s="235">
        <f>SUM(Z44:Z46,Z40,Z38,Z14,Z43,Z29)</f>
        <v>-1.5337211214811965</v>
      </c>
      <c r="AA13" s="237">
        <f t="shared" ref="AA13:AA80" si="13">IFERROR(Z13/$F13,0)</f>
        <v>-6.2624864666806163E-3</v>
      </c>
      <c r="AB13" s="236">
        <f t="shared" ref="AB13:AB78" si="14">X13-Z13</f>
        <v>0.83532639148119558</v>
      </c>
      <c r="AC13" s="237">
        <f t="shared" ref="AC13:AC78" si="15">IFERROR(X13/Z13-1,0)</f>
        <v>-0.54464033896493269</v>
      </c>
      <c r="AD13" s="238">
        <f t="shared" ref="AD13:AD80" si="16">AC13</f>
        <v>-0.54464033896493269</v>
      </c>
      <c r="AE13"/>
      <c r="AF13" s="235">
        <f>SUM(AF44:AF46,AF40,AF38,AF14,AF43,AF29)</f>
        <v>-6.8350589999999933E-2</v>
      </c>
      <c r="AG13" s="237">
        <f t="shared" ref="AG13:AG80" si="17">IFERROR(AF13/$E13,0)</f>
        <v>-2.7873526599444902E-4</v>
      </c>
      <c r="AH13" s="235">
        <f>SUM(AH44:AH46,AH40,AH38,AH14,AH43,AH29)</f>
        <v>-0.3488</v>
      </c>
      <c r="AI13" s="237">
        <f t="shared" ref="AI13:AI80" si="18">IFERROR(AH13/$F13,0)</f>
        <v>-1.4242193375211853E-3</v>
      </c>
      <c r="AJ13" s="236">
        <f t="shared" si="0"/>
        <v>0.28044941000000007</v>
      </c>
      <c r="AK13" s="237">
        <f t="shared" si="1"/>
        <v>-0.80404073967889933</v>
      </c>
      <c r="AL13" s="238">
        <f t="shared" ref="AL13:AL80" si="19">AK13</f>
        <v>-0.80404073967889933</v>
      </c>
    </row>
    <row r="14" spans="2:38" x14ac:dyDescent="0.35">
      <c r="B14" s="239" t="s">
        <v>117</v>
      </c>
      <c r="C14" s="239" t="s">
        <v>118</v>
      </c>
      <c r="D14"/>
      <c r="E14" s="240">
        <f>E15+E20+E28</f>
        <v>120.15535306322312</v>
      </c>
      <c r="F14" s="240">
        <f>F15+F20+F28</f>
        <v>119.41802668723059</v>
      </c>
      <c r="G14"/>
      <c r="H14" s="240">
        <f>H15+H20+H28</f>
        <v>-10.848110370000001</v>
      </c>
      <c r="I14" s="242">
        <f t="shared" si="2"/>
        <v>-9.0284037235461009E-2</v>
      </c>
      <c r="J14" s="240">
        <f>J15+J20+J28</f>
        <v>-4.5450000000000004E-2</v>
      </c>
      <c r="K14" s="242">
        <f t="shared" si="3"/>
        <v>-3.8059580501224264E-4</v>
      </c>
      <c r="L14" s="241">
        <f t="shared" si="4"/>
        <v>-10.80266037</v>
      </c>
      <c r="M14" s="242">
        <f t="shared" si="5"/>
        <v>237.68229636963696</v>
      </c>
      <c r="N14" s="243">
        <f t="shared" si="6"/>
        <v>237.68229636963696</v>
      </c>
      <c r="O14"/>
      <c r="P14" s="240">
        <f>P15+P20+P28</f>
        <v>-10.636945130000001</v>
      </c>
      <c r="Q14" s="242">
        <f t="shared" si="7"/>
        <v>-8.8526602093234028E-2</v>
      </c>
      <c r="R14" s="240">
        <f>R15+R20+R28</f>
        <v>0</v>
      </c>
      <c r="S14" s="242">
        <f t="shared" si="8"/>
        <v>0</v>
      </c>
      <c r="T14" s="241">
        <f t="shared" si="9"/>
        <v>-10.636945130000001</v>
      </c>
      <c r="U14" s="242">
        <f t="shared" si="10"/>
        <v>0</v>
      </c>
      <c r="V14" s="243">
        <f t="shared" si="11"/>
        <v>0</v>
      </c>
      <c r="W14"/>
      <c r="X14" s="240">
        <f>X15+X20+X28</f>
        <v>-0.16637966000000004</v>
      </c>
      <c r="Y14" s="242">
        <f t="shared" si="12"/>
        <v>-1.3847045159315933E-3</v>
      </c>
      <c r="Z14" s="240">
        <f>Z15+Z20+Z28</f>
        <v>-2.8650000000000002E-2</v>
      </c>
      <c r="AA14" s="242">
        <f t="shared" si="13"/>
        <v>-2.3991352725194172E-4</v>
      </c>
      <c r="AB14" s="241">
        <f t="shared" si="14"/>
        <v>-0.13772966000000003</v>
      </c>
      <c r="AC14" s="242">
        <f t="shared" si="15"/>
        <v>4.8073179755671909</v>
      </c>
      <c r="AD14" s="243">
        <f t="shared" si="16"/>
        <v>4.8073179755671909</v>
      </c>
      <c r="AE14"/>
      <c r="AF14" s="240">
        <f>AF15+AF20+AF28</f>
        <v>-4.4785580000000019E-2</v>
      </c>
      <c r="AG14" s="242">
        <f t="shared" si="17"/>
        <v>-3.7273062629539965E-4</v>
      </c>
      <c r="AH14" s="240">
        <f>AH15+AH20+AH28</f>
        <v>-1.6800000000000002E-2</v>
      </c>
      <c r="AI14" s="242">
        <f t="shared" si="18"/>
        <v>-1.4068227776030092E-4</v>
      </c>
      <c r="AJ14" s="241">
        <f t="shared" si="0"/>
        <v>-2.7985580000000017E-2</v>
      </c>
      <c r="AK14" s="242">
        <f t="shared" si="1"/>
        <v>1.665808333333334</v>
      </c>
      <c r="AL14" s="243">
        <f t="shared" si="19"/>
        <v>1.665808333333334</v>
      </c>
    </row>
    <row r="15" spans="2:38" x14ac:dyDescent="0.35">
      <c r="B15" s="244" t="s">
        <v>119</v>
      </c>
      <c r="C15" s="244" t="s">
        <v>120</v>
      </c>
      <c r="D15"/>
      <c r="E15" s="245">
        <f>SUM(E16:E19)</f>
        <v>55.610917737231794</v>
      </c>
      <c r="F15" s="245">
        <f>SUM(F16:F19)</f>
        <v>53.847477245940851</v>
      </c>
      <c r="G15"/>
      <c r="H15" s="245">
        <f>SUM(H16:H19)</f>
        <v>-5.245441969999999</v>
      </c>
      <c r="I15" s="247">
        <f t="shared" si="2"/>
        <v>-9.4323959816403971E-2</v>
      </c>
      <c r="J15" s="245">
        <f>SUM(J16:J19)</f>
        <v>-4.5450000000000004E-2</v>
      </c>
      <c r="K15" s="247">
        <f t="shared" si="3"/>
        <v>-8.4405068397937124E-4</v>
      </c>
      <c r="L15" s="246">
        <f t="shared" si="4"/>
        <v>-5.1999919699999992</v>
      </c>
      <c r="M15" s="247">
        <f t="shared" si="5"/>
        <v>114.41126446644661</v>
      </c>
      <c r="N15" s="248">
        <f t="shared" si="6"/>
        <v>114.41126446644661</v>
      </c>
      <c r="O15"/>
      <c r="P15" s="245">
        <f>SUM(P16:P19)</f>
        <v>-5.0818034599999997</v>
      </c>
      <c r="Q15" s="247">
        <f t="shared" si="7"/>
        <v>-9.1381398955006035E-2</v>
      </c>
      <c r="R15" s="245">
        <f>SUM(R16:R19)</f>
        <v>0</v>
      </c>
      <c r="S15" s="247">
        <f t="shared" si="8"/>
        <v>0</v>
      </c>
      <c r="T15" s="246">
        <f t="shared" si="9"/>
        <v>-5.0818034599999997</v>
      </c>
      <c r="U15" s="247">
        <f t="shared" si="10"/>
        <v>0</v>
      </c>
      <c r="V15" s="248">
        <f t="shared" si="11"/>
        <v>0</v>
      </c>
      <c r="W15"/>
      <c r="X15" s="245">
        <f>SUM(X16:X19)</f>
        <v>-0.11885293000000002</v>
      </c>
      <c r="Y15" s="247">
        <f t="shared" si="12"/>
        <v>-2.1372229561395528E-3</v>
      </c>
      <c r="Z15" s="245">
        <f>SUM(Z16:Z19)</f>
        <v>-2.8650000000000002E-2</v>
      </c>
      <c r="AA15" s="247">
        <f t="shared" si="13"/>
        <v>-5.3205835194739242E-4</v>
      </c>
      <c r="AB15" s="246">
        <f t="shared" si="14"/>
        <v>-9.0202930000000014E-2</v>
      </c>
      <c r="AC15" s="247">
        <f t="shared" si="15"/>
        <v>3.1484443280977317</v>
      </c>
      <c r="AD15" s="248">
        <f t="shared" si="16"/>
        <v>3.1484443280977317</v>
      </c>
      <c r="AE15"/>
      <c r="AF15" s="245">
        <f>SUM(AF16:AF19)</f>
        <v>-4.4785580000000019E-2</v>
      </c>
      <c r="AG15" s="247">
        <f t="shared" si="17"/>
        <v>-8.0533790525841016E-4</v>
      </c>
      <c r="AH15" s="245">
        <f>SUM(AH16:AH19)</f>
        <v>-1.6800000000000002E-2</v>
      </c>
      <c r="AI15" s="247">
        <f t="shared" si="18"/>
        <v>-3.1199233203197882E-4</v>
      </c>
      <c r="AJ15" s="246">
        <f t="shared" si="0"/>
        <v>-2.7985580000000017E-2</v>
      </c>
      <c r="AK15" s="247">
        <f t="shared" si="1"/>
        <v>1.665808333333334</v>
      </c>
      <c r="AL15" s="248">
        <f t="shared" si="19"/>
        <v>1.665808333333334</v>
      </c>
    </row>
    <row r="16" spans="2:38" hidden="1" outlineLevel="1" x14ac:dyDescent="0.35">
      <c r="B16" s="249" t="s">
        <v>121</v>
      </c>
      <c r="C16" s="249" t="s">
        <v>122</v>
      </c>
      <c r="D16"/>
      <c r="E16" s="250">
        <v>38.309189888331822</v>
      </c>
      <c r="F16" s="250">
        <v>38.64378052258899</v>
      </c>
      <c r="G16"/>
      <c r="H16" s="250">
        <f>SUM(P16,X16,AF16)</f>
        <v>-3.3840661299999995</v>
      </c>
      <c r="I16" s="252">
        <f t="shared" si="2"/>
        <v>-8.8335622336684155E-2</v>
      </c>
      <c r="J16" s="250">
        <f>SUM(R16,Z16,AH16)</f>
        <v>-2.4150000000000001E-2</v>
      </c>
      <c r="K16" s="252">
        <f t="shared" si="3"/>
        <v>-6.2493885622508553E-4</v>
      </c>
      <c r="L16" s="251">
        <f t="shared" si="4"/>
        <v>-3.3599161299999993</v>
      </c>
      <c r="M16" s="252">
        <f t="shared" si="5"/>
        <v>139.12696190476188</v>
      </c>
      <c r="N16" s="253">
        <f t="shared" si="6"/>
        <v>139.12696190476188</v>
      </c>
      <c r="O16"/>
      <c r="P16" s="250">
        <v>-3.3767830999999995</v>
      </c>
      <c r="Q16" s="252">
        <f t="shared" si="7"/>
        <v>-8.8145510511787067E-2</v>
      </c>
      <c r="R16" s="250">
        <v>0</v>
      </c>
      <c r="S16" s="252">
        <f t="shared" si="8"/>
        <v>0</v>
      </c>
      <c r="T16" s="251">
        <f t="shared" si="9"/>
        <v>-3.3767830999999995</v>
      </c>
      <c r="U16" s="252">
        <f t="shared" si="10"/>
        <v>0</v>
      </c>
      <c r="V16" s="253">
        <f t="shared" si="11"/>
        <v>0</v>
      </c>
      <c r="W16"/>
      <c r="X16" s="250">
        <v>-6.9280300000000008E-3</v>
      </c>
      <c r="Y16" s="252">
        <f t="shared" si="12"/>
        <v>-1.8084511889169793E-4</v>
      </c>
      <c r="Z16" s="250">
        <v>-2.0650000000000002E-2</v>
      </c>
      <c r="AA16" s="252">
        <f t="shared" si="13"/>
        <v>-5.3436800749681232E-4</v>
      </c>
      <c r="AB16" s="251">
        <f t="shared" si="14"/>
        <v>1.372197E-2</v>
      </c>
      <c r="AC16" s="252">
        <f t="shared" si="15"/>
        <v>-0.66450217917675536</v>
      </c>
      <c r="AD16" s="253">
        <f t="shared" si="16"/>
        <v>-0.66450217917675536</v>
      </c>
      <c r="AE16"/>
      <c r="AF16" s="250">
        <v>-3.5500000000000001E-4</v>
      </c>
      <c r="AG16" s="252">
        <f t="shared" si="17"/>
        <v>-9.2667060053944279E-6</v>
      </c>
      <c r="AH16" s="250">
        <v>-3.5000000000000001E-3</v>
      </c>
      <c r="AI16" s="252">
        <f t="shared" si="18"/>
        <v>-9.0570848728273258E-5</v>
      </c>
      <c r="AJ16" s="251">
        <f t="shared" si="0"/>
        <v>3.1450000000000002E-3</v>
      </c>
      <c r="AK16" s="252">
        <f t="shared" si="1"/>
        <v>-0.89857142857142858</v>
      </c>
      <c r="AL16" s="253">
        <f t="shared" si="19"/>
        <v>-0.89857142857142858</v>
      </c>
    </row>
    <row r="17" spans="2:38" hidden="1" outlineLevel="1" x14ac:dyDescent="0.35">
      <c r="B17" s="249" t="s">
        <v>123</v>
      </c>
      <c r="C17" s="249" t="s">
        <v>124</v>
      </c>
      <c r="D17"/>
      <c r="E17" s="250">
        <v>7.2798552499999953</v>
      </c>
      <c r="F17" s="250">
        <v>5.3980434185108797</v>
      </c>
      <c r="G17"/>
      <c r="H17" s="250">
        <f t="shared" ref="H17:H46" si="20">SUM(P17,X17,AF17)</f>
        <v>-0.96989650999999977</v>
      </c>
      <c r="I17" s="252">
        <f t="shared" si="2"/>
        <v>-0.13323019163052732</v>
      </c>
      <c r="J17" s="250">
        <f t="shared" ref="J17:J46" si="21">SUM(R17,Z17,AH17)</f>
        <v>-8.3000000000000001E-3</v>
      </c>
      <c r="K17" s="252">
        <f t="shared" si="3"/>
        <v>-1.5375941533811639E-3</v>
      </c>
      <c r="L17" s="251">
        <f t="shared" si="4"/>
        <v>-0.96159650999999979</v>
      </c>
      <c r="M17" s="252">
        <f t="shared" si="5"/>
        <v>115.85500120481925</v>
      </c>
      <c r="N17" s="253">
        <f t="shared" si="6"/>
        <v>115.85500120481925</v>
      </c>
      <c r="O17"/>
      <c r="P17" s="250">
        <v>-0.89678102999999976</v>
      </c>
      <c r="Q17" s="252">
        <f t="shared" si="7"/>
        <v>-0.12318665676766036</v>
      </c>
      <c r="R17" s="250">
        <v>0</v>
      </c>
      <c r="S17" s="252">
        <f t="shared" si="8"/>
        <v>0</v>
      </c>
      <c r="T17" s="251">
        <f t="shared" si="9"/>
        <v>-0.89678102999999976</v>
      </c>
      <c r="U17" s="252">
        <f t="shared" si="10"/>
        <v>0</v>
      </c>
      <c r="V17" s="253">
        <f t="shared" si="11"/>
        <v>0</v>
      </c>
      <c r="W17"/>
      <c r="X17" s="250">
        <v>-2.8684900000000024E-2</v>
      </c>
      <c r="Y17" s="252">
        <f t="shared" si="12"/>
        <v>-3.9403118626568905E-3</v>
      </c>
      <c r="Z17" s="250">
        <v>0</v>
      </c>
      <c r="AA17" s="252">
        <f t="shared" si="13"/>
        <v>0</v>
      </c>
      <c r="AB17" s="251">
        <f t="shared" si="14"/>
        <v>-2.8684900000000024E-2</v>
      </c>
      <c r="AC17" s="252">
        <f t="shared" si="15"/>
        <v>0</v>
      </c>
      <c r="AD17" s="253">
        <f t="shared" si="16"/>
        <v>0</v>
      </c>
      <c r="AE17"/>
      <c r="AF17" s="250">
        <v>-4.4430580000000018E-2</v>
      </c>
      <c r="AG17" s="252">
        <f t="shared" si="17"/>
        <v>-6.103223000210072E-3</v>
      </c>
      <c r="AH17" s="250">
        <v>-8.3000000000000001E-3</v>
      </c>
      <c r="AI17" s="252">
        <f t="shared" si="18"/>
        <v>-1.5375941533811639E-3</v>
      </c>
      <c r="AJ17" s="251">
        <f t="shared" si="0"/>
        <v>-3.6130580000000016E-2</v>
      </c>
      <c r="AK17" s="252">
        <f t="shared" si="1"/>
        <v>4.3530819277108455</v>
      </c>
      <c r="AL17" s="253">
        <f t="shared" si="19"/>
        <v>4.3530819277108455</v>
      </c>
    </row>
    <row r="18" spans="2:38" hidden="1" outlineLevel="1" x14ac:dyDescent="0.35">
      <c r="B18" s="249" t="s">
        <v>125</v>
      </c>
      <c r="C18" s="249" t="s">
        <v>126</v>
      </c>
      <c r="D18"/>
      <c r="E18" s="250">
        <v>8.7374055788999758</v>
      </c>
      <c r="F18" s="250">
        <v>8.3754882221512617</v>
      </c>
      <c r="G18"/>
      <c r="H18" s="250">
        <f t="shared" si="20"/>
        <v>-0.8914793299999999</v>
      </c>
      <c r="I18" s="252">
        <f t="shared" si="2"/>
        <v>-0.10203021044975179</v>
      </c>
      <c r="J18" s="250">
        <f t="shared" si="21"/>
        <v>-1.0999999999999999E-2</v>
      </c>
      <c r="K18" s="252">
        <f t="shared" si="3"/>
        <v>-1.3133562734775868E-3</v>
      </c>
      <c r="L18" s="251">
        <f t="shared" si="4"/>
        <v>-0.88047932999999989</v>
      </c>
      <c r="M18" s="252">
        <f t="shared" si="5"/>
        <v>80.043575454545447</v>
      </c>
      <c r="N18" s="253">
        <f t="shared" si="6"/>
        <v>80.043575454545447</v>
      </c>
      <c r="O18"/>
      <c r="P18" s="250">
        <v>-0.80823932999999992</v>
      </c>
      <c r="Q18" s="252">
        <f t="shared" si="7"/>
        <v>-9.2503354994968173E-2</v>
      </c>
      <c r="R18" s="250">
        <v>0</v>
      </c>
      <c r="S18" s="252">
        <f t="shared" si="8"/>
        <v>0</v>
      </c>
      <c r="T18" s="251">
        <f t="shared" si="9"/>
        <v>-0.80823932999999992</v>
      </c>
      <c r="U18" s="252">
        <f t="shared" si="10"/>
        <v>0</v>
      </c>
      <c r="V18" s="253">
        <f t="shared" si="11"/>
        <v>0</v>
      </c>
      <c r="W18"/>
      <c r="X18" s="250">
        <v>-8.3239999999999995E-2</v>
      </c>
      <c r="Y18" s="252">
        <f t="shared" si="12"/>
        <v>-9.5268554547836108E-3</v>
      </c>
      <c r="Z18" s="250">
        <v>-8.0000000000000002E-3</v>
      </c>
      <c r="AA18" s="252">
        <f t="shared" si="13"/>
        <v>-9.5516819889279042E-4</v>
      </c>
      <c r="AB18" s="251">
        <f t="shared" si="14"/>
        <v>-7.5240000000000001E-2</v>
      </c>
      <c r="AC18" s="252">
        <f t="shared" si="15"/>
        <v>9.4049999999999994</v>
      </c>
      <c r="AD18" s="253">
        <f t="shared" si="16"/>
        <v>9.4049999999999994</v>
      </c>
      <c r="AE18"/>
      <c r="AF18" s="250">
        <v>0</v>
      </c>
      <c r="AG18" s="252">
        <f t="shared" si="17"/>
        <v>0</v>
      </c>
      <c r="AH18" s="250">
        <v>-3.0000000000000001E-3</v>
      </c>
      <c r="AI18" s="252">
        <f t="shared" si="18"/>
        <v>-3.5818807458479641E-4</v>
      </c>
      <c r="AJ18" s="251">
        <f t="shared" si="0"/>
        <v>3.0000000000000001E-3</v>
      </c>
      <c r="AK18" s="252">
        <f t="shared" si="1"/>
        <v>-1</v>
      </c>
      <c r="AL18" s="253">
        <f t="shared" si="19"/>
        <v>-1</v>
      </c>
    </row>
    <row r="19" spans="2:38" hidden="1" outlineLevel="1" x14ac:dyDescent="0.35">
      <c r="B19" s="249" t="s">
        <v>127</v>
      </c>
      <c r="C19" s="249" t="s">
        <v>128</v>
      </c>
      <c r="D19"/>
      <c r="E19" s="250">
        <v>1.2844670199999992</v>
      </c>
      <c r="F19" s="250">
        <v>1.4301650826897196</v>
      </c>
      <c r="G19"/>
      <c r="H19" s="250">
        <f t="shared" si="20"/>
        <v>0</v>
      </c>
      <c r="I19" s="252">
        <f t="shared" si="2"/>
        <v>0</v>
      </c>
      <c r="J19" s="250">
        <f t="shared" si="21"/>
        <v>-2E-3</v>
      </c>
      <c r="K19" s="252">
        <f t="shared" si="3"/>
        <v>-1.3984399592797978E-3</v>
      </c>
      <c r="L19" s="251">
        <f t="shared" si="4"/>
        <v>2E-3</v>
      </c>
      <c r="M19" s="252">
        <f t="shared" si="5"/>
        <v>-1</v>
      </c>
      <c r="N19" s="253">
        <f t="shared" si="6"/>
        <v>-1</v>
      </c>
      <c r="O19"/>
      <c r="P19" s="250">
        <v>0</v>
      </c>
      <c r="Q19" s="252">
        <f t="shared" si="7"/>
        <v>0</v>
      </c>
      <c r="R19" s="250">
        <v>0</v>
      </c>
      <c r="S19" s="252">
        <f t="shared" si="8"/>
        <v>0</v>
      </c>
      <c r="T19" s="251">
        <f t="shared" si="9"/>
        <v>0</v>
      </c>
      <c r="U19" s="252">
        <f t="shared" si="10"/>
        <v>0</v>
      </c>
      <c r="V19" s="253">
        <f t="shared" si="11"/>
        <v>0</v>
      </c>
      <c r="W19"/>
      <c r="X19" s="250">
        <v>0</v>
      </c>
      <c r="Y19" s="252">
        <f t="shared" si="12"/>
        <v>0</v>
      </c>
      <c r="Z19" s="250">
        <v>0</v>
      </c>
      <c r="AA19" s="252">
        <f t="shared" si="13"/>
        <v>0</v>
      </c>
      <c r="AB19" s="251">
        <f t="shared" si="14"/>
        <v>0</v>
      </c>
      <c r="AC19" s="252">
        <f t="shared" si="15"/>
        <v>0</v>
      </c>
      <c r="AD19" s="253">
        <f t="shared" si="16"/>
        <v>0</v>
      </c>
      <c r="AE19"/>
      <c r="AF19" s="250">
        <v>0</v>
      </c>
      <c r="AG19" s="252">
        <f t="shared" si="17"/>
        <v>0</v>
      </c>
      <c r="AH19" s="250">
        <v>-2E-3</v>
      </c>
      <c r="AI19" s="252">
        <f t="shared" si="18"/>
        <v>-1.3984399592797978E-3</v>
      </c>
      <c r="AJ19" s="251">
        <f t="shared" si="0"/>
        <v>2E-3</v>
      </c>
      <c r="AK19" s="252">
        <f t="shared" si="1"/>
        <v>-1</v>
      </c>
      <c r="AL19" s="253">
        <f t="shared" si="19"/>
        <v>-1</v>
      </c>
    </row>
    <row r="20" spans="2:38" collapsed="1" x14ac:dyDescent="0.35">
      <c r="B20" s="244" t="s">
        <v>129</v>
      </c>
      <c r="C20" s="244" t="s">
        <v>130</v>
      </c>
      <c r="D20"/>
      <c r="E20" s="245">
        <f>SUM(E21:E27)</f>
        <v>52.621630369188317</v>
      </c>
      <c r="F20" s="245">
        <f>SUM(F21:F27)</f>
        <v>53.565193558814926</v>
      </c>
      <c r="G20"/>
      <c r="H20" s="245">
        <f>SUM(H21:H27)</f>
        <v>-5.6026684000000007</v>
      </c>
      <c r="I20" s="247">
        <f t="shared" si="2"/>
        <v>-0.10647082503320814</v>
      </c>
      <c r="J20" s="245">
        <f>SUM(J21:J27)</f>
        <v>0</v>
      </c>
      <c r="K20" s="247">
        <f t="shared" si="3"/>
        <v>0</v>
      </c>
      <c r="L20" s="246">
        <f t="shared" si="4"/>
        <v>-5.6026684000000007</v>
      </c>
      <c r="M20" s="247">
        <f t="shared" si="5"/>
        <v>0</v>
      </c>
      <c r="N20" s="248">
        <f t="shared" si="6"/>
        <v>0</v>
      </c>
      <c r="O20"/>
      <c r="P20" s="245">
        <f>SUM(P21:P27)</f>
        <v>-5.5551416700000011</v>
      </c>
      <c r="Q20" s="247">
        <f t="shared" si="7"/>
        <v>-0.1055676464416944</v>
      </c>
      <c r="R20" s="245">
        <f>SUM(R21:R27)</f>
        <v>0</v>
      </c>
      <c r="S20" s="247">
        <f t="shared" si="8"/>
        <v>0</v>
      </c>
      <c r="T20" s="246">
        <f t="shared" si="9"/>
        <v>-5.5551416700000011</v>
      </c>
      <c r="U20" s="247">
        <f t="shared" si="10"/>
        <v>0</v>
      </c>
      <c r="V20" s="248">
        <f t="shared" si="11"/>
        <v>0</v>
      </c>
      <c r="W20"/>
      <c r="X20" s="245">
        <f>SUM(X21:X27)</f>
        <v>-4.7526730000000017E-2</v>
      </c>
      <c r="Y20" s="247">
        <f t="shared" si="12"/>
        <v>-9.0317859151373744E-4</v>
      </c>
      <c r="Z20" s="245">
        <f>SUM(Z21:Z27)</f>
        <v>0</v>
      </c>
      <c r="AA20" s="247">
        <f t="shared" si="13"/>
        <v>0</v>
      </c>
      <c r="AB20" s="246">
        <f t="shared" si="14"/>
        <v>-4.7526730000000017E-2</v>
      </c>
      <c r="AC20" s="247">
        <f t="shared" si="15"/>
        <v>0</v>
      </c>
      <c r="AD20" s="248">
        <f t="shared" si="16"/>
        <v>0</v>
      </c>
      <c r="AE20"/>
      <c r="AF20" s="245">
        <f>SUM(AF21:AF27)</f>
        <v>0</v>
      </c>
      <c r="AG20" s="247">
        <f t="shared" si="17"/>
        <v>0</v>
      </c>
      <c r="AH20" s="245">
        <f>SUM(AH21:AH27)</f>
        <v>0</v>
      </c>
      <c r="AI20" s="247">
        <f t="shared" si="18"/>
        <v>0</v>
      </c>
      <c r="AJ20" s="246">
        <f t="shared" si="0"/>
        <v>0</v>
      </c>
      <c r="AK20" s="247">
        <f t="shared" si="1"/>
        <v>0</v>
      </c>
      <c r="AL20" s="248">
        <f t="shared" si="19"/>
        <v>0</v>
      </c>
    </row>
    <row r="21" spans="2:38" hidden="1" outlineLevel="1" x14ac:dyDescent="0.35">
      <c r="B21" s="249" t="s">
        <v>131</v>
      </c>
      <c r="C21" s="249" t="s">
        <v>134</v>
      </c>
      <c r="D21"/>
      <c r="E21" s="250">
        <v>17.27818288293901</v>
      </c>
      <c r="F21" s="250">
        <v>17.518240927121909</v>
      </c>
      <c r="G21"/>
      <c r="H21" s="250">
        <f t="shared" si="20"/>
        <v>-4.2242529799999966</v>
      </c>
      <c r="I21" s="252">
        <f t="shared" si="2"/>
        <v>-0.24448479383622854</v>
      </c>
      <c r="J21" s="250">
        <f t="shared" si="21"/>
        <v>0</v>
      </c>
      <c r="K21" s="252">
        <f t="shared" si="3"/>
        <v>0</v>
      </c>
      <c r="L21" s="251">
        <f t="shared" si="4"/>
        <v>-4.2242529799999966</v>
      </c>
      <c r="M21" s="252">
        <f t="shared" si="5"/>
        <v>0</v>
      </c>
      <c r="N21" s="253">
        <f t="shared" si="6"/>
        <v>0</v>
      </c>
      <c r="O21"/>
      <c r="P21" s="250">
        <v>-4.2204539599999968</v>
      </c>
      <c r="Q21" s="252">
        <f t="shared" si="7"/>
        <v>-0.24426492002046107</v>
      </c>
      <c r="R21" s="250">
        <v>0</v>
      </c>
      <c r="S21" s="252">
        <f t="shared" si="8"/>
        <v>0</v>
      </c>
      <c r="T21" s="251">
        <f t="shared" si="9"/>
        <v>-4.2204539599999968</v>
      </c>
      <c r="U21" s="252">
        <f t="shared" si="10"/>
        <v>0</v>
      </c>
      <c r="V21" s="253">
        <f t="shared" si="11"/>
        <v>0</v>
      </c>
      <c r="W21"/>
      <c r="X21" s="250">
        <v>-3.7990200000000002E-3</v>
      </c>
      <c r="Y21" s="252">
        <f t="shared" si="12"/>
        <v>-2.1987381576747084E-4</v>
      </c>
      <c r="Z21" s="250">
        <v>0</v>
      </c>
      <c r="AA21" s="252">
        <f t="shared" si="13"/>
        <v>0</v>
      </c>
      <c r="AB21" s="251">
        <f t="shared" si="14"/>
        <v>-3.7990200000000002E-3</v>
      </c>
      <c r="AC21" s="252">
        <f t="shared" si="15"/>
        <v>0</v>
      </c>
      <c r="AD21" s="253">
        <f t="shared" si="16"/>
        <v>0</v>
      </c>
      <c r="AE21"/>
      <c r="AF21" s="250">
        <v>0</v>
      </c>
      <c r="AG21" s="252">
        <f t="shared" si="17"/>
        <v>0</v>
      </c>
      <c r="AH21" s="250">
        <v>0</v>
      </c>
      <c r="AI21" s="252">
        <f t="shared" si="18"/>
        <v>0</v>
      </c>
      <c r="AJ21" s="251">
        <f t="shared" si="0"/>
        <v>0</v>
      </c>
      <c r="AK21" s="252">
        <f t="shared" si="1"/>
        <v>0</v>
      </c>
      <c r="AL21" s="253">
        <f t="shared" si="19"/>
        <v>0</v>
      </c>
    </row>
    <row r="22" spans="2:38" hidden="1" outlineLevel="1" x14ac:dyDescent="0.35">
      <c r="B22" s="249" t="s">
        <v>141</v>
      </c>
      <c r="C22" s="249" t="s">
        <v>142</v>
      </c>
      <c r="D22"/>
      <c r="E22" s="250">
        <v>18.556077683148015</v>
      </c>
      <c r="F22" s="250">
        <v>18.204903023131433</v>
      </c>
      <c r="G22"/>
      <c r="H22" s="250">
        <f t="shared" si="20"/>
        <v>-1.3346877100000041</v>
      </c>
      <c r="I22" s="252">
        <f t="shared" si="2"/>
        <v>-7.1927253851287828E-2</v>
      </c>
      <c r="J22" s="250">
        <f t="shared" si="21"/>
        <v>0</v>
      </c>
      <c r="K22" s="252">
        <f t="shared" si="3"/>
        <v>0</v>
      </c>
      <c r="L22" s="251">
        <f t="shared" si="4"/>
        <v>-1.3346877100000041</v>
      </c>
      <c r="M22" s="252">
        <f t="shared" si="5"/>
        <v>0</v>
      </c>
      <c r="N22" s="253">
        <f t="shared" si="6"/>
        <v>0</v>
      </c>
      <c r="O22"/>
      <c r="P22" s="250">
        <v>-1.3346877100000041</v>
      </c>
      <c r="Q22" s="252">
        <f t="shared" si="7"/>
        <v>-7.1927253851287828E-2</v>
      </c>
      <c r="R22" s="250">
        <v>0</v>
      </c>
      <c r="S22" s="252">
        <f t="shared" si="8"/>
        <v>0</v>
      </c>
      <c r="T22" s="251">
        <f t="shared" si="9"/>
        <v>-1.3346877100000041</v>
      </c>
      <c r="U22" s="252">
        <f t="shared" si="10"/>
        <v>0</v>
      </c>
      <c r="V22" s="253">
        <f t="shared" si="11"/>
        <v>0</v>
      </c>
      <c r="W22"/>
      <c r="X22" s="250">
        <v>0</v>
      </c>
      <c r="Y22" s="252">
        <f t="shared" si="12"/>
        <v>0</v>
      </c>
      <c r="Z22" s="250">
        <v>0</v>
      </c>
      <c r="AA22" s="252">
        <f t="shared" si="13"/>
        <v>0</v>
      </c>
      <c r="AB22" s="251">
        <f t="shared" si="14"/>
        <v>0</v>
      </c>
      <c r="AC22" s="252">
        <f t="shared" si="15"/>
        <v>0</v>
      </c>
      <c r="AD22" s="253">
        <f t="shared" si="16"/>
        <v>0</v>
      </c>
      <c r="AE22"/>
      <c r="AF22" s="250">
        <v>0</v>
      </c>
      <c r="AG22" s="252">
        <f t="shared" si="17"/>
        <v>0</v>
      </c>
      <c r="AH22" s="250">
        <v>0</v>
      </c>
      <c r="AI22" s="252">
        <f t="shared" si="18"/>
        <v>0</v>
      </c>
      <c r="AJ22" s="251">
        <f t="shared" si="0"/>
        <v>0</v>
      </c>
      <c r="AK22" s="252">
        <f t="shared" si="1"/>
        <v>0</v>
      </c>
      <c r="AL22" s="253">
        <f t="shared" si="19"/>
        <v>0</v>
      </c>
    </row>
    <row r="23" spans="2:38" hidden="1" outlineLevel="1" x14ac:dyDescent="0.35">
      <c r="B23" s="249" t="s">
        <v>143</v>
      </c>
      <c r="C23" s="249" t="s">
        <v>144</v>
      </c>
      <c r="D23"/>
      <c r="E23" s="250">
        <v>6.9942245698579981</v>
      </c>
      <c r="F23" s="250">
        <v>7.074088840884726</v>
      </c>
      <c r="G23"/>
      <c r="H23" s="250">
        <f t="shared" si="20"/>
        <v>-4.372771000000001E-2</v>
      </c>
      <c r="I23" s="252">
        <f t="shared" si="2"/>
        <v>-6.2519739769933925E-3</v>
      </c>
      <c r="J23" s="250">
        <f t="shared" si="21"/>
        <v>0</v>
      </c>
      <c r="K23" s="252">
        <f t="shared" si="3"/>
        <v>0</v>
      </c>
      <c r="L23" s="251">
        <f t="shared" si="4"/>
        <v>-4.372771000000001E-2</v>
      </c>
      <c r="M23" s="252">
        <f t="shared" si="5"/>
        <v>0</v>
      </c>
      <c r="N23" s="253">
        <f t="shared" si="6"/>
        <v>0</v>
      </c>
      <c r="O23"/>
      <c r="P23" s="250">
        <v>3.6379788070917128E-18</v>
      </c>
      <c r="Q23" s="252">
        <f t="shared" si="7"/>
        <v>5.2014040595290373E-19</v>
      </c>
      <c r="R23" s="250">
        <v>0</v>
      </c>
      <c r="S23" s="252">
        <f t="shared" si="8"/>
        <v>0</v>
      </c>
      <c r="T23" s="251">
        <f t="shared" si="9"/>
        <v>3.6379788070917128E-18</v>
      </c>
      <c r="U23" s="252">
        <f t="shared" si="10"/>
        <v>0</v>
      </c>
      <c r="V23" s="253">
        <f t="shared" si="11"/>
        <v>0</v>
      </c>
      <c r="W23"/>
      <c r="X23" s="250">
        <v>-4.3727710000000017E-2</v>
      </c>
      <c r="Y23" s="252">
        <f t="shared" si="12"/>
        <v>-6.2519739769933934E-3</v>
      </c>
      <c r="Z23" s="250">
        <v>0</v>
      </c>
      <c r="AA23" s="252">
        <f t="shared" si="13"/>
        <v>0</v>
      </c>
      <c r="AB23" s="251">
        <f t="shared" si="14"/>
        <v>-4.3727710000000017E-2</v>
      </c>
      <c r="AC23" s="252">
        <f t="shared" si="15"/>
        <v>0</v>
      </c>
      <c r="AD23" s="253">
        <f t="shared" si="16"/>
        <v>0</v>
      </c>
      <c r="AE23"/>
      <c r="AF23" s="250">
        <v>0</v>
      </c>
      <c r="AG23" s="252">
        <f t="shared" si="17"/>
        <v>0</v>
      </c>
      <c r="AH23" s="250">
        <v>0</v>
      </c>
      <c r="AI23" s="252">
        <f t="shared" si="18"/>
        <v>0</v>
      </c>
      <c r="AJ23" s="251">
        <f t="shared" si="0"/>
        <v>0</v>
      </c>
      <c r="AK23" s="252">
        <f t="shared" si="1"/>
        <v>0</v>
      </c>
      <c r="AL23" s="253">
        <f t="shared" si="19"/>
        <v>0</v>
      </c>
    </row>
    <row r="24" spans="2:38" hidden="1" outlineLevel="1" x14ac:dyDescent="0.35">
      <c r="B24" s="249" t="s">
        <v>145</v>
      </c>
      <c r="C24" s="249" t="s">
        <v>136</v>
      </c>
      <c r="D24"/>
      <c r="E24" s="250">
        <v>1.3754206007920071</v>
      </c>
      <c r="F24" s="250">
        <v>1.4467264128684443</v>
      </c>
      <c r="G24"/>
      <c r="H24" s="250">
        <f t="shared" si="20"/>
        <v>0</v>
      </c>
      <c r="I24" s="252">
        <f t="shared" si="2"/>
        <v>0</v>
      </c>
      <c r="J24" s="250">
        <f t="shared" si="21"/>
        <v>0</v>
      </c>
      <c r="K24" s="252">
        <f t="shared" si="3"/>
        <v>0</v>
      </c>
      <c r="L24" s="251">
        <f t="shared" si="4"/>
        <v>0</v>
      </c>
      <c r="M24" s="252">
        <f t="shared" si="5"/>
        <v>0</v>
      </c>
      <c r="N24" s="253">
        <f t="shared" si="6"/>
        <v>0</v>
      </c>
      <c r="O24"/>
      <c r="P24" s="250">
        <v>0</v>
      </c>
      <c r="Q24" s="252">
        <f t="shared" si="7"/>
        <v>0</v>
      </c>
      <c r="R24" s="250">
        <v>0</v>
      </c>
      <c r="S24" s="252">
        <f t="shared" si="8"/>
        <v>0</v>
      </c>
      <c r="T24" s="251">
        <f t="shared" si="9"/>
        <v>0</v>
      </c>
      <c r="U24" s="252">
        <f t="shared" si="10"/>
        <v>0</v>
      </c>
      <c r="V24" s="253">
        <f t="shared" si="11"/>
        <v>0</v>
      </c>
      <c r="W24"/>
      <c r="X24" s="250">
        <v>0</v>
      </c>
      <c r="Y24" s="252">
        <f t="shared" si="12"/>
        <v>0</v>
      </c>
      <c r="Z24" s="250">
        <v>0</v>
      </c>
      <c r="AA24" s="252">
        <f t="shared" si="13"/>
        <v>0</v>
      </c>
      <c r="AB24" s="251">
        <f t="shared" si="14"/>
        <v>0</v>
      </c>
      <c r="AC24" s="252">
        <f t="shared" si="15"/>
        <v>0</v>
      </c>
      <c r="AD24" s="253">
        <f t="shared" si="16"/>
        <v>0</v>
      </c>
      <c r="AE24"/>
      <c r="AF24" s="250">
        <v>0</v>
      </c>
      <c r="AG24" s="252">
        <f t="shared" si="17"/>
        <v>0</v>
      </c>
      <c r="AH24" s="250">
        <v>0</v>
      </c>
      <c r="AI24" s="252">
        <f t="shared" si="18"/>
        <v>0</v>
      </c>
      <c r="AJ24" s="251">
        <f t="shared" si="0"/>
        <v>0</v>
      </c>
      <c r="AK24" s="252">
        <f t="shared" si="1"/>
        <v>0</v>
      </c>
      <c r="AL24" s="253">
        <f t="shared" si="19"/>
        <v>0</v>
      </c>
    </row>
    <row r="25" spans="2:38" hidden="1" outlineLevel="1" x14ac:dyDescent="0.35">
      <c r="B25" s="249" t="s">
        <v>261</v>
      </c>
      <c r="C25" s="249" t="s">
        <v>138</v>
      </c>
      <c r="D25"/>
      <c r="E25" s="250">
        <v>3.7367920594910764</v>
      </c>
      <c r="F25" s="250">
        <v>4.2680686935455698</v>
      </c>
      <c r="G25"/>
      <c r="H25" s="250">
        <f t="shared" si="20"/>
        <v>0</v>
      </c>
      <c r="I25" s="252">
        <f t="shared" si="2"/>
        <v>0</v>
      </c>
      <c r="J25" s="250">
        <f t="shared" si="21"/>
        <v>0</v>
      </c>
      <c r="K25" s="252">
        <f t="shared" si="3"/>
        <v>0</v>
      </c>
      <c r="L25" s="251">
        <f t="shared" si="4"/>
        <v>0</v>
      </c>
      <c r="M25" s="252">
        <f t="shared" si="5"/>
        <v>0</v>
      </c>
      <c r="N25" s="253">
        <f t="shared" si="6"/>
        <v>0</v>
      </c>
      <c r="O25"/>
      <c r="P25" s="250">
        <v>0</v>
      </c>
      <c r="Q25" s="252">
        <f t="shared" si="7"/>
        <v>0</v>
      </c>
      <c r="R25" s="250">
        <v>0</v>
      </c>
      <c r="S25" s="252">
        <f t="shared" si="8"/>
        <v>0</v>
      </c>
      <c r="T25" s="251">
        <f t="shared" si="9"/>
        <v>0</v>
      </c>
      <c r="U25" s="252">
        <f t="shared" si="10"/>
        <v>0</v>
      </c>
      <c r="V25" s="253">
        <f t="shared" si="11"/>
        <v>0</v>
      </c>
      <c r="W25"/>
      <c r="X25" s="250">
        <v>0</v>
      </c>
      <c r="Y25" s="252">
        <f t="shared" si="12"/>
        <v>0</v>
      </c>
      <c r="Z25" s="250">
        <v>0</v>
      </c>
      <c r="AA25" s="252">
        <f t="shared" si="13"/>
        <v>0</v>
      </c>
      <c r="AB25" s="251">
        <f t="shared" si="14"/>
        <v>0</v>
      </c>
      <c r="AC25" s="252">
        <f t="shared" si="15"/>
        <v>0</v>
      </c>
      <c r="AD25" s="253">
        <f t="shared" si="16"/>
        <v>0</v>
      </c>
      <c r="AE25"/>
      <c r="AF25" s="250">
        <v>0</v>
      </c>
      <c r="AG25" s="252">
        <f t="shared" si="17"/>
        <v>0</v>
      </c>
      <c r="AH25" s="250">
        <v>0</v>
      </c>
      <c r="AI25" s="252">
        <f t="shared" si="18"/>
        <v>0</v>
      </c>
      <c r="AJ25" s="251">
        <f t="shared" si="0"/>
        <v>0</v>
      </c>
      <c r="AK25" s="252">
        <f t="shared" si="1"/>
        <v>0</v>
      </c>
      <c r="AL25" s="253">
        <f t="shared" si="19"/>
        <v>0</v>
      </c>
    </row>
    <row r="26" spans="2:38" hidden="1" outlineLevel="1" x14ac:dyDescent="0.35">
      <c r="B26" s="249" t="s">
        <v>262</v>
      </c>
      <c r="C26" s="249" t="s">
        <v>140</v>
      </c>
      <c r="D26"/>
      <c r="E26" s="250">
        <v>2.5385852229602088</v>
      </c>
      <c r="F26" s="250">
        <v>2.9278749667663169</v>
      </c>
      <c r="G26"/>
      <c r="H26" s="250">
        <f t="shared" si="20"/>
        <v>0</v>
      </c>
      <c r="I26" s="252">
        <f t="shared" si="2"/>
        <v>0</v>
      </c>
      <c r="J26" s="250">
        <f t="shared" si="21"/>
        <v>0</v>
      </c>
      <c r="K26" s="252">
        <f t="shared" si="3"/>
        <v>0</v>
      </c>
      <c r="L26" s="251">
        <f t="shared" si="4"/>
        <v>0</v>
      </c>
      <c r="M26" s="252">
        <f t="shared" si="5"/>
        <v>0</v>
      </c>
      <c r="N26" s="253">
        <f t="shared" si="6"/>
        <v>0</v>
      </c>
      <c r="O26"/>
      <c r="P26" s="250">
        <v>0</v>
      </c>
      <c r="Q26" s="252">
        <f t="shared" si="7"/>
        <v>0</v>
      </c>
      <c r="R26" s="250">
        <v>0</v>
      </c>
      <c r="S26" s="252">
        <f t="shared" si="8"/>
        <v>0</v>
      </c>
      <c r="T26" s="251">
        <f t="shared" si="9"/>
        <v>0</v>
      </c>
      <c r="U26" s="252">
        <f t="shared" si="10"/>
        <v>0</v>
      </c>
      <c r="V26" s="253">
        <f t="shared" si="11"/>
        <v>0</v>
      </c>
      <c r="W26"/>
      <c r="X26" s="250">
        <v>0</v>
      </c>
      <c r="Y26" s="252">
        <f t="shared" si="12"/>
        <v>0</v>
      </c>
      <c r="Z26" s="250">
        <v>0</v>
      </c>
      <c r="AA26" s="252">
        <f t="shared" si="13"/>
        <v>0</v>
      </c>
      <c r="AB26" s="251">
        <f t="shared" si="14"/>
        <v>0</v>
      </c>
      <c r="AC26" s="252">
        <f t="shared" si="15"/>
        <v>0</v>
      </c>
      <c r="AD26" s="253">
        <f t="shared" si="16"/>
        <v>0</v>
      </c>
      <c r="AE26"/>
      <c r="AF26" s="250">
        <v>0</v>
      </c>
      <c r="AG26" s="252">
        <f t="shared" si="17"/>
        <v>0</v>
      </c>
      <c r="AH26" s="250">
        <v>0</v>
      </c>
      <c r="AI26" s="252">
        <f t="shared" si="18"/>
        <v>0</v>
      </c>
      <c r="AJ26" s="251">
        <f t="shared" si="0"/>
        <v>0</v>
      </c>
      <c r="AK26" s="252">
        <f t="shared" si="1"/>
        <v>0</v>
      </c>
      <c r="AL26" s="253">
        <f t="shared" si="19"/>
        <v>0</v>
      </c>
    </row>
    <row r="27" spans="2:38" hidden="1" outlineLevel="1" x14ac:dyDescent="0.35">
      <c r="B27" s="249" t="s">
        <v>263</v>
      </c>
      <c r="C27" s="249" t="s">
        <v>146</v>
      </c>
      <c r="D27"/>
      <c r="E27" s="250">
        <v>2.1423473499999992</v>
      </c>
      <c r="F27" s="250">
        <v>2.1252906944965235</v>
      </c>
      <c r="G27"/>
      <c r="H27" s="250">
        <f t="shared" si="20"/>
        <v>0</v>
      </c>
      <c r="I27" s="252">
        <f t="shared" si="2"/>
        <v>0</v>
      </c>
      <c r="J27" s="250">
        <f t="shared" si="21"/>
        <v>0</v>
      </c>
      <c r="K27" s="252">
        <f t="shared" si="3"/>
        <v>0</v>
      </c>
      <c r="L27" s="251">
        <f t="shared" si="4"/>
        <v>0</v>
      </c>
      <c r="M27" s="252">
        <f t="shared" si="5"/>
        <v>0</v>
      </c>
      <c r="N27" s="253">
        <f t="shared" si="6"/>
        <v>0</v>
      </c>
      <c r="O27"/>
      <c r="P27" s="250">
        <v>0</v>
      </c>
      <c r="Q27" s="252">
        <f t="shared" si="7"/>
        <v>0</v>
      </c>
      <c r="R27" s="250">
        <v>0</v>
      </c>
      <c r="S27" s="252">
        <f t="shared" si="8"/>
        <v>0</v>
      </c>
      <c r="T27" s="251">
        <f t="shared" si="9"/>
        <v>0</v>
      </c>
      <c r="U27" s="252">
        <f t="shared" si="10"/>
        <v>0</v>
      </c>
      <c r="V27" s="253">
        <f t="shared" si="11"/>
        <v>0</v>
      </c>
      <c r="W27"/>
      <c r="X27" s="250">
        <v>0</v>
      </c>
      <c r="Y27" s="252">
        <f t="shared" si="12"/>
        <v>0</v>
      </c>
      <c r="Z27" s="250">
        <v>0</v>
      </c>
      <c r="AA27" s="252">
        <f t="shared" si="13"/>
        <v>0</v>
      </c>
      <c r="AB27" s="251">
        <f t="shared" si="14"/>
        <v>0</v>
      </c>
      <c r="AC27" s="252">
        <f t="shared" si="15"/>
        <v>0</v>
      </c>
      <c r="AD27" s="253">
        <f t="shared" si="16"/>
        <v>0</v>
      </c>
      <c r="AE27"/>
      <c r="AF27" s="250">
        <v>0</v>
      </c>
      <c r="AG27" s="252">
        <f t="shared" si="17"/>
        <v>0</v>
      </c>
      <c r="AH27" s="250">
        <v>0</v>
      </c>
      <c r="AI27" s="252">
        <f t="shared" si="18"/>
        <v>0</v>
      </c>
      <c r="AJ27" s="251">
        <f t="shared" si="0"/>
        <v>0</v>
      </c>
      <c r="AK27" s="252">
        <f t="shared" si="1"/>
        <v>0</v>
      </c>
      <c r="AL27" s="253">
        <f t="shared" si="19"/>
        <v>0</v>
      </c>
    </row>
    <row r="28" spans="2:38" collapsed="1" x14ac:dyDescent="0.35">
      <c r="B28" s="244" t="s">
        <v>147</v>
      </c>
      <c r="C28" s="244" t="s">
        <v>148</v>
      </c>
      <c r="D28"/>
      <c r="E28" s="245">
        <v>11.922804956802999</v>
      </c>
      <c r="F28" s="245">
        <v>12.005355882474813</v>
      </c>
      <c r="G28"/>
      <c r="H28" s="245">
        <f t="shared" si="20"/>
        <v>0</v>
      </c>
      <c r="I28" s="247">
        <f t="shared" si="2"/>
        <v>0</v>
      </c>
      <c r="J28" s="245">
        <f t="shared" si="21"/>
        <v>0</v>
      </c>
      <c r="K28" s="247">
        <f t="shared" si="3"/>
        <v>0</v>
      </c>
      <c r="L28" s="246">
        <f t="shared" si="4"/>
        <v>0</v>
      </c>
      <c r="M28" s="247">
        <f t="shared" si="5"/>
        <v>0</v>
      </c>
      <c r="N28" s="248">
        <f t="shared" si="6"/>
        <v>0</v>
      </c>
      <c r="O28"/>
      <c r="P28" s="245">
        <v>0</v>
      </c>
      <c r="Q28" s="247">
        <f t="shared" si="7"/>
        <v>0</v>
      </c>
      <c r="R28" s="245">
        <v>0</v>
      </c>
      <c r="S28" s="247">
        <f t="shared" si="8"/>
        <v>0</v>
      </c>
      <c r="T28" s="246">
        <f t="shared" si="9"/>
        <v>0</v>
      </c>
      <c r="U28" s="247">
        <f t="shared" si="10"/>
        <v>0</v>
      </c>
      <c r="V28" s="248">
        <f t="shared" si="11"/>
        <v>0</v>
      </c>
      <c r="W28"/>
      <c r="X28" s="245">
        <v>0</v>
      </c>
      <c r="Y28" s="247">
        <f t="shared" si="12"/>
        <v>0</v>
      </c>
      <c r="Z28" s="245">
        <v>0</v>
      </c>
      <c r="AA28" s="247">
        <f t="shared" si="13"/>
        <v>0</v>
      </c>
      <c r="AB28" s="246">
        <f t="shared" si="14"/>
        <v>0</v>
      </c>
      <c r="AC28" s="247">
        <f t="shared" si="15"/>
        <v>0</v>
      </c>
      <c r="AD28" s="248">
        <f t="shared" si="16"/>
        <v>0</v>
      </c>
      <c r="AE28"/>
      <c r="AF28" s="245">
        <v>0</v>
      </c>
      <c r="AG28" s="247">
        <f t="shared" si="17"/>
        <v>0</v>
      </c>
      <c r="AH28" s="245">
        <v>0</v>
      </c>
      <c r="AI28" s="247">
        <f t="shared" si="18"/>
        <v>0</v>
      </c>
      <c r="AJ28" s="246">
        <f t="shared" si="0"/>
        <v>0</v>
      </c>
      <c r="AK28" s="247">
        <f t="shared" si="1"/>
        <v>0</v>
      </c>
      <c r="AL28" s="248">
        <f t="shared" si="19"/>
        <v>0</v>
      </c>
    </row>
    <row r="29" spans="2:38" x14ac:dyDescent="0.35">
      <c r="B29" s="239" t="s">
        <v>149</v>
      </c>
      <c r="C29" s="239" t="s">
        <v>150</v>
      </c>
      <c r="D29"/>
      <c r="E29" s="240">
        <f>SUM(E30:E34)</f>
        <v>22.868837786124985</v>
      </c>
      <c r="F29" s="240">
        <f>SUM(F30:F34)</f>
        <v>20.000530544723048</v>
      </c>
      <c r="G29"/>
      <c r="H29" s="240">
        <f>SUM(H30:H34)</f>
        <v>-0.61272515999999999</v>
      </c>
      <c r="I29" s="242">
        <f t="shared" si="2"/>
        <v>-2.679301701863282E-2</v>
      </c>
      <c r="J29" s="240">
        <f>SUM(J30:J34)</f>
        <v>-0.29249999999999998</v>
      </c>
      <c r="K29" s="242">
        <f t="shared" si="3"/>
        <v>-1.4624612049462525E-2</v>
      </c>
      <c r="L29" s="241">
        <f t="shared" si="4"/>
        <v>-0.32022516000000001</v>
      </c>
      <c r="M29" s="242">
        <f t="shared" si="5"/>
        <v>1.0947868717948719</v>
      </c>
      <c r="N29" s="243">
        <f t="shared" si="6"/>
        <v>1.0947868717948719</v>
      </c>
      <c r="O29"/>
      <c r="P29" s="240">
        <f>SUM(P30:P34)</f>
        <v>-0.57337591999999993</v>
      </c>
      <c r="Q29" s="242">
        <f t="shared" si="7"/>
        <v>-2.5072368144037446E-2</v>
      </c>
      <c r="R29" s="240">
        <f>SUM(R30:R34)</f>
        <v>0</v>
      </c>
      <c r="S29" s="242">
        <f t="shared" si="8"/>
        <v>0</v>
      </c>
      <c r="T29" s="241">
        <f t="shared" si="9"/>
        <v>-0.57337591999999993</v>
      </c>
      <c r="U29" s="242">
        <f t="shared" si="10"/>
        <v>0</v>
      </c>
      <c r="V29" s="243">
        <f t="shared" si="11"/>
        <v>0</v>
      </c>
      <c r="W29"/>
      <c r="X29" s="240">
        <f>SUM(X30:X34)</f>
        <v>-1.620013E-2</v>
      </c>
      <c r="Y29" s="242">
        <f t="shared" si="12"/>
        <v>-7.0839323587440755E-4</v>
      </c>
      <c r="Z29" s="240">
        <f>SUM(Z30:Z34)</f>
        <v>-3.2500000000000001E-2</v>
      </c>
      <c r="AA29" s="242">
        <f t="shared" si="13"/>
        <v>-1.6249568943847252E-3</v>
      </c>
      <c r="AB29" s="241">
        <f t="shared" si="14"/>
        <v>1.6299870000000001E-2</v>
      </c>
      <c r="AC29" s="242">
        <f t="shared" si="15"/>
        <v>-0.5015344615384616</v>
      </c>
      <c r="AD29" s="243">
        <f t="shared" si="16"/>
        <v>-0.5015344615384616</v>
      </c>
      <c r="AE29"/>
      <c r="AF29" s="240">
        <f>SUM(AF30:AF34)</f>
        <v>-2.3149110000000007E-2</v>
      </c>
      <c r="AG29" s="242">
        <f t="shared" si="17"/>
        <v>-1.0122556387209616E-3</v>
      </c>
      <c r="AH29" s="240">
        <f>SUM(AH30:AH34)</f>
        <v>-0.26</v>
      </c>
      <c r="AI29" s="242">
        <f t="shared" si="18"/>
        <v>-1.2999655155077802E-2</v>
      </c>
      <c r="AJ29" s="241">
        <f t="shared" si="0"/>
        <v>0.23685089000000001</v>
      </c>
      <c r="AK29" s="242">
        <f t="shared" si="1"/>
        <v>-0.91096496153846152</v>
      </c>
      <c r="AL29" s="243">
        <f t="shared" si="19"/>
        <v>-0.91096496153846152</v>
      </c>
    </row>
    <row r="30" spans="2:38" hidden="1" outlineLevel="1" x14ac:dyDescent="0.35">
      <c r="B30" s="255" t="s">
        <v>151</v>
      </c>
      <c r="C30" s="255" t="s">
        <v>154</v>
      </c>
      <c r="D30"/>
      <c r="E30" s="250">
        <v>8.2856612331249639</v>
      </c>
      <c r="F30" s="250">
        <v>6.1336752204279268</v>
      </c>
      <c r="G30"/>
      <c r="H30" s="250">
        <f t="shared" si="20"/>
        <v>-0.59713315999999994</v>
      </c>
      <c r="I30" s="252">
        <f t="shared" si="2"/>
        <v>-7.2068256618161214E-2</v>
      </c>
      <c r="J30" s="250">
        <f t="shared" si="21"/>
        <v>-0.2</v>
      </c>
      <c r="K30" s="252">
        <f t="shared" si="3"/>
        <v>-3.2606878064542627E-2</v>
      </c>
      <c r="L30" s="251">
        <f t="shared" si="4"/>
        <v>-0.39713315999999993</v>
      </c>
      <c r="M30" s="252">
        <f t="shared" si="5"/>
        <v>1.9856657999999996</v>
      </c>
      <c r="N30" s="253">
        <f t="shared" si="6"/>
        <v>1.9856657999999996</v>
      </c>
      <c r="O30"/>
      <c r="P30" s="250">
        <v>-0.57337591999999993</v>
      </c>
      <c r="Q30" s="252">
        <f t="shared" si="7"/>
        <v>-6.9200985155864175E-2</v>
      </c>
      <c r="R30" s="250">
        <v>0</v>
      </c>
      <c r="S30" s="252">
        <f t="shared" si="8"/>
        <v>0</v>
      </c>
      <c r="T30" s="251">
        <f t="shared" si="9"/>
        <v>-0.57337591999999993</v>
      </c>
      <c r="U30" s="252">
        <f t="shared" si="10"/>
        <v>0</v>
      </c>
      <c r="V30" s="253">
        <f t="shared" si="11"/>
        <v>0</v>
      </c>
      <c r="W30"/>
      <c r="X30" s="250">
        <v>-6.0813000000000002E-4</v>
      </c>
      <c r="Y30" s="252">
        <f t="shared" si="12"/>
        <v>-7.3395469943759916E-5</v>
      </c>
      <c r="Z30" s="250">
        <v>0</v>
      </c>
      <c r="AA30" s="252">
        <f t="shared" si="13"/>
        <v>0</v>
      </c>
      <c r="AB30" s="251">
        <f t="shared" si="14"/>
        <v>-6.0813000000000002E-4</v>
      </c>
      <c r="AC30" s="252">
        <f t="shared" si="15"/>
        <v>0</v>
      </c>
      <c r="AD30" s="253">
        <f t="shared" si="16"/>
        <v>0</v>
      </c>
      <c r="AE30"/>
      <c r="AF30" s="250">
        <v>-2.3149110000000007E-2</v>
      </c>
      <c r="AG30" s="252">
        <f t="shared" si="17"/>
        <v>-2.7938759923532676E-3</v>
      </c>
      <c r="AH30" s="250">
        <v>-0.2</v>
      </c>
      <c r="AI30" s="252">
        <f t="shared" si="18"/>
        <v>-3.2606878064542627E-2</v>
      </c>
      <c r="AJ30" s="251">
        <f t="shared" si="0"/>
        <v>0.17685089000000001</v>
      </c>
      <c r="AK30" s="252">
        <f t="shared" si="1"/>
        <v>-0.88425445000000003</v>
      </c>
      <c r="AL30" s="253">
        <f t="shared" si="19"/>
        <v>-0.88425445000000003</v>
      </c>
    </row>
    <row r="31" spans="2:38" hidden="1" outlineLevel="1" x14ac:dyDescent="0.35">
      <c r="B31" s="255" t="s">
        <v>159</v>
      </c>
      <c r="C31" s="255" t="s">
        <v>156</v>
      </c>
      <c r="D31"/>
      <c r="E31" s="250">
        <v>0</v>
      </c>
      <c r="F31" s="250">
        <v>0</v>
      </c>
      <c r="G31"/>
      <c r="H31" s="250">
        <f t="shared" si="20"/>
        <v>0</v>
      </c>
      <c r="I31" s="252">
        <f t="shared" si="2"/>
        <v>0</v>
      </c>
      <c r="J31" s="250">
        <f t="shared" si="21"/>
        <v>0</v>
      </c>
      <c r="K31" s="252">
        <f t="shared" si="3"/>
        <v>0</v>
      </c>
      <c r="L31" s="251">
        <f t="shared" si="4"/>
        <v>0</v>
      </c>
      <c r="M31" s="252">
        <f t="shared" si="5"/>
        <v>0</v>
      </c>
      <c r="N31" s="253">
        <f t="shared" si="6"/>
        <v>0</v>
      </c>
      <c r="O31"/>
      <c r="P31" s="250">
        <v>0</v>
      </c>
      <c r="Q31" s="252">
        <f t="shared" si="7"/>
        <v>0</v>
      </c>
      <c r="R31" s="250">
        <v>0</v>
      </c>
      <c r="S31" s="252">
        <f t="shared" si="8"/>
        <v>0</v>
      </c>
      <c r="T31" s="251">
        <f t="shared" si="9"/>
        <v>0</v>
      </c>
      <c r="U31" s="252">
        <f t="shared" si="10"/>
        <v>0</v>
      </c>
      <c r="V31" s="253">
        <f t="shared" si="11"/>
        <v>0</v>
      </c>
      <c r="W31"/>
      <c r="X31" s="250">
        <v>0</v>
      </c>
      <c r="Y31" s="252">
        <f t="shared" si="12"/>
        <v>0</v>
      </c>
      <c r="Z31" s="250">
        <v>0</v>
      </c>
      <c r="AA31" s="252">
        <f t="shared" si="13"/>
        <v>0</v>
      </c>
      <c r="AB31" s="251">
        <f t="shared" si="14"/>
        <v>0</v>
      </c>
      <c r="AC31" s="252">
        <f t="shared" si="15"/>
        <v>0</v>
      </c>
      <c r="AD31" s="253">
        <f t="shared" si="16"/>
        <v>0</v>
      </c>
      <c r="AE31"/>
      <c r="AF31" s="250">
        <v>0</v>
      </c>
      <c r="AG31" s="252">
        <f t="shared" si="17"/>
        <v>0</v>
      </c>
      <c r="AH31" s="250">
        <v>0</v>
      </c>
      <c r="AI31" s="252">
        <f t="shared" si="18"/>
        <v>0</v>
      </c>
      <c r="AJ31" s="251">
        <f t="shared" si="0"/>
        <v>0</v>
      </c>
      <c r="AK31" s="252">
        <f t="shared" si="1"/>
        <v>0</v>
      </c>
      <c r="AL31" s="253">
        <f t="shared" si="19"/>
        <v>0</v>
      </c>
    </row>
    <row r="32" spans="2:38" hidden="1" outlineLevel="1" x14ac:dyDescent="0.35">
      <c r="B32" s="255" t="s">
        <v>161</v>
      </c>
      <c r="C32" s="255" t="s">
        <v>160</v>
      </c>
      <c r="D32"/>
      <c r="E32" s="250">
        <v>4.87467249</v>
      </c>
      <c r="F32" s="250">
        <v>4.4240419864675644</v>
      </c>
      <c r="G32"/>
      <c r="H32" s="250">
        <f t="shared" si="20"/>
        <v>-1.5592E-2</v>
      </c>
      <c r="I32" s="252">
        <f t="shared" si="2"/>
        <v>-3.1985738594717365E-3</v>
      </c>
      <c r="J32" s="250">
        <f t="shared" si="21"/>
        <v>-0.06</v>
      </c>
      <c r="K32" s="252">
        <f t="shared" si="3"/>
        <v>-1.3562258265977218E-2</v>
      </c>
      <c r="L32" s="251">
        <f t="shared" si="4"/>
        <v>4.4407999999999996E-2</v>
      </c>
      <c r="M32" s="252">
        <f t="shared" si="5"/>
        <v>-0.74013333333333331</v>
      </c>
      <c r="N32" s="253">
        <f t="shared" si="6"/>
        <v>-0.74013333333333331</v>
      </c>
      <c r="O32"/>
      <c r="P32" s="250">
        <v>0</v>
      </c>
      <c r="Q32" s="252">
        <f t="shared" si="7"/>
        <v>0</v>
      </c>
      <c r="R32" s="250">
        <v>0</v>
      </c>
      <c r="S32" s="252">
        <f t="shared" si="8"/>
        <v>0</v>
      </c>
      <c r="T32" s="251">
        <f t="shared" si="9"/>
        <v>0</v>
      </c>
      <c r="U32" s="252"/>
      <c r="V32" s="253">
        <f t="shared" si="11"/>
        <v>0</v>
      </c>
      <c r="W32"/>
      <c r="X32" s="250">
        <v>-1.5592E-2</v>
      </c>
      <c r="Y32" s="252">
        <f t="shared" si="12"/>
        <v>-3.1985738594717365E-3</v>
      </c>
      <c r="Z32" s="250">
        <v>0</v>
      </c>
      <c r="AA32" s="252">
        <f t="shared" si="13"/>
        <v>0</v>
      </c>
      <c r="AB32" s="251">
        <f t="shared" si="14"/>
        <v>-1.5592E-2</v>
      </c>
      <c r="AC32" s="252">
        <f t="shared" si="15"/>
        <v>0</v>
      </c>
      <c r="AD32" s="253">
        <f t="shared" si="16"/>
        <v>0</v>
      </c>
      <c r="AE32"/>
      <c r="AF32" s="250">
        <v>0</v>
      </c>
      <c r="AG32" s="252">
        <f t="shared" si="17"/>
        <v>0</v>
      </c>
      <c r="AH32" s="250">
        <v>-0.06</v>
      </c>
      <c r="AI32" s="252">
        <f t="shared" si="18"/>
        <v>-1.3562258265977218E-2</v>
      </c>
      <c r="AJ32" s="251">
        <f t="shared" si="0"/>
        <v>0.06</v>
      </c>
      <c r="AK32" s="252">
        <f t="shared" si="1"/>
        <v>-1</v>
      </c>
      <c r="AL32" s="253">
        <f t="shared" si="19"/>
        <v>-1</v>
      </c>
    </row>
    <row r="33" spans="2:38" hidden="1" outlineLevel="1" x14ac:dyDescent="0.35">
      <c r="B33" s="255" t="s">
        <v>264</v>
      </c>
      <c r="C33" s="255" t="s">
        <v>158</v>
      </c>
      <c r="D33"/>
      <c r="E33" s="250">
        <v>0</v>
      </c>
      <c r="F33" s="250">
        <v>0</v>
      </c>
      <c r="G33"/>
      <c r="H33" s="250">
        <f t="shared" si="20"/>
        <v>0</v>
      </c>
      <c r="I33" s="252">
        <f t="shared" si="2"/>
        <v>0</v>
      </c>
      <c r="J33" s="250">
        <f t="shared" si="21"/>
        <v>0</v>
      </c>
      <c r="K33" s="252">
        <f t="shared" si="3"/>
        <v>0</v>
      </c>
      <c r="L33" s="251">
        <f t="shared" si="4"/>
        <v>0</v>
      </c>
      <c r="M33" s="252">
        <f t="shared" si="5"/>
        <v>0</v>
      </c>
      <c r="N33" s="253">
        <f t="shared" si="6"/>
        <v>0</v>
      </c>
      <c r="O33"/>
      <c r="P33" s="250">
        <v>0</v>
      </c>
      <c r="Q33" s="252">
        <f t="shared" si="7"/>
        <v>0</v>
      </c>
      <c r="R33" s="250">
        <v>0</v>
      </c>
      <c r="S33" s="252">
        <f t="shared" si="8"/>
        <v>0</v>
      </c>
      <c r="T33" s="251">
        <f t="shared" si="9"/>
        <v>0</v>
      </c>
      <c r="U33" s="252">
        <f t="shared" si="10"/>
        <v>0</v>
      </c>
      <c r="V33" s="253">
        <f t="shared" si="11"/>
        <v>0</v>
      </c>
      <c r="W33"/>
      <c r="X33" s="250">
        <v>0</v>
      </c>
      <c r="Y33" s="252">
        <f t="shared" si="12"/>
        <v>0</v>
      </c>
      <c r="Z33" s="250">
        <v>0</v>
      </c>
      <c r="AA33" s="252">
        <f t="shared" si="13"/>
        <v>0</v>
      </c>
      <c r="AB33" s="251">
        <f t="shared" si="14"/>
        <v>0</v>
      </c>
      <c r="AC33" s="252">
        <f t="shared" si="15"/>
        <v>0</v>
      </c>
      <c r="AD33" s="253">
        <f t="shared" si="16"/>
        <v>0</v>
      </c>
      <c r="AE33"/>
      <c r="AF33" s="250">
        <v>0</v>
      </c>
      <c r="AG33" s="252">
        <f t="shared" si="17"/>
        <v>0</v>
      </c>
      <c r="AH33" s="250">
        <v>0</v>
      </c>
      <c r="AI33" s="252">
        <f t="shared" si="18"/>
        <v>0</v>
      </c>
      <c r="AJ33" s="251">
        <f t="shared" si="0"/>
        <v>0</v>
      </c>
      <c r="AK33" s="252">
        <f t="shared" si="1"/>
        <v>0</v>
      </c>
      <c r="AL33" s="253">
        <f t="shared" si="19"/>
        <v>0</v>
      </c>
    </row>
    <row r="34" spans="2:38" hidden="1" outlineLevel="1" collapsed="1" x14ac:dyDescent="0.35">
      <c r="B34" s="256" t="s">
        <v>265</v>
      </c>
      <c r="C34" s="256" t="s">
        <v>162</v>
      </c>
      <c r="D34"/>
      <c r="E34" s="257">
        <f>SUM(E35:E37)</f>
        <v>9.7085040630000208</v>
      </c>
      <c r="F34" s="257">
        <f>SUM(F35:F37)</f>
        <v>9.4428133378275554</v>
      </c>
      <c r="G34"/>
      <c r="H34" s="257">
        <f>SUM(H35:H37)</f>
        <v>0</v>
      </c>
      <c r="I34" s="259">
        <f t="shared" si="2"/>
        <v>0</v>
      </c>
      <c r="J34" s="257">
        <f>SUM(J35:J37)</f>
        <v>-3.2500000000000001E-2</v>
      </c>
      <c r="K34" s="259">
        <f t="shared" si="3"/>
        <v>-3.4417708830276482E-3</v>
      </c>
      <c r="L34" s="258">
        <f t="shared" si="4"/>
        <v>3.2500000000000001E-2</v>
      </c>
      <c r="M34" s="259">
        <f t="shared" si="5"/>
        <v>-1</v>
      </c>
      <c r="N34" s="260">
        <f t="shared" si="6"/>
        <v>-1</v>
      </c>
      <c r="O34"/>
      <c r="P34" s="257">
        <f>SUM(P35:P37)</f>
        <v>0</v>
      </c>
      <c r="Q34" s="259">
        <f t="shared" si="7"/>
        <v>0</v>
      </c>
      <c r="R34" s="257">
        <f>SUM(R35:R37)</f>
        <v>0</v>
      </c>
      <c r="S34" s="259">
        <f t="shared" si="8"/>
        <v>0</v>
      </c>
      <c r="T34" s="258">
        <f t="shared" si="9"/>
        <v>0</v>
      </c>
      <c r="U34" s="259">
        <f t="shared" si="10"/>
        <v>0</v>
      </c>
      <c r="V34" s="260">
        <f t="shared" si="11"/>
        <v>0</v>
      </c>
      <c r="W34"/>
      <c r="X34" s="257">
        <f>SUM(X35:X37)</f>
        <v>0</v>
      </c>
      <c r="Y34" s="259">
        <f t="shared" si="12"/>
        <v>0</v>
      </c>
      <c r="Z34" s="257">
        <f>SUM(Z35:Z37)</f>
        <v>-3.2500000000000001E-2</v>
      </c>
      <c r="AA34" s="259">
        <f t="shared" si="13"/>
        <v>-3.4417708830276482E-3</v>
      </c>
      <c r="AB34" s="258">
        <f t="shared" si="14"/>
        <v>3.2500000000000001E-2</v>
      </c>
      <c r="AC34" s="259">
        <f t="shared" si="15"/>
        <v>-1</v>
      </c>
      <c r="AD34" s="260">
        <f t="shared" si="16"/>
        <v>-1</v>
      </c>
      <c r="AE34"/>
      <c r="AF34" s="257">
        <f>SUM(AF35:AF37)</f>
        <v>0</v>
      </c>
      <c r="AG34" s="259">
        <f t="shared" si="17"/>
        <v>0</v>
      </c>
      <c r="AH34" s="257">
        <f>SUM(AH35:AH37)</f>
        <v>0</v>
      </c>
      <c r="AI34" s="259">
        <f t="shared" si="18"/>
        <v>0</v>
      </c>
      <c r="AJ34" s="258">
        <f t="shared" si="0"/>
        <v>0</v>
      </c>
      <c r="AK34" s="259">
        <f t="shared" si="1"/>
        <v>0</v>
      </c>
      <c r="AL34" s="260">
        <f t="shared" si="19"/>
        <v>0</v>
      </c>
    </row>
    <row r="35" spans="2:38" hidden="1" outlineLevel="1" x14ac:dyDescent="0.35">
      <c r="B35" s="255" t="s">
        <v>266</v>
      </c>
      <c r="C35" s="255" t="s">
        <v>164</v>
      </c>
      <c r="D35"/>
      <c r="E35" s="250">
        <v>4.0277790199999997</v>
      </c>
      <c r="F35" s="250">
        <v>4.4199964982747417</v>
      </c>
      <c r="G35"/>
      <c r="H35" s="250">
        <f t="shared" si="20"/>
        <v>0</v>
      </c>
      <c r="I35" s="252">
        <f t="shared" si="2"/>
        <v>0</v>
      </c>
      <c r="J35" s="250">
        <f t="shared" si="21"/>
        <v>0</v>
      </c>
      <c r="K35" s="252">
        <f t="shared" si="3"/>
        <v>0</v>
      </c>
      <c r="L35" s="251">
        <f t="shared" si="4"/>
        <v>0</v>
      </c>
      <c r="M35" s="252">
        <f t="shared" si="5"/>
        <v>0</v>
      </c>
      <c r="N35" s="253">
        <f t="shared" si="6"/>
        <v>0</v>
      </c>
      <c r="O35"/>
      <c r="P35" s="250">
        <v>0</v>
      </c>
      <c r="Q35" s="252">
        <f t="shared" si="7"/>
        <v>0</v>
      </c>
      <c r="R35" s="250">
        <v>0</v>
      </c>
      <c r="S35" s="252">
        <f t="shared" si="8"/>
        <v>0</v>
      </c>
      <c r="T35" s="251">
        <f t="shared" si="9"/>
        <v>0</v>
      </c>
      <c r="U35" s="252">
        <f t="shared" si="10"/>
        <v>0</v>
      </c>
      <c r="V35" s="253">
        <f t="shared" si="11"/>
        <v>0</v>
      </c>
      <c r="W35"/>
      <c r="X35" s="250">
        <v>0</v>
      </c>
      <c r="Y35" s="252">
        <f t="shared" si="12"/>
        <v>0</v>
      </c>
      <c r="Z35" s="250">
        <v>0</v>
      </c>
      <c r="AA35" s="252">
        <f t="shared" si="13"/>
        <v>0</v>
      </c>
      <c r="AB35" s="251">
        <f t="shared" si="14"/>
        <v>0</v>
      </c>
      <c r="AC35" s="252">
        <f t="shared" si="15"/>
        <v>0</v>
      </c>
      <c r="AD35" s="253">
        <f t="shared" si="16"/>
        <v>0</v>
      </c>
      <c r="AE35"/>
      <c r="AF35" s="250">
        <v>0</v>
      </c>
      <c r="AG35" s="252">
        <f t="shared" si="17"/>
        <v>0</v>
      </c>
      <c r="AH35" s="250">
        <v>0</v>
      </c>
      <c r="AI35" s="252">
        <f t="shared" si="18"/>
        <v>0</v>
      </c>
      <c r="AJ35" s="251">
        <f t="shared" si="0"/>
        <v>0</v>
      </c>
      <c r="AK35" s="252">
        <f t="shared" si="1"/>
        <v>0</v>
      </c>
      <c r="AL35" s="253">
        <f t="shared" si="19"/>
        <v>0</v>
      </c>
    </row>
    <row r="36" spans="2:38" hidden="1" outlineLevel="1" x14ac:dyDescent="0.35">
      <c r="B36" s="255" t="s">
        <v>267</v>
      </c>
      <c r="C36" s="255" t="s">
        <v>166</v>
      </c>
      <c r="D36"/>
      <c r="E36" s="250">
        <v>3.4075664126250098</v>
      </c>
      <c r="F36" s="250">
        <v>2.7704627725966442</v>
      </c>
      <c r="G36"/>
      <c r="H36" s="250">
        <f t="shared" si="20"/>
        <v>0</v>
      </c>
      <c r="I36" s="252">
        <f t="shared" si="2"/>
        <v>0</v>
      </c>
      <c r="J36" s="250">
        <f t="shared" si="21"/>
        <v>-3.2500000000000001E-2</v>
      </c>
      <c r="K36" s="252">
        <f t="shared" si="3"/>
        <v>-1.1730892153276995E-2</v>
      </c>
      <c r="L36" s="251">
        <f t="shared" si="4"/>
        <v>3.2500000000000001E-2</v>
      </c>
      <c r="M36" s="252">
        <f t="shared" si="5"/>
        <v>-1</v>
      </c>
      <c r="N36" s="253">
        <f t="shared" si="6"/>
        <v>-1</v>
      </c>
      <c r="O36"/>
      <c r="P36" s="250">
        <v>0</v>
      </c>
      <c r="Q36" s="252">
        <f t="shared" si="7"/>
        <v>0</v>
      </c>
      <c r="R36" s="250">
        <v>0</v>
      </c>
      <c r="S36" s="252">
        <f t="shared" si="8"/>
        <v>0</v>
      </c>
      <c r="T36" s="251">
        <f t="shared" si="9"/>
        <v>0</v>
      </c>
      <c r="U36" s="252">
        <f t="shared" si="10"/>
        <v>0</v>
      </c>
      <c r="V36" s="253">
        <f t="shared" si="11"/>
        <v>0</v>
      </c>
      <c r="W36"/>
      <c r="X36" s="250">
        <v>0</v>
      </c>
      <c r="Y36" s="252">
        <f t="shared" si="12"/>
        <v>0</v>
      </c>
      <c r="Z36" s="250">
        <v>-3.2500000000000001E-2</v>
      </c>
      <c r="AA36" s="252">
        <f t="shared" si="13"/>
        <v>-1.1730892153276995E-2</v>
      </c>
      <c r="AB36" s="251">
        <f t="shared" si="14"/>
        <v>3.2500000000000001E-2</v>
      </c>
      <c r="AC36" s="252">
        <f t="shared" si="15"/>
        <v>-1</v>
      </c>
      <c r="AD36" s="253">
        <f t="shared" si="16"/>
        <v>-1</v>
      </c>
      <c r="AE36"/>
      <c r="AF36" s="250">
        <v>0</v>
      </c>
      <c r="AG36" s="252">
        <f t="shared" si="17"/>
        <v>0</v>
      </c>
      <c r="AH36" s="250">
        <v>0</v>
      </c>
      <c r="AI36" s="252">
        <f t="shared" si="18"/>
        <v>0</v>
      </c>
      <c r="AJ36" s="251">
        <f t="shared" si="0"/>
        <v>0</v>
      </c>
      <c r="AK36" s="252">
        <f t="shared" si="1"/>
        <v>0</v>
      </c>
      <c r="AL36" s="253">
        <f t="shared" si="19"/>
        <v>0</v>
      </c>
    </row>
    <row r="37" spans="2:38" hidden="1" outlineLevel="1" x14ac:dyDescent="0.35">
      <c r="B37" s="255" t="s">
        <v>268</v>
      </c>
      <c r="C37" s="255" t="s">
        <v>168</v>
      </c>
      <c r="D37"/>
      <c r="E37" s="250">
        <v>2.2731586303750109</v>
      </c>
      <c r="F37" s="250">
        <v>2.2523540669561699</v>
      </c>
      <c r="G37"/>
      <c r="H37" s="250">
        <f t="shared" si="20"/>
        <v>0</v>
      </c>
      <c r="I37" s="252">
        <f t="shared" si="2"/>
        <v>0</v>
      </c>
      <c r="J37" s="250">
        <f t="shared" si="21"/>
        <v>0</v>
      </c>
      <c r="K37" s="252">
        <f t="shared" si="3"/>
        <v>0</v>
      </c>
      <c r="L37" s="251">
        <f t="shared" si="4"/>
        <v>0</v>
      </c>
      <c r="M37" s="252">
        <f t="shared" si="5"/>
        <v>0</v>
      </c>
      <c r="N37" s="253">
        <f t="shared" si="6"/>
        <v>0</v>
      </c>
      <c r="O37"/>
      <c r="P37" s="250">
        <v>0</v>
      </c>
      <c r="Q37" s="252">
        <f t="shared" si="7"/>
        <v>0</v>
      </c>
      <c r="R37" s="250">
        <v>0</v>
      </c>
      <c r="S37" s="252">
        <f t="shared" si="8"/>
        <v>0</v>
      </c>
      <c r="T37" s="251">
        <f t="shared" si="9"/>
        <v>0</v>
      </c>
      <c r="U37" s="252">
        <f t="shared" si="10"/>
        <v>0</v>
      </c>
      <c r="V37" s="253">
        <f t="shared" si="11"/>
        <v>0</v>
      </c>
      <c r="W37"/>
      <c r="X37" s="250">
        <v>0</v>
      </c>
      <c r="Y37" s="252">
        <f t="shared" si="12"/>
        <v>0</v>
      </c>
      <c r="Z37" s="250">
        <v>0</v>
      </c>
      <c r="AA37" s="252">
        <f t="shared" si="13"/>
        <v>0</v>
      </c>
      <c r="AB37" s="251">
        <f t="shared" si="14"/>
        <v>0</v>
      </c>
      <c r="AC37" s="252">
        <f t="shared" si="15"/>
        <v>0</v>
      </c>
      <c r="AD37" s="253">
        <f t="shared" si="16"/>
        <v>0</v>
      </c>
      <c r="AE37"/>
      <c r="AF37" s="250">
        <v>0</v>
      </c>
      <c r="AG37" s="252">
        <f t="shared" si="17"/>
        <v>0</v>
      </c>
      <c r="AH37" s="250">
        <v>0</v>
      </c>
      <c r="AI37" s="252">
        <f t="shared" si="18"/>
        <v>0</v>
      </c>
      <c r="AJ37" s="251">
        <f t="shared" si="0"/>
        <v>0</v>
      </c>
      <c r="AK37" s="252">
        <f t="shared" si="1"/>
        <v>0</v>
      </c>
      <c r="AL37" s="253">
        <f t="shared" si="19"/>
        <v>0</v>
      </c>
    </row>
    <row r="38" spans="2:38" collapsed="1" x14ac:dyDescent="0.35">
      <c r="B38" s="239" t="s">
        <v>169</v>
      </c>
      <c r="C38" s="239" t="s">
        <v>170</v>
      </c>
      <c r="D38"/>
      <c r="E38" s="240">
        <f>SUM(E39)</f>
        <v>30.919516667548809</v>
      </c>
      <c r="F38" s="240">
        <f>SUM(F39)</f>
        <v>30.481559736436992</v>
      </c>
      <c r="G38"/>
      <c r="H38" s="240">
        <f>SUM(H39)</f>
        <v>-4.48232169</v>
      </c>
      <c r="I38" s="242">
        <f t="shared" si="2"/>
        <v>-0.14496739189666455</v>
      </c>
      <c r="J38" s="240">
        <f>SUM(J39)</f>
        <v>0</v>
      </c>
      <c r="K38" s="242">
        <f t="shared" si="3"/>
        <v>0</v>
      </c>
      <c r="L38" s="241">
        <f t="shared" si="4"/>
        <v>-4.48232169</v>
      </c>
      <c r="M38" s="242">
        <f t="shared" si="5"/>
        <v>0</v>
      </c>
      <c r="N38" s="243">
        <f t="shared" si="6"/>
        <v>0</v>
      </c>
      <c r="O38"/>
      <c r="P38" s="240">
        <f>SUM(P39)</f>
        <v>-4.4803870400000001</v>
      </c>
      <c r="Q38" s="242">
        <f t="shared" si="7"/>
        <v>-0.1449048213842985</v>
      </c>
      <c r="R38" s="240">
        <f>SUM(R39)</f>
        <v>0</v>
      </c>
      <c r="S38" s="242">
        <f t="shared" si="8"/>
        <v>0</v>
      </c>
      <c r="T38" s="241">
        <f t="shared" si="9"/>
        <v>-4.4803870400000001</v>
      </c>
      <c r="U38" s="242">
        <f t="shared" si="10"/>
        <v>0</v>
      </c>
      <c r="V38" s="243">
        <f t="shared" si="11"/>
        <v>0</v>
      </c>
      <c r="W38"/>
      <c r="X38" s="240">
        <f>SUM(X39)</f>
        <v>-1.5187499999999999E-3</v>
      </c>
      <c r="Y38" s="242">
        <f t="shared" si="12"/>
        <v>-4.9119461223466824E-5</v>
      </c>
      <c r="Z38" s="240">
        <f>SUM(Z39)</f>
        <v>0</v>
      </c>
      <c r="AA38" s="242">
        <f t="shared" si="13"/>
        <v>0</v>
      </c>
      <c r="AB38" s="241">
        <f t="shared" si="14"/>
        <v>-1.5187499999999999E-3</v>
      </c>
      <c r="AC38" s="242">
        <f t="shared" si="15"/>
        <v>0</v>
      </c>
      <c r="AD38" s="243">
        <f t="shared" si="16"/>
        <v>0</v>
      </c>
      <c r="AE38"/>
      <c r="AF38" s="240">
        <f>SUM(AF39)</f>
        <v>-4.1589999999990689E-4</v>
      </c>
      <c r="AG38" s="242">
        <f t="shared" si="17"/>
        <v>-1.3451051142607592E-5</v>
      </c>
      <c r="AH38" s="240">
        <f>SUM(AH39)</f>
        <v>0</v>
      </c>
      <c r="AI38" s="242">
        <f t="shared" si="18"/>
        <v>0</v>
      </c>
      <c r="AJ38" s="241">
        <f t="shared" si="0"/>
        <v>-4.1589999999990689E-4</v>
      </c>
      <c r="AK38" s="242">
        <f t="shared" si="1"/>
        <v>0</v>
      </c>
      <c r="AL38" s="243">
        <f t="shared" si="19"/>
        <v>0</v>
      </c>
    </row>
    <row r="39" spans="2:38" hidden="1" outlineLevel="1" x14ac:dyDescent="0.35">
      <c r="B39" s="255" t="s">
        <v>171</v>
      </c>
      <c r="C39" s="255" t="s">
        <v>172</v>
      </c>
      <c r="D39"/>
      <c r="E39" s="250">
        <v>30.919516667548809</v>
      </c>
      <c r="F39" s="250">
        <v>30.481559736436992</v>
      </c>
      <c r="G39"/>
      <c r="H39" s="250">
        <f t="shared" si="20"/>
        <v>-4.48232169</v>
      </c>
      <c r="I39" s="252">
        <f t="shared" si="2"/>
        <v>-0.14496739189666455</v>
      </c>
      <c r="J39" s="250">
        <f t="shared" si="21"/>
        <v>0</v>
      </c>
      <c r="K39" s="252">
        <f t="shared" si="3"/>
        <v>0</v>
      </c>
      <c r="L39" s="251">
        <f t="shared" si="4"/>
        <v>-4.48232169</v>
      </c>
      <c r="M39" s="252">
        <f t="shared" si="5"/>
        <v>0</v>
      </c>
      <c r="N39" s="253">
        <f t="shared" si="6"/>
        <v>0</v>
      </c>
      <c r="O39"/>
      <c r="P39" s="250">
        <v>-4.4803870400000001</v>
      </c>
      <c r="Q39" s="252">
        <f t="shared" si="7"/>
        <v>-0.1449048213842985</v>
      </c>
      <c r="R39" s="250">
        <v>0</v>
      </c>
      <c r="S39" s="252">
        <f t="shared" si="8"/>
        <v>0</v>
      </c>
      <c r="T39" s="251">
        <f t="shared" si="9"/>
        <v>-4.4803870400000001</v>
      </c>
      <c r="U39" s="252">
        <f t="shared" si="10"/>
        <v>0</v>
      </c>
      <c r="V39" s="253">
        <f t="shared" si="11"/>
        <v>0</v>
      </c>
      <c r="W39"/>
      <c r="X39" s="250">
        <v>-1.5187499999999999E-3</v>
      </c>
      <c r="Y39" s="252">
        <f t="shared" si="12"/>
        <v>-4.9119461223466824E-5</v>
      </c>
      <c r="Z39" s="250">
        <v>0</v>
      </c>
      <c r="AA39" s="252">
        <f t="shared" si="13"/>
        <v>0</v>
      </c>
      <c r="AB39" s="251">
        <f t="shared" si="14"/>
        <v>-1.5187499999999999E-3</v>
      </c>
      <c r="AC39" s="252">
        <f t="shared" si="15"/>
        <v>0</v>
      </c>
      <c r="AD39" s="253">
        <f t="shared" si="16"/>
        <v>0</v>
      </c>
      <c r="AE39"/>
      <c r="AF39" s="250">
        <v>-4.1589999999990689E-4</v>
      </c>
      <c r="AG39" s="252">
        <f t="shared" si="17"/>
        <v>-1.3451051142607592E-5</v>
      </c>
      <c r="AH39" s="250">
        <v>0</v>
      </c>
      <c r="AI39" s="252">
        <f t="shared" si="18"/>
        <v>0</v>
      </c>
      <c r="AJ39" s="251">
        <f t="shared" si="0"/>
        <v>-4.1589999999990689E-4</v>
      </c>
      <c r="AK39" s="252">
        <f t="shared" si="1"/>
        <v>0</v>
      </c>
      <c r="AL39" s="253">
        <f t="shared" si="19"/>
        <v>0</v>
      </c>
    </row>
    <row r="40" spans="2:38" collapsed="1" x14ac:dyDescent="0.35">
      <c r="B40" s="239" t="s">
        <v>173</v>
      </c>
      <c r="C40" s="239" t="s">
        <v>174</v>
      </c>
      <c r="D40"/>
      <c r="E40" s="240">
        <f>SUM(E41:E42)</f>
        <v>70.828321529597375</v>
      </c>
      <c r="F40" s="240">
        <f>SUM(F41:F42)</f>
        <v>74.531842198634678</v>
      </c>
      <c r="G40"/>
      <c r="H40" s="240">
        <f>SUM(H41:H42)</f>
        <v>-1.7154607290047861</v>
      </c>
      <c r="I40" s="242">
        <f t="shared" si="2"/>
        <v>-2.4219982797247824E-2</v>
      </c>
      <c r="J40" s="240">
        <f>SUM(J41:J42)</f>
        <v>-1.5445711214811966</v>
      </c>
      <c r="K40" s="242">
        <f t="shared" si="3"/>
        <v>-2.072364074088982E-2</v>
      </c>
      <c r="L40" s="241">
        <f t="shared" si="4"/>
        <v>-0.1708896075235895</v>
      </c>
      <c r="M40" s="242">
        <f t="shared" si="5"/>
        <v>0.11063887259507443</v>
      </c>
      <c r="N40" s="243">
        <f t="shared" si="6"/>
        <v>0.11063887259507443</v>
      </c>
      <c r="O40"/>
      <c r="P40" s="240">
        <f>SUM(P41:P42)</f>
        <v>-1.2011645390047851</v>
      </c>
      <c r="Q40" s="242">
        <f t="shared" si="7"/>
        <v>-1.6958816940238357E-2</v>
      </c>
      <c r="R40" s="240">
        <f>SUM(R41:R42)</f>
        <v>0</v>
      </c>
      <c r="S40" s="242">
        <f t="shared" si="8"/>
        <v>0</v>
      </c>
      <c r="T40" s="241">
        <f t="shared" si="9"/>
        <v>-1.2011645390047851</v>
      </c>
      <c r="U40" s="242">
        <f t="shared" si="10"/>
        <v>0</v>
      </c>
      <c r="V40" s="243">
        <f t="shared" si="11"/>
        <v>0</v>
      </c>
      <c r="W40"/>
      <c r="X40" s="240">
        <f>SUM(X41:X42)</f>
        <v>-0.51429619000000093</v>
      </c>
      <c r="Y40" s="242">
        <f t="shared" si="12"/>
        <v>-7.261165857009466E-3</v>
      </c>
      <c r="Z40" s="240">
        <f>SUM(Z41:Z42)</f>
        <v>-1.4725711214811965</v>
      </c>
      <c r="AA40" s="242">
        <f t="shared" si="13"/>
        <v>-1.9757610680769835E-2</v>
      </c>
      <c r="AB40" s="241">
        <f t="shared" si="14"/>
        <v>0.95827493148119558</v>
      </c>
      <c r="AC40" s="242">
        <f t="shared" si="15"/>
        <v>-0.65074950710516966</v>
      </c>
      <c r="AD40" s="243">
        <f t="shared" si="16"/>
        <v>-0.65074950710516966</v>
      </c>
      <c r="AE40"/>
      <c r="AF40" s="240">
        <f>SUM(AF41:AF42)</f>
        <v>0</v>
      </c>
      <c r="AG40" s="242">
        <f t="shared" si="17"/>
        <v>0</v>
      </c>
      <c r="AH40" s="240">
        <f>SUM(AH41:AH42)</f>
        <v>-7.1999999999999995E-2</v>
      </c>
      <c r="AI40" s="242">
        <f t="shared" si="18"/>
        <v>-9.6603006011998103E-4</v>
      </c>
      <c r="AJ40" s="241">
        <f t="shared" si="0"/>
        <v>7.1999999999999995E-2</v>
      </c>
      <c r="AK40" s="242">
        <f t="shared" si="1"/>
        <v>-1</v>
      </c>
      <c r="AL40" s="243">
        <f t="shared" si="19"/>
        <v>-1</v>
      </c>
    </row>
    <row r="41" spans="2:38" hidden="1" outlineLevel="1" x14ac:dyDescent="0.35">
      <c r="B41" s="255" t="s">
        <v>175</v>
      </c>
      <c r="C41" s="255" t="s">
        <v>176</v>
      </c>
      <c r="D41"/>
      <c r="E41" s="250">
        <v>70.828321529597375</v>
      </c>
      <c r="F41" s="250">
        <v>74.531842198634678</v>
      </c>
      <c r="G41"/>
      <c r="H41" s="250">
        <f>SUM(P41,X41,AF41)</f>
        <v>-0.32601142000000088</v>
      </c>
      <c r="I41" s="252">
        <f>IFERROR(H41/$E41,0)</f>
        <v>-4.6028398380691393E-3</v>
      </c>
      <c r="J41" s="250">
        <f>SUM(R41,Z41,AH41)</f>
        <v>-1.5445711214811966</v>
      </c>
      <c r="K41" s="252">
        <f>IFERROR(J41/$F41,0)</f>
        <v>-2.072364074088982E-2</v>
      </c>
      <c r="L41" s="251">
        <f>$H41-J41</f>
        <v>1.2185597014811957</v>
      </c>
      <c r="M41" s="252">
        <f>IFERROR($H41/J41-1,0)</f>
        <v>-0.78893078119486926</v>
      </c>
      <c r="N41" s="253">
        <f>M41</f>
        <v>-0.78893078119486926</v>
      </c>
      <c r="O41"/>
      <c r="P41" s="250">
        <v>7.6000000000000774E-4</v>
      </c>
      <c r="Q41" s="252">
        <f>IFERROR(P41/$E41,0)</f>
        <v>1.0730170976625824E-5</v>
      </c>
      <c r="R41" s="250">
        <v>0</v>
      </c>
      <c r="S41" s="252">
        <f>IFERROR(R41/$F41,0)</f>
        <v>0</v>
      </c>
      <c r="T41" s="251">
        <f>$P41-R41</f>
        <v>7.6000000000000774E-4</v>
      </c>
      <c r="U41" s="252">
        <f>IFERROR($P41/R41-1,0)</f>
        <v>0</v>
      </c>
      <c r="V41" s="253">
        <f>U41</f>
        <v>0</v>
      </c>
      <c r="W41"/>
      <c r="X41" s="250">
        <v>-0.32677142000000087</v>
      </c>
      <c r="Y41" s="252">
        <f>IFERROR(X41/$E41,0)</f>
        <v>-4.6135700090457641E-3</v>
      </c>
      <c r="Z41" s="250">
        <v>-1.4725711214811965</v>
      </c>
      <c r="AA41" s="252">
        <f>IFERROR(Z41/$F41,0)</f>
        <v>-1.9757610680769835E-2</v>
      </c>
      <c r="AB41" s="251">
        <f>X41-Z41</f>
        <v>1.1457997014811956</v>
      </c>
      <c r="AC41" s="252">
        <f>IFERROR(X41/Z41-1,0)</f>
        <v>-0.77809464328533384</v>
      </c>
      <c r="AD41" s="253">
        <f>AC41</f>
        <v>-0.77809464328533384</v>
      </c>
      <c r="AE41"/>
      <c r="AF41" s="250">
        <v>0</v>
      </c>
      <c r="AG41" s="252">
        <f>IFERROR(AF41/$E41,0)</f>
        <v>0</v>
      </c>
      <c r="AH41" s="250">
        <v>-7.1999999999999995E-2</v>
      </c>
      <c r="AI41" s="252">
        <f>IFERROR(AH41/$F41,0)</f>
        <v>-9.6603006011998103E-4</v>
      </c>
      <c r="AJ41" s="251">
        <f>AF41-AH41</f>
        <v>7.1999999999999995E-2</v>
      </c>
      <c r="AK41" s="252">
        <f>IFERROR(AF41/AH41-1,0)</f>
        <v>-1</v>
      </c>
      <c r="AL41" s="253">
        <f>AK41</f>
        <v>-1</v>
      </c>
    </row>
    <row r="42" spans="2:38" hidden="1" outlineLevel="1" x14ac:dyDescent="0.35">
      <c r="B42" s="255" t="s">
        <v>175</v>
      </c>
      <c r="C42" s="255" t="s">
        <v>178</v>
      </c>
      <c r="D42"/>
      <c r="E42" s="250">
        <v>0</v>
      </c>
      <c r="F42" s="250">
        <v>0</v>
      </c>
      <c r="G42"/>
      <c r="H42" s="250">
        <f t="shared" si="20"/>
        <v>-1.3894493090047852</v>
      </c>
      <c r="I42" s="252">
        <f t="shared" si="2"/>
        <v>0</v>
      </c>
      <c r="J42" s="250">
        <f t="shared" si="21"/>
        <v>0</v>
      </c>
      <c r="K42" s="252">
        <f t="shared" si="3"/>
        <v>0</v>
      </c>
      <c r="L42" s="251">
        <f t="shared" si="4"/>
        <v>-1.3894493090047852</v>
      </c>
      <c r="M42" s="252">
        <f t="shared" si="5"/>
        <v>0</v>
      </c>
      <c r="N42" s="253">
        <f t="shared" si="6"/>
        <v>0</v>
      </c>
      <c r="O42"/>
      <c r="P42" s="250">
        <v>-1.2019245390047852</v>
      </c>
      <c r="Q42" s="252">
        <f t="shared" si="7"/>
        <v>0</v>
      </c>
      <c r="R42" s="250">
        <v>0</v>
      </c>
      <c r="S42" s="252">
        <f t="shared" si="8"/>
        <v>0</v>
      </c>
      <c r="T42" s="251">
        <f t="shared" si="9"/>
        <v>-1.2019245390047852</v>
      </c>
      <c r="U42" s="252">
        <f t="shared" si="10"/>
        <v>0</v>
      </c>
      <c r="V42" s="253">
        <f t="shared" si="11"/>
        <v>0</v>
      </c>
      <c r="W42"/>
      <c r="X42" s="250">
        <v>-0.18752477000000001</v>
      </c>
      <c r="Y42" s="252">
        <f t="shared" si="12"/>
        <v>0</v>
      </c>
      <c r="Z42" s="250">
        <v>0</v>
      </c>
      <c r="AA42" s="252">
        <f t="shared" si="13"/>
        <v>0</v>
      </c>
      <c r="AB42" s="251">
        <f t="shared" si="14"/>
        <v>-0.18752477000000001</v>
      </c>
      <c r="AC42" s="252">
        <f t="shared" si="15"/>
        <v>0</v>
      </c>
      <c r="AD42" s="253">
        <f t="shared" si="16"/>
        <v>0</v>
      </c>
      <c r="AE42"/>
      <c r="AF42" s="250">
        <v>0</v>
      </c>
      <c r="AG42" s="252">
        <f t="shared" si="17"/>
        <v>0</v>
      </c>
      <c r="AH42" s="250">
        <v>0</v>
      </c>
      <c r="AI42" s="252">
        <f t="shared" si="18"/>
        <v>0</v>
      </c>
      <c r="AJ42" s="251">
        <f t="shared" si="0"/>
        <v>0</v>
      </c>
      <c r="AK42" s="252">
        <f t="shared" si="1"/>
        <v>0</v>
      </c>
      <c r="AL42" s="253">
        <f t="shared" si="19"/>
        <v>0</v>
      </c>
    </row>
    <row r="43" spans="2:38" collapsed="1" x14ac:dyDescent="0.35">
      <c r="B43" s="239" t="s">
        <v>179</v>
      </c>
      <c r="C43" s="239" t="s">
        <v>180</v>
      </c>
      <c r="D43"/>
      <c r="E43" s="240">
        <v>0.44484279835200002</v>
      </c>
      <c r="F43" s="240">
        <v>0.47413837766670192</v>
      </c>
      <c r="G43"/>
      <c r="H43" s="240">
        <f t="shared" si="20"/>
        <v>0</v>
      </c>
      <c r="I43" s="242">
        <f t="shared" si="2"/>
        <v>0</v>
      </c>
      <c r="J43" s="240">
        <f t="shared" si="21"/>
        <v>0</v>
      </c>
      <c r="K43" s="242">
        <f t="shared" si="3"/>
        <v>0</v>
      </c>
      <c r="L43" s="241">
        <f t="shared" si="4"/>
        <v>0</v>
      </c>
      <c r="M43" s="242">
        <f t="shared" si="5"/>
        <v>0</v>
      </c>
      <c r="N43" s="243">
        <f t="shared" si="6"/>
        <v>0</v>
      </c>
      <c r="O43"/>
      <c r="P43" s="240">
        <v>0</v>
      </c>
      <c r="Q43" s="242">
        <f t="shared" si="7"/>
        <v>0</v>
      </c>
      <c r="R43" s="240">
        <v>0</v>
      </c>
      <c r="S43" s="242">
        <f t="shared" si="8"/>
        <v>0</v>
      </c>
      <c r="T43" s="241">
        <f t="shared" si="9"/>
        <v>0</v>
      </c>
      <c r="U43" s="242">
        <f t="shared" si="10"/>
        <v>0</v>
      </c>
      <c r="V43" s="243">
        <f t="shared" si="11"/>
        <v>0</v>
      </c>
      <c r="W43"/>
      <c r="X43" s="240">
        <v>0</v>
      </c>
      <c r="Y43" s="242">
        <f t="shared" si="12"/>
        <v>0</v>
      </c>
      <c r="Z43" s="240">
        <v>0</v>
      </c>
      <c r="AA43" s="242">
        <f t="shared" si="13"/>
        <v>0</v>
      </c>
      <c r="AB43" s="241">
        <f t="shared" si="14"/>
        <v>0</v>
      </c>
      <c r="AC43" s="242">
        <f t="shared" si="15"/>
        <v>0</v>
      </c>
      <c r="AD43" s="243">
        <f t="shared" si="16"/>
        <v>0</v>
      </c>
      <c r="AE43"/>
      <c r="AF43" s="240">
        <v>0</v>
      </c>
      <c r="AG43" s="242">
        <f t="shared" si="17"/>
        <v>0</v>
      </c>
      <c r="AH43" s="240">
        <v>0</v>
      </c>
      <c r="AI43" s="242">
        <f t="shared" si="18"/>
        <v>0</v>
      </c>
      <c r="AJ43" s="241">
        <f t="shared" si="0"/>
        <v>0</v>
      </c>
      <c r="AK43" s="242">
        <f t="shared" si="1"/>
        <v>0</v>
      </c>
      <c r="AL43" s="243">
        <f t="shared" si="19"/>
        <v>0</v>
      </c>
    </row>
    <row r="44" spans="2:38" hidden="1" outlineLevel="1" x14ac:dyDescent="0.35">
      <c r="B44" s="255" t="s">
        <v>183</v>
      </c>
      <c r="C44" s="255" t="s">
        <v>184</v>
      </c>
      <c r="D44"/>
      <c r="E44" s="250">
        <v>0</v>
      </c>
      <c r="F44" s="250">
        <v>0</v>
      </c>
      <c r="G44"/>
      <c r="H44" s="250">
        <f t="shared" si="20"/>
        <v>0</v>
      </c>
      <c r="I44" s="252">
        <f t="shared" si="2"/>
        <v>0</v>
      </c>
      <c r="J44" s="250">
        <f t="shared" si="21"/>
        <v>0</v>
      </c>
      <c r="K44" s="252">
        <f t="shared" si="3"/>
        <v>0</v>
      </c>
      <c r="L44" s="251">
        <f t="shared" si="4"/>
        <v>0</v>
      </c>
      <c r="M44" s="252">
        <f t="shared" si="5"/>
        <v>0</v>
      </c>
      <c r="N44" s="253">
        <f t="shared" si="6"/>
        <v>0</v>
      </c>
      <c r="O44"/>
      <c r="P44" s="250">
        <v>0</v>
      </c>
      <c r="Q44" s="252">
        <f t="shared" si="7"/>
        <v>0</v>
      </c>
      <c r="R44" s="250">
        <v>0</v>
      </c>
      <c r="S44" s="252">
        <f t="shared" si="8"/>
        <v>0</v>
      </c>
      <c r="T44" s="251">
        <f t="shared" si="9"/>
        <v>0</v>
      </c>
      <c r="U44" s="252">
        <f t="shared" si="10"/>
        <v>0</v>
      </c>
      <c r="V44" s="253">
        <f t="shared" si="11"/>
        <v>0</v>
      </c>
      <c r="W44"/>
      <c r="X44" s="250">
        <v>0</v>
      </c>
      <c r="Y44" s="252">
        <f t="shared" si="12"/>
        <v>0</v>
      </c>
      <c r="Z44" s="250">
        <v>0</v>
      </c>
      <c r="AA44" s="252">
        <f t="shared" si="13"/>
        <v>0</v>
      </c>
      <c r="AB44" s="251">
        <f t="shared" si="14"/>
        <v>0</v>
      </c>
      <c r="AC44" s="252">
        <f t="shared" si="15"/>
        <v>0</v>
      </c>
      <c r="AD44" s="253">
        <f t="shared" si="16"/>
        <v>0</v>
      </c>
      <c r="AE44"/>
      <c r="AF44" s="250">
        <v>0</v>
      </c>
      <c r="AG44" s="252">
        <f t="shared" si="17"/>
        <v>0</v>
      </c>
      <c r="AH44" s="250">
        <v>0</v>
      </c>
      <c r="AI44" s="252">
        <f t="shared" si="18"/>
        <v>0</v>
      </c>
      <c r="AJ44" s="251">
        <f t="shared" si="0"/>
        <v>0</v>
      </c>
      <c r="AK44" s="252">
        <f t="shared" si="1"/>
        <v>0</v>
      </c>
      <c r="AL44" s="253">
        <f t="shared" si="19"/>
        <v>0</v>
      </c>
    </row>
    <row r="45" spans="2:38" hidden="1" outlineLevel="1" x14ac:dyDescent="0.35">
      <c r="B45" s="255" t="s">
        <v>185</v>
      </c>
      <c r="C45" s="255" t="s">
        <v>186</v>
      </c>
      <c r="D45"/>
      <c r="E45" s="250">
        <v>0</v>
      </c>
      <c r="F45" s="250">
        <v>0</v>
      </c>
      <c r="G45"/>
      <c r="H45" s="250">
        <f t="shared" si="20"/>
        <v>0</v>
      </c>
      <c r="I45" s="252">
        <f t="shared" si="2"/>
        <v>0</v>
      </c>
      <c r="J45" s="250">
        <f t="shared" si="21"/>
        <v>0</v>
      </c>
      <c r="K45" s="252">
        <f t="shared" si="3"/>
        <v>0</v>
      </c>
      <c r="L45" s="251">
        <f t="shared" si="4"/>
        <v>0</v>
      </c>
      <c r="M45" s="252">
        <f t="shared" si="5"/>
        <v>0</v>
      </c>
      <c r="N45" s="253">
        <f t="shared" si="6"/>
        <v>0</v>
      </c>
      <c r="O45"/>
      <c r="P45" s="250">
        <v>0</v>
      </c>
      <c r="Q45" s="252">
        <f t="shared" si="7"/>
        <v>0</v>
      </c>
      <c r="R45" s="250">
        <v>0</v>
      </c>
      <c r="S45" s="252">
        <f t="shared" si="8"/>
        <v>0</v>
      </c>
      <c r="T45" s="251">
        <f t="shared" si="9"/>
        <v>0</v>
      </c>
      <c r="U45" s="252">
        <f t="shared" si="10"/>
        <v>0</v>
      </c>
      <c r="V45" s="253">
        <f t="shared" si="11"/>
        <v>0</v>
      </c>
      <c r="W45"/>
      <c r="X45" s="250">
        <v>0</v>
      </c>
      <c r="Y45" s="252">
        <f t="shared" si="12"/>
        <v>0</v>
      </c>
      <c r="Z45" s="250">
        <v>0</v>
      </c>
      <c r="AA45" s="252">
        <f t="shared" si="13"/>
        <v>0</v>
      </c>
      <c r="AB45" s="251">
        <f t="shared" si="14"/>
        <v>0</v>
      </c>
      <c r="AC45" s="252">
        <f t="shared" si="15"/>
        <v>0</v>
      </c>
      <c r="AD45" s="253">
        <f t="shared" si="16"/>
        <v>0</v>
      </c>
      <c r="AE45"/>
      <c r="AF45" s="250">
        <v>0</v>
      </c>
      <c r="AG45" s="252">
        <f t="shared" si="17"/>
        <v>0</v>
      </c>
      <c r="AH45" s="250">
        <v>0</v>
      </c>
      <c r="AI45" s="252">
        <f t="shared" si="18"/>
        <v>0</v>
      </c>
      <c r="AJ45" s="251">
        <f t="shared" si="0"/>
        <v>0</v>
      </c>
      <c r="AK45" s="252">
        <f t="shared" si="1"/>
        <v>0</v>
      </c>
      <c r="AL45" s="253">
        <f t="shared" si="19"/>
        <v>0</v>
      </c>
    </row>
    <row r="46" spans="2:38" hidden="1" outlineLevel="1" x14ac:dyDescent="0.35">
      <c r="B46" s="255" t="s">
        <v>187</v>
      </c>
      <c r="C46" s="255" t="s">
        <v>188</v>
      </c>
      <c r="D46"/>
      <c r="E46" s="250">
        <v>0</v>
      </c>
      <c r="F46" s="250">
        <v>0</v>
      </c>
      <c r="G46"/>
      <c r="H46" s="250">
        <f t="shared" si="20"/>
        <v>0</v>
      </c>
      <c r="I46" s="252">
        <f t="shared" si="2"/>
        <v>0</v>
      </c>
      <c r="J46" s="250">
        <f t="shared" si="21"/>
        <v>0</v>
      </c>
      <c r="K46" s="252">
        <f t="shared" si="3"/>
        <v>0</v>
      </c>
      <c r="L46" s="251">
        <f t="shared" si="4"/>
        <v>0</v>
      </c>
      <c r="M46" s="252">
        <f t="shared" si="5"/>
        <v>0</v>
      </c>
      <c r="N46" s="253">
        <f t="shared" si="6"/>
        <v>0</v>
      </c>
      <c r="O46"/>
      <c r="P46" s="250">
        <v>0</v>
      </c>
      <c r="Q46" s="252">
        <f t="shared" si="7"/>
        <v>0</v>
      </c>
      <c r="R46" s="250">
        <v>0</v>
      </c>
      <c r="S46" s="252">
        <f t="shared" si="8"/>
        <v>0</v>
      </c>
      <c r="T46" s="251">
        <f t="shared" si="9"/>
        <v>0</v>
      </c>
      <c r="U46" s="252">
        <f t="shared" si="10"/>
        <v>0</v>
      </c>
      <c r="V46" s="253">
        <f t="shared" si="11"/>
        <v>0</v>
      </c>
      <c r="W46"/>
      <c r="X46" s="250">
        <v>0</v>
      </c>
      <c r="Y46" s="252">
        <f t="shared" si="12"/>
        <v>0</v>
      </c>
      <c r="Z46" s="250">
        <v>0</v>
      </c>
      <c r="AA46" s="252">
        <f t="shared" si="13"/>
        <v>0</v>
      </c>
      <c r="AB46" s="251">
        <f t="shared" si="14"/>
        <v>0</v>
      </c>
      <c r="AC46" s="252">
        <f t="shared" si="15"/>
        <v>0</v>
      </c>
      <c r="AD46" s="253">
        <f t="shared" si="16"/>
        <v>0</v>
      </c>
      <c r="AE46"/>
      <c r="AF46" s="250">
        <v>0</v>
      </c>
      <c r="AG46" s="252">
        <f t="shared" si="17"/>
        <v>0</v>
      </c>
      <c r="AH46" s="250">
        <v>0</v>
      </c>
      <c r="AI46" s="252">
        <f t="shared" si="18"/>
        <v>0</v>
      </c>
      <c r="AJ46" s="251">
        <f t="shared" si="0"/>
        <v>0</v>
      </c>
      <c r="AK46" s="252">
        <f t="shared" si="1"/>
        <v>0</v>
      </c>
      <c r="AL46" s="253">
        <f t="shared" si="19"/>
        <v>0</v>
      </c>
    </row>
    <row r="47" spans="2:38" ht="7.5" customHeight="1" collapsed="1" x14ac:dyDescent="0.35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</row>
    <row r="48" spans="2:38" x14ac:dyDescent="0.35">
      <c r="B48" s="234">
        <v>2</v>
      </c>
      <c r="C48" s="234" t="s">
        <v>189</v>
      </c>
      <c r="D48"/>
      <c r="E48" s="235">
        <f>SUM(E77,E74,E56,E49,E80,E73)</f>
        <v>298.24990783827616</v>
      </c>
      <c r="F48" s="235">
        <f>SUM(F77,F74,F56,F49,F80,F73)</f>
        <v>296.78967407882959</v>
      </c>
      <c r="G48"/>
      <c r="H48" s="235">
        <f>SUM(H77,H74,H56,H49,H80,H73)</f>
        <v>-7.9370785689752168</v>
      </c>
      <c r="I48" s="237">
        <f t="shared" ref="I48" si="22">IFERROR(H48/$E48,0)</f>
        <v>-2.6612174422796602E-2</v>
      </c>
      <c r="J48" s="235">
        <f>SUM(J77,J74,J56,J49,J80,J73)</f>
        <v>-0.47963641098484849</v>
      </c>
      <c r="K48" s="237">
        <f t="shared" ref="K48" si="23">IFERROR(J48/$F48,0)</f>
        <v>-1.6160818683248845E-3</v>
      </c>
      <c r="L48" s="236">
        <f t="shared" ref="L48" si="24">$H48-J48</f>
        <v>-7.4574421579903687</v>
      </c>
      <c r="M48" s="237">
        <f t="shared" ref="M48" si="25">IFERROR($H48/J48-1,0)</f>
        <v>15.548115170568121</v>
      </c>
      <c r="N48" s="238">
        <f t="shared" ref="N48" si="26">M48</f>
        <v>15.548115170568121</v>
      </c>
      <c r="O48"/>
      <c r="P48" s="235">
        <f>SUM(P77,P74,P56,P49,P80,P73)</f>
        <v>-8.0045025989752148</v>
      </c>
      <c r="Q48" s="237">
        <f t="shared" ref="Q48" si="27">IFERROR(P48/$E48,0)</f>
        <v>-2.6838239974630931E-2</v>
      </c>
      <c r="R48" s="235">
        <f>SUM(R77,R74,R56,R49,R80,R73)</f>
        <v>-4.0000000000000001E-3</v>
      </c>
      <c r="S48" s="237">
        <f t="shared" ref="S48" si="28">IFERROR(R48/$F48,0)</f>
        <v>-1.3477557844339186E-5</v>
      </c>
      <c r="T48" s="236">
        <f t="shared" ref="T48" si="29">$P48-R48</f>
        <v>-8.0005025989752152</v>
      </c>
      <c r="U48" s="237">
        <f t="shared" ref="U48" si="30">IFERROR($P48/R48-1,0)</f>
        <v>2000.1256497438037</v>
      </c>
      <c r="V48" s="238">
        <f t="shared" ref="V48" si="31">U48</f>
        <v>2000.1256497438037</v>
      </c>
      <c r="W48"/>
      <c r="X48" s="235">
        <f>SUM(X77,X74,X56,X49,X80,X73)</f>
        <v>-5.8332809999999867E-2</v>
      </c>
      <c r="Y48" s="237">
        <f t="shared" ref="Y48" si="32">IFERROR(X48/$E48,0)</f>
        <v>-1.9558366479573367E-4</v>
      </c>
      <c r="Z48" s="235">
        <f>SUM(Z77,Z74,Z56,Z49,Z80,Z73)</f>
        <v>-0.21000307765151513</v>
      </c>
      <c r="AA48" s="237">
        <f t="shared" ref="AA48" si="33">IFERROR(Z48/$F48,0)</f>
        <v>-7.0758215663438721E-4</v>
      </c>
      <c r="AB48" s="236">
        <f t="shared" si="14"/>
        <v>0.15167026765151526</v>
      </c>
      <c r="AC48" s="237">
        <f t="shared" si="15"/>
        <v>-0.7222287851571445</v>
      </c>
      <c r="AD48" s="238">
        <f t="shared" ref="AD48" si="34">AC48</f>
        <v>-0.7222287851571445</v>
      </c>
      <c r="AE48"/>
      <c r="AF48" s="235">
        <f>SUM(AF77,AF74,AF56,AF49,AF80,AF73)</f>
        <v>0.12575683999999945</v>
      </c>
      <c r="AG48" s="237">
        <f t="shared" ref="AG48" si="35">IFERROR(AF48/$E48,0)</f>
        <v>4.216492166300691E-4</v>
      </c>
      <c r="AH48" s="235">
        <f>SUM(AH77,AH74,AH56,AH49,AH80,AH73)</f>
        <v>-0.26563333333333333</v>
      </c>
      <c r="AI48" s="237">
        <f t="shared" ref="AI48" si="36">IFERROR(AH48/$F48,0)</f>
        <v>-8.9502215384615813E-4</v>
      </c>
      <c r="AJ48" s="236">
        <f t="shared" si="0"/>
        <v>0.39139017333333281</v>
      </c>
      <c r="AK48" s="237">
        <f t="shared" si="1"/>
        <v>-1.4734226628184193</v>
      </c>
      <c r="AL48" s="238">
        <f t="shared" ref="AL48" si="37">AK48</f>
        <v>-1.4734226628184193</v>
      </c>
    </row>
    <row r="49" spans="2:38" x14ac:dyDescent="0.35">
      <c r="B49" s="239" t="s">
        <v>190</v>
      </c>
      <c r="C49" s="239" t="s">
        <v>191</v>
      </c>
      <c r="D49"/>
      <c r="E49" s="240">
        <f>SUM(E50:E55)</f>
        <v>182.27733428264798</v>
      </c>
      <c r="F49" s="240">
        <f>SUM(F50:F55)</f>
        <v>176.16088878505914</v>
      </c>
      <c r="G49"/>
      <c r="H49" s="240">
        <f>SUM(H50:H55)</f>
        <v>-1.9899329909952157</v>
      </c>
      <c r="I49" s="242">
        <f t="shared" si="2"/>
        <v>-1.0917062172466983E-2</v>
      </c>
      <c r="J49" s="240">
        <f>SUM(J50:J55)</f>
        <v>-0.31383641098484849</v>
      </c>
      <c r="K49" s="242">
        <f t="shared" si="3"/>
        <v>-1.7815328541386545E-3</v>
      </c>
      <c r="L49" s="241">
        <f t="shared" si="4"/>
        <v>-1.6760965800103671</v>
      </c>
      <c r="M49" s="242">
        <f t="shared" si="5"/>
        <v>5.3406696015628548</v>
      </c>
      <c r="N49" s="243">
        <f t="shared" si="6"/>
        <v>5.3406696015628548</v>
      </c>
      <c r="O49"/>
      <c r="P49" s="240">
        <f>SUM(P50:P55)</f>
        <v>-2.099383520995215</v>
      </c>
      <c r="Q49" s="242">
        <f t="shared" si="7"/>
        <v>-1.151752371877356E-2</v>
      </c>
      <c r="R49" s="240">
        <f>SUM(R50:R55)</f>
        <v>-4.0000000000000001E-3</v>
      </c>
      <c r="S49" s="242">
        <f t="shared" si="8"/>
        <v>-2.2706515774228173E-5</v>
      </c>
      <c r="T49" s="241">
        <f t="shared" si="9"/>
        <v>-2.095383520995215</v>
      </c>
      <c r="U49" s="242">
        <f t="shared" si="10"/>
        <v>523.84588024880372</v>
      </c>
      <c r="V49" s="243">
        <f t="shared" si="11"/>
        <v>523.84588024880372</v>
      </c>
      <c r="W49"/>
      <c r="X49" s="240">
        <f>SUM(X50:X55)</f>
        <v>-4.5796209999999955E-2</v>
      </c>
      <c r="Y49" s="242">
        <f t="shared" si="12"/>
        <v>-2.5124467713021385E-4</v>
      </c>
      <c r="Z49" s="240">
        <f>SUM(Z50:Z55)</f>
        <v>-0.17650307765151513</v>
      </c>
      <c r="AA49" s="242">
        <f t="shared" si="13"/>
        <v>-1.0019424792234871E-3</v>
      </c>
      <c r="AB49" s="241">
        <f t="shared" si="14"/>
        <v>0.13070686765151518</v>
      </c>
      <c r="AC49" s="242">
        <f t="shared" si="15"/>
        <v>-0.74053591240817185</v>
      </c>
      <c r="AD49" s="243">
        <f t="shared" si="16"/>
        <v>-0.74053591240817185</v>
      </c>
      <c r="AE49"/>
      <c r="AF49" s="240">
        <f>SUM(AF50:AF55)</f>
        <v>0.15524673999999944</v>
      </c>
      <c r="AG49" s="242">
        <f t="shared" si="17"/>
        <v>8.5170622343678994E-4</v>
      </c>
      <c r="AH49" s="240">
        <f>SUM(AH50:AH55)</f>
        <v>-0.13333333333333333</v>
      </c>
      <c r="AI49" s="242">
        <f t="shared" si="18"/>
        <v>-7.5688385914093903E-4</v>
      </c>
      <c r="AJ49" s="241">
        <f t="shared" si="0"/>
        <v>0.2885800733333328</v>
      </c>
      <c r="AK49" s="242">
        <f t="shared" si="1"/>
        <v>-2.1643505499999955</v>
      </c>
      <c r="AL49" s="243">
        <f t="shared" si="19"/>
        <v>-2.1643505499999955</v>
      </c>
    </row>
    <row r="50" spans="2:38" hidden="1" outlineLevel="1" x14ac:dyDescent="0.35">
      <c r="B50" s="255" t="s">
        <v>192</v>
      </c>
      <c r="C50" s="255" t="s">
        <v>193</v>
      </c>
      <c r="D50"/>
      <c r="E50" s="250">
        <v>72.566961241810816</v>
      </c>
      <c r="F50" s="250">
        <v>73.446559866722154</v>
      </c>
      <c r="G50"/>
      <c r="H50" s="250">
        <f t="shared" ref="H50:H55" si="38">SUM(P50,X50,AF50)</f>
        <v>-0.82525539331796671</v>
      </c>
      <c r="I50" s="252">
        <f t="shared" si="2"/>
        <v>-1.1372329489835112E-2</v>
      </c>
      <c r="J50" s="250">
        <f t="shared" ref="J50:J55" si="39">SUM(R50,Z50,AH50)</f>
        <v>-4.0000000000000001E-3</v>
      </c>
      <c r="K50" s="252">
        <f t="shared" si="3"/>
        <v>-5.4461366294874721E-5</v>
      </c>
      <c r="L50" s="251">
        <f t="shared" si="4"/>
        <v>-0.82125539331796671</v>
      </c>
      <c r="M50" s="252">
        <f t="shared" si="5"/>
        <v>205.31384832949166</v>
      </c>
      <c r="N50" s="253">
        <f t="shared" si="6"/>
        <v>205.31384832949166</v>
      </c>
      <c r="O50"/>
      <c r="P50" s="250">
        <v>-0.80930539331796669</v>
      </c>
      <c r="Q50" s="252">
        <f t="shared" si="7"/>
        <v>-1.1152532495072568E-2</v>
      </c>
      <c r="R50" s="250">
        <v>-4.0000000000000001E-3</v>
      </c>
      <c r="S50" s="252">
        <f t="shared" si="8"/>
        <v>-5.4461366294874721E-5</v>
      </c>
      <c r="T50" s="251">
        <f t="shared" si="9"/>
        <v>-0.80530539331796669</v>
      </c>
      <c r="U50" s="252">
        <f t="shared" si="10"/>
        <v>201.32634832949168</v>
      </c>
      <c r="V50" s="253">
        <f t="shared" si="11"/>
        <v>201.32634832949168</v>
      </c>
      <c r="W50"/>
      <c r="X50" s="250">
        <v>-1.5949999999999999E-2</v>
      </c>
      <c r="Y50" s="252">
        <f t="shared" si="12"/>
        <v>-2.1979699476254363E-4</v>
      </c>
      <c r="Z50" s="250">
        <v>0</v>
      </c>
      <c r="AA50" s="252">
        <f t="shared" si="13"/>
        <v>0</v>
      </c>
      <c r="AB50" s="251">
        <f t="shared" si="14"/>
        <v>-1.5949999999999999E-2</v>
      </c>
      <c r="AC50" s="252">
        <f t="shared" si="15"/>
        <v>0</v>
      </c>
      <c r="AD50" s="253">
        <f t="shared" si="16"/>
        <v>0</v>
      </c>
      <c r="AE50"/>
      <c r="AF50" s="250">
        <v>0</v>
      </c>
      <c r="AG50" s="252">
        <f t="shared" si="17"/>
        <v>0</v>
      </c>
      <c r="AH50" s="250">
        <v>0</v>
      </c>
      <c r="AI50" s="252">
        <f t="shared" si="18"/>
        <v>0</v>
      </c>
      <c r="AJ50" s="251">
        <f t="shared" si="0"/>
        <v>0</v>
      </c>
      <c r="AK50" s="252">
        <f t="shared" si="1"/>
        <v>0</v>
      </c>
      <c r="AL50" s="253">
        <f t="shared" si="19"/>
        <v>0</v>
      </c>
    </row>
    <row r="51" spans="2:38" hidden="1" outlineLevel="1" x14ac:dyDescent="0.35">
      <c r="B51" s="255" t="s">
        <v>194</v>
      </c>
      <c r="C51" s="255" t="s">
        <v>195</v>
      </c>
      <c r="D51"/>
      <c r="E51" s="250">
        <v>74.243077748523902</v>
      </c>
      <c r="F51" s="250">
        <v>69.104125445526819</v>
      </c>
      <c r="G51"/>
      <c r="H51" s="250">
        <f t="shared" si="38"/>
        <v>-0.9637889049583872</v>
      </c>
      <c r="I51" s="252">
        <f t="shared" si="2"/>
        <v>-1.2981532207257521E-2</v>
      </c>
      <c r="J51" s="250">
        <f t="shared" si="39"/>
        <v>-0.13333333333333333</v>
      </c>
      <c r="K51" s="252">
        <f t="shared" si="3"/>
        <v>-1.9294554771326483E-3</v>
      </c>
      <c r="L51" s="251">
        <f t="shared" si="4"/>
        <v>-0.8304555716250539</v>
      </c>
      <c r="M51" s="252">
        <f t="shared" si="5"/>
        <v>6.2284167871879044</v>
      </c>
      <c r="N51" s="253">
        <f t="shared" si="6"/>
        <v>6.2284167871879044</v>
      </c>
      <c r="O51"/>
      <c r="P51" s="250">
        <v>-0.91012289495838716</v>
      </c>
      <c r="Q51" s="252">
        <f t="shared" si="7"/>
        <v>-1.2258690271989461E-2</v>
      </c>
      <c r="R51" s="250">
        <v>0</v>
      </c>
      <c r="S51" s="252">
        <f t="shared" si="8"/>
        <v>0</v>
      </c>
      <c r="T51" s="251">
        <f t="shared" si="9"/>
        <v>-0.91012289495838716</v>
      </c>
      <c r="U51" s="252">
        <f t="shared" si="10"/>
        <v>0</v>
      </c>
      <c r="V51" s="253">
        <f t="shared" si="11"/>
        <v>0</v>
      </c>
      <c r="W51"/>
      <c r="X51" s="250">
        <v>-5.2954460000000016E-2</v>
      </c>
      <c r="Y51" s="252">
        <f t="shared" si="12"/>
        <v>-7.132578767729339E-4</v>
      </c>
      <c r="Z51" s="250">
        <v>0</v>
      </c>
      <c r="AA51" s="252">
        <f t="shared" si="13"/>
        <v>0</v>
      </c>
      <c r="AB51" s="251">
        <f t="shared" si="14"/>
        <v>-5.2954460000000016E-2</v>
      </c>
      <c r="AC51" s="252">
        <f t="shared" si="15"/>
        <v>0</v>
      </c>
      <c r="AD51" s="253">
        <f t="shared" si="16"/>
        <v>0</v>
      </c>
      <c r="AE51"/>
      <c r="AF51" s="250">
        <v>-7.1154999999999992E-4</v>
      </c>
      <c r="AG51" s="252">
        <f t="shared" si="17"/>
        <v>-9.5840584951254525E-6</v>
      </c>
      <c r="AH51" s="250">
        <v>-0.13333333333333333</v>
      </c>
      <c r="AI51" s="252">
        <f t="shared" si="18"/>
        <v>-1.9294554771326483E-3</v>
      </c>
      <c r="AJ51" s="251">
        <f t="shared" si="0"/>
        <v>0.13262178333333333</v>
      </c>
      <c r="AK51" s="252">
        <f t="shared" si="1"/>
        <v>-0.99466337500000002</v>
      </c>
      <c r="AL51" s="253">
        <f t="shared" si="19"/>
        <v>-0.99466337500000002</v>
      </c>
    </row>
    <row r="52" spans="2:38" hidden="1" outlineLevel="1" x14ac:dyDescent="0.35">
      <c r="B52" s="255" t="s">
        <v>196</v>
      </c>
      <c r="C52" s="255" t="s">
        <v>197</v>
      </c>
      <c r="D52"/>
      <c r="E52" s="250">
        <v>24.877987429210521</v>
      </c>
      <c r="F52" s="250">
        <v>24.353285722813041</v>
      </c>
      <c r="G52"/>
      <c r="H52" s="250">
        <f t="shared" si="38"/>
        <v>-0.18405181498848566</v>
      </c>
      <c r="I52" s="252">
        <f t="shared" si="2"/>
        <v>-7.3981794352215562E-3</v>
      </c>
      <c r="J52" s="250">
        <f t="shared" si="39"/>
        <v>-0.17650307765151513</v>
      </c>
      <c r="K52" s="252">
        <f t="shared" si="3"/>
        <v>-7.2476083786170648E-3</v>
      </c>
      <c r="L52" s="251">
        <f t="shared" si="4"/>
        <v>-7.5487373369705346E-3</v>
      </c>
      <c r="M52" s="252">
        <f t="shared" si="5"/>
        <v>4.2768304311807226E-2</v>
      </c>
      <c r="N52" s="253">
        <f t="shared" si="6"/>
        <v>4.2768304311807226E-2</v>
      </c>
      <c r="O52"/>
      <c r="P52" s="250">
        <v>-0.37186432498848515</v>
      </c>
      <c r="Q52" s="252">
        <f t="shared" si="7"/>
        <v>-1.4947524434868882E-2</v>
      </c>
      <c r="R52" s="250">
        <v>0</v>
      </c>
      <c r="S52" s="252">
        <f t="shared" si="8"/>
        <v>0</v>
      </c>
      <c r="T52" s="251">
        <f t="shared" si="9"/>
        <v>-0.37186432498848515</v>
      </c>
      <c r="U52" s="252">
        <f t="shared" si="10"/>
        <v>0</v>
      </c>
      <c r="V52" s="253">
        <f t="shared" si="11"/>
        <v>0</v>
      </c>
      <c r="W52"/>
      <c r="X52" s="250">
        <v>3.1854220000000058E-2</v>
      </c>
      <c r="Y52" s="252">
        <f t="shared" si="12"/>
        <v>1.2804178831040964E-3</v>
      </c>
      <c r="Z52" s="250">
        <v>-0.17650307765151513</v>
      </c>
      <c r="AA52" s="252">
        <f t="shared" si="13"/>
        <v>-7.2476083786170648E-3</v>
      </c>
      <c r="AB52" s="251">
        <f t="shared" si="14"/>
        <v>0.20835729765151517</v>
      </c>
      <c r="AC52" s="252">
        <f t="shared" si="15"/>
        <v>-1.1804740201918322</v>
      </c>
      <c r="AD52" s="253">
        <f t="shared" si="16"/>
        <v>-1.1804740201918322</v>
      </c>
      <c r="AE52"/>
      <c r="AF52" s="250">
        <v>0.15595828999999944</v>
      </c>
      <c r="AG52" s="252">
        <f t="shared" si="17"/>
        <v>6.2689271165432305E-3</v>
      </c>
      <c r="AH52" s="250">
        <v>0</v>
      </c>
      <c r="AI52" s="252">
        <f t="shared" si="18"/>
        <v>0</v>
      </c>
      <c r="AJ52" s="251">
        <f t="shared" si="0"/>
        <v>0.15595828999999944</v>
      </c>
      <c r="AK52" s="252">
        <f t="shared" si="1"/>
        <v>0</v>
      </c>
      <c r="AL52" s="253">
        <f t="shared" si="19"/>
        <v>0</v>
      </c>
    </row>
    <row r="53" spans="2:38" hidden="1" outlineLevel="1" x14ac:dyDescent="0.35">
      <c r="B53" s="255" t="s">
        <v>198</v>
      </c>
      <c r="C53" s="255" t="s">
        <v>199</v>
      </c>
      <c r="D53"/>
      <c r="E53" s="250">
        <v>5.6577784266470017</v>
      </c>
      <c r="F53" s="250">
        <v>4.440688577524786</v>
      </c>
      <c r="G53"/>
      <c r="H53" s="250">
        <f t="shared" si="38"/>
        <v>0</v>
      </c>
      <c r="I53" s="252">
        <f t="shared" si="2"/>
        <v>0</v>
      </c>
      <c r="J53" s="250">
        <f t="shared" si="39"/>
        <v>0</v>
      </c>
      <c r="K53" s="252">
        <f t="shared" si="3"/>
        <v>0</v>
      </c>
      <c r="L53" s="251">
        <f t="shared" si="4"/>
        <v>0</v>
      </c>
      <c r="M53" s="252">
        <f t="shared" si="5"/>
        <v>0</v>
      </c>
      <c r="N53" s="253">
        <f t="shared" si="6"/>
        <v>0</v>
      </c>
      <c r="O53"/>
      <c r="P53" s="250">
        <v>0</v>
      </c>
      <c r="Q53" s="252">
        <f t="shared" si="7"/>
        <v>0</v>
      </c>
      <c r="R53" s="250">
        <v>0</v>
      </c>
      <c r="S53" s="252">
        <f t="shared" si="8"/>
        <v>0</v>
      </c>
      <c r="T53" s="251">
        <f t="shared" si="9"/>
        <v>0</v>
      </c>
      <c r="U53" s="252">
        <f t="shared" si="10"/>
        <v>0</v>
      </c>
      <c r="V53" s="253">
        <f t="shared" si="11"/>
        <v>0</v>
      </c>
      <c r="W53"/>
      <c r="X53" s="250">
        <v>0</v>
      </c>
      <c r="Y53" s="252">
        <f t="shared" si="12"/>
        <v>0</v>
      </c>
      <c r="Z53" s="250">
        <v>0</v>
      </c>
      <c r="AA53" s="252">
        <f t="shared" si="13"/>
        <v>0</v>
      </c>
      <c r="AB53" s="251">
        <f t="shared" si="14"/>
        <v>0</v>
      </c>
      <c r="AC53" s="252">
        <f t="shared" si="15"/>
        <v>0</v>
      </c>
      <c r="AD53" s="253">
        <f t="shared" si="16"/>
        <v>0</v>
      </c>
      <c r="AE53"/>
      <c r="AF53" s="250">
        <v>0</v>
      </c>
      <c r="AG53" s="252">
        <f t="shared" si="17"/>
        <v>0</v>
      </c>
      <c r="AH53" s="250">
        <v>0</v>
      </c>
      <c r="AI53" s="252">
        <f t="shared" si="18"/>
        <v>0</v>
      </c>
      <c r="AJ53" s="251">
        <f t="shared" si="0"/>
        <v>0</v>
      </c>
      <c r="AK53" s="252">
        <f t="shared" si="1"/>
        <v>0</v>
      </c>
      <c r="AL53" s="253">
        <f t="shared" si="19"/>
        <v>0</v>
      </c>
    </row>
    <row r="54" spans="2:38" hidden="1" outlineLevel="1" x14ac:dyDescent="0.35">
      <c r="B54" s="255" t="s">
        <v>200</v>
      </c>
      <c r="C54" s="255" t="s">
        <v>201</v>
      </c>
      <c r="D54"/>
      <c r="E54" s="250">
        <v>4.9315294364557598</v>
      </c>
      <c r="F54" s="250">
        <v>4.8162291724723572</v>
      </c>
      <c r="G54"/>
      <c r="H54" s="250">
        <f t="shared" si="38"/>
        <v>-1.6836877730375992E-2</v>
      </c>
      <c r="I54" s="252">
        <f t="shared" si="2"/>
        <v>-3.414129013589846E-3</v>
      </c>
      <c r="J54" s="250">
        <f t="shared" si="39"/>
        <v>0</v>
      </c>
      <c r="K54" s="252">
        <f t="shared" si="3"/>
        <v>0</v>
      </c>
      <c r="L54" s="251">
        <f t="shared" si="4"/>
        <v>-1.6836877730375992E-2</v>
      </c>
      <c r="M54" s="252">
        <f t="shared" si="5"/>
        <v>0</v>
      </c>
      <c r="N54" s="253">
        <f t="shared" si="6"/>
        <v>0</v>
      </c>
      <c r="O54"/>
      <c r="P54" s="250">
        <v>-8.0909077303759919E-3</v>
      </c>
      <c r="Q54" s="252">
        <f t="shared" si="7"/>
        <v>-1.6406487753200649E-3</v>
      </c>
      <c r="R54" s="250">
        <v>0</v>
      </c>
      <c r="S54" s="252">
        <f t="shared" si="8"/>
        <v>0</v>
      </c>
      <c r="T54" s="251">
        <f t="shared" si="9"/>
        <v>-8.0909077303759919E-3</v>
      </c>
      <c r="U54" s="252">
        <f t="shared" si="10"/>
        <v>0</v>
      </c>
      <c r="V54" s="253">
        <f t="shared" si="11"/>
        <v>0</v>
      </c>
      <c r="W54"/>
      <c r="X54" s="250">
        <v>-8.7459700000000005E-3</v>
      </c>
      <c r="Y54" s="252">
        <f t="shared" si="12"/>
        <v>-1.7734802382697811E-3</v>
      </c>
      <c r="Z54" s="250">
        <v>0</v>
      </c>
      <c r="AA54" s="252">
        <f t="shared" si="13"/>
        <v>0</v>
      </c>
      <c r="AB54" s="251">
        <f t="shared" si="14"/>
        <v>-8.7459700000000005E-3</v>
      </c>
      <c r="AC54" s="252">
        <f t="shared" si="15"/>
        <v>0</v>
      </c>
      <c r="AD54" s="253">
        <f t="shared" si="16"/>
        <v>0</v>
      </c>
      <c r="AE54"/>
      <c r="AF54" s="250">
        <v>0</v>
      </c>
      <c r="AG54" s="252">
        <f t="shared" si="17"/>
        <v>0</v>
      </c>
      <c r="AH54" s="250">
        <v>0</v>
      </c>
      <c r="AI54" s="252">
        <f t="shared" si="18"/>
        <v>0</v>
      </c>
      <c r="AJ54" s="251">
        <f t="shared" si="0"/>
        <v>0</v>
      </c>
      <c r="AK54" s="252">
        <f t="shared" si="1"/>
        <v>0</v>
      </c>
      <c r="AL54" s="253">
        <f t="shared" si="19"/>
        <v>0</v>
      </c>
    </row>
    <row r="55" spans="2:38" hidden="1" outlineLevel="1" x14ac:dyDescent="0.35">
      <c r="B55" s="255" t="s">
        <v>202</v>
      </c>
      <c r="C55" s="255" t="s">
        <v>203</v>
      </c>
      <c r="D55"/>
      <c r="E55" s="250">
        <v>0</v>
      </c>
      <c r="F55" s="250">
        <v>0</v>
      </c>
      <c r="G55"/>
      <c r="H55" s="250">
        <f t="shared" si="38"/>
        <v>0</v>
      </c>
      <c r="I55" s="252">
        <f t="shared" si="2"/>
        <v>0</v>
      </c>
      <c r="J55" s="250">
        <f t="shared" si="39"/>
        <v>0</v>
      </c>
      <c r="K55" s="252">
        <f t="shared" si="3"/>
        <v>0</v>
      </c>
      <c r="L55" s="251">
        <f t="shared" si="4"/>
        <v>0</v>
      </c>
      <c r="M55" s="252">
        <f t="shared" si="5"/>
        <v>0</v>
      </c>
      <c r="N55" s="253">
        <f t="shared" si="6"/>
        <v>0</v>
      </c>
      <c r="O55"/>
      <c r="P55" s="250">
        <v>0</v>
      </c>
      <c r="Q55" s="252">
        <f t="shared" si="7"/>
        <v>0</v>
      </c>
      <c r="R55" s="250">
        <v>0</v>
      </c>
      <c r="S55" s="252">
        <f t="shared" si="8"/>
        <v>0</v>
      </c>
      <c r="T55" s="251">
        <f t="shared" si="9"/>
        <v>0</v>
      </c>
      <c r="U55" s="252">
        <f t="shared" si="10"/>
        <v>0</v>
      </c>
      <c r="V55" s="253">
        <f t="shared" si="11"/>
        <v>0</v>
      </c>
      <c r="W55"/>
      <c r="X55" s="250">
        <v>0</v>
      </c>
      <c r="Y55" s="252">
        <f t="shared" si="12"/>
        <v>0</v>
      </c>
      <c r="Z55" s="250">
        <v>0</v>
      </c>
      <c r="AA55" s="252">
        <f t="shared" si="13"/>
        <v>0</v>
      </c>
      <c r="AB55" s="251">
        <f t="shared" si="14"/>
        <v>0</v>
      </c>
      <c r="AC55" s="252">
        <f t="shared" si="15"/>
        <v>0</v>
      </c>
      <c r="AD55" s="253">
        <f t="shared" si="16"/>
        <v>0</v>
      </c>
      <c r="AE55"/>
      <c r="AF55" s="250">
        <v>0</v>
      </c>
      <c r="AG55" s="252">
        <f t="shared" si="17"/>
        <v>0</v>
      </c>
      <c r="AH55" s="250">
        <v>0</v>
      </c>
      <c r="AI55" s="252">
        <f t="shared" si="18"/>
        <v>0</v>
      </c>
      <c r="AJ55" s="251">
        <f t="shared" si="0"/>
        <v>0</v>
      </c>
      <c r="AK55" s="252">
        <f t="shared" si="1"/>
        <v>0</v>
      </c>
      <c r="AL55" s="253">
        <f t="shared" si="19"/>
        <v>0</v>
      </c>
    </row>
    <row r="56" spans="2:38" collapsed="1" x14ac:dyDescent="0.35">
      <c r="B56" s="239" t="s">
        <v>204</v>
      </c>
      <c r="C56" s="239" t="s">
        <v>205</v>
      </c>
      <c r="D56"/>
      <c r="E56" s="240">
        <f>SUM(E57,E66:E73)</f>
        <v>90.553388665628205</v>
      </c>
      <c r="F56" s="240">
        <f>SUM(F57,F66:F73)</f>
        <v>95.87521660730917</v>
      </c>
      <c r="G56"/>
      <c r="H56" s="240">
        <f>SUM(H57,H66:H73)</f>
        <v>-5.358522207980001</v>
      </c>
      <c r="I56" s="242">
        <f t="shared" si="2"/>
        <v>-5.9175280869571273E-2</v>
      </c>
      <c r="J56" s="240">
        <f>SUM(J57,J66:J73)</f>
        <v>-0.1658</v>
      </c>
      <c r="K56" s="242">
        <f t="shared" si="3"/>
        <v>-1.7293311646855776E-3</v>
      </c>
      <c r="L56" s="241">
        <f t="shared" si="4"/>
        <v>-5.1927222079800011</v>
      </c>
      <c r="M56" s="242">
        <f t="shared" si="5"/>
        <v>31.319193051749103</v>
      </c>
      <c r="N56" s="243">
        <f t="shared" si="6"/>
        <v>31.319193051749103</v>
      </c>
      <c r="O56"/>
      <c r="P56" s="240">
        <f>SUM(P57,P66:P73)</f>
        <v>-5.3164957079799997</v>
      </c>
      <c r="Q56" s="242">
        <f t="shared" si="7"/>
        <v>-5.871117344499785E-2</v>
      </c>
      <c r="R56" s="240">
        <f>SUM(R57,R66:R73)</f>
        <v>0</v>
      </c>
      <c r="S56" s="242">
        <f t="shared" si="8"/>
        <v>0</v>
      </c>
      <c r="T56" s="241">
        <f t="shared" si="9"/>
        <v>-5.3164957079799997</v>
      </c>
      <c r="U56" s="242">
        <f t="shared" si="10"/>
        <v>0</v>
      </c>
      <c r="V56" s="243">
        <f t="shared" si="11"/>
        <v>0</v>
      </c>
      <c r="W56"/>
      <c r="X56" s="240">
        <f>SUM(X57,X66:X73)</f>
        <v>-1.2536599999999912E-2</v>
      </c>
      <c r="Y56" s="242">
        <f t="shared" si="12"/>
        <v>-1.3844429440726706E-4</v>
      </c>
      <c r="Z56" s="240">
        <f>SUM(Z57,Z66:Z73)</f>
        <v>-3.3500000000000002E-2</v>
      </c>
      <c r="AA56" s="242">
        <f t="shared" si="13"/>
        <v>-3.4941250914937789E-4</v>
      </c>
      <c r="AB56" s="241">
        <f t="shared" si="14"/>
        <v>2.096340000000009E-2</v>
      </c>
      <c r="AC56" s="242">
        <f t="shared" si="15"/>
        <v>-0.62577313432836079</v>
      </c>
      <c r="AD56" s="243">
        <f t="shared" si="16"/>
        <v>-0.62577313432836079</v>
      </c>
      <c r="AE56"/>
      <c r="AF56" s="240">
        <f>SUM(AF57,AF66:AF73)</f>
        <v>-2.9489899999999993E-2</v>
      </c>
      <c r="AG56" s="242">
        <f t="shared" si="17"/>
        <v>-3.2566313016614497E-4</v>
      </c>
      <c r="AH56" s="240">
        <f>SUM(AH57,AH66:AH73)</f>
        <v>-0.1323</v>
      </c>
      <c r="AI56" s="242">
        <f t="shared" si="18"/>
        <v>-1.3799186555361997E-3</v>
      </c>
      <c r="AJ56" s="241">
        <f t="shared" si="0"/>
        <v>0.10281010000000002</v>
      </c>
      <c r="AK56" s="242">
        <f t="shared" si="1"/>
        <v>-0.77709826152683303</v>
      </c>
      <c r="AL56" s="243">
        <f t="shared" si="19"/>
        <v>-0.77709826152683303</v>
      </c>
    </row>
    <row r="57" spans="2:38" x14ac:dyDescent="0.35">
      <c r="B57" s="256" t="s">
        <v>206</v>
      </c>
      <c r="C57" s="256" t="s">
        <v>207</v>
      </c>
      <c r="D57"/>
      <c r="E57" s="257">
        <f>SUM(E58:E64)</f>
        <v>33.831299094942814</v>
      </c>
      <c r="F57" s="257">
        <f>SUM(F58:F64)</f>
        <v>35.701412150350279</v>
      </c>
      <c r="G57"/>
      <c r="H57" s="257">
        <f>SUM(H58:H64)</f>
        <v>-3.0115318731460006</v>
      </c>
      <c r="I57" s="259">
        <f t="shared" si="2"/>
        <v>-8.9016146400247798E-2</v>
      </c>
      <c r="J57" s="257">
        <f>SUM(J58:J64)</f>
        <v>-1.6299999999999999E-2</v>
      </c>
      <c r="K57" s="259">
        <f t="shared" si="3"/>
        <v>-4.5656457317025411E-4</v>
      </c>
      <c r="L57" s="258">
        <f t="shared" si="4"/>
        <v>-2.9952318731460004</v>
      </c>
      <c r="M57" s="259">
        <f t="shared" si="5"/>
        <v>183.75655663472398</v>
      </c>
      <c r="N57" s="260">
        <f t="shared" si="6"/>
        <v>183.75655663472398</v>
      </c>
      <c r="O57"/>
      <c r="P57" s="257">
        <f>SUM(P58:P64)</f>
        <v>-2.971866623146</v>
      </c>
      <c r="Q57" s="259">
        <f t="shared" si="7"/>
        <v>-8.7843703985645699E-2</v>
      </c>
      <c r="R57" s="257">
        <f>SUM(R58:R64)</f>
        <v>0</v>
      </c>
      <c r="S57" s="259">
        <f t="shared" si="8"/>
        <v>0</v>
      </c>
      <c r="T57" s="258">
        <f t="shared" si="9"/>
        <v>-2.971866623146</v>
      </c>
      <c r="U57" s="259">
        <f t="shared" si="10"/>
        <v>0</v>
      </c>
      <c r="V57" s="260">
        <f t="shared" si="11"/>
        <v>0</v>
      </c>
      <c r="W57"/>
      <c r="X57" s="257">
        <f>SUM(X58:X64)</f>
        <v>-2.4718249999999914E-2</v>
      </c>
      <c r="Y57" s="259">
        <f t="shared" si="12"/>
        <v>-7.3063259943496699E-4</v>
      </c>
      <c r="Z57" s="257">
        <f>SUM(Z58:Z64)</f>
        <v>0</v>
      </c>
      <c r="AA57" s="259">
        <f t="shared" si="13"/>
        <v>0</v>
      </c>
      <c r="AB57" s="258">
        <f t="shared" si="14"/>
        <v>-2.4718249999999914E-2</v>
      </c>
      <c r="AC57" s="259">
        <f t="shared" si="15"/>
        <v>0</v>
      </c>
      <c r="AD57" s="260">
        <f t="shared" si="16"/>
        <v>0</v>
      </c>
      <c r="AE57"/>
      <c r="AF57" s="257">
        <f>SUM(AF58:AF64)</f>
        <v>-1.4946999999999998E-2</v>
      </c>
      <c r="AG57" s="259">
        <f t="shared" si="17"/>
        <v>-4.4180981516711289E-4</v>
      </c>
      <c r="AH57" s="257">
        <f>SUM(AH58:AH64)</f>
        <v>-1.6299999999999999E-2</v>
      </c>
      <c r="AI57" s="259">
        <f t="shared" si="18"/>
        <v>-4.5656457317025411E-4</v>
      </c>
      <c r="AJ57" s="258">
        <f t="shared" si="0"/>
        <v>1.353E-3</v>
      </c>
      <c r="AK57" s="259">
        <f t="shared" si="1"/>
        <v>-8.3006134969325185E-2</v>
      </c>
      <c r="AL57" s="260">
        <f t="shared" si="19"/>
        <v>-8.3006134969325185E-2</v>
      </c>
    </row>
    <row r="58" spans="2:38" hidden="1" outlineLevel="1" x14ac:dyDescent="0.35">
      <c r="B58" s="255" t="s">
        <v>208</v>
      </c>
      <c r="C58" s="255" t="s">
        <v>209</v>
      </c>
      <c r="D58"/>
      <c r="E58" s="250">
        <v>14.83267362</v>
      </c>
      <c r="F58" s="250">
        <v>15.10648593211819</v>
      </c>
      <c r="G58"/>
      <c r="H58" s="250">
        <f t="shared" ref="H58:H84" si="40">SUM(P58,X58,AF58)</f>
        <v>-3.0237170351999916E-2</v>
      </c>
      <c r="I58" s="252">
        <f t="shared" si="2"/>
        <v>-2.0385515873031067E-3</v>
      </c>
      <c r="J58" s="250">
        <f t="shared" ref="J58:J84" si="41">SUM(R58,Z58,AH58)</f>
        <v>0</v>
      </c>
      <c r="K58" s="252">
        <f t="shared" si="3"/>
        <v>0</v>
      </c>
      <c r="L58" s="251">
        <f t="shared" si="4"/>
        <v>-3.0237170351999916E-2</v>
      </c>
      <c r="M58" s="252">
        <f t="shared" si="5"/>
        <v>0</v>
      </c>
      <c r="N58" s="253">
        <f t="shared" si="6"/>
        <v>0</v>
      </c>
      <c r="O58"/>
      <c r="P58" s="250">
        <v>-3.571920352E-3</v>
      </c>
      <c r="Q58" s="252">
        <f t="shared" si="7"/>
        <v>-2.40814329466787E-4</v>
      </c>
      <c r="R58" s="250">
        <v>0</v>
      </c>
      <c r="S58" s="252">
        <f t="shared" si="8"/>
        <v>0</v>
      </c>
      <c r="T58" s="251">
        <f t="shared" si="9"/>
        <v>-3.571920352E-3</v>
      </c>
      <c r="U58" s="252">
        <f t="shared" si="10"/>
        <v>0</v>
      </c>
      <c r="V58" s="253">
        <f t="shared" si="11"/>
        <v>0</v>
      </c>
      <c r="W58"/>
      <c r="X58" s="250">
        <v>-2.4718249999999914E-2</v>
      </c>
      <c r="Y58" s="252">
        <f t="shared" si="12"/>
        <v>-1.6664729928844693E-3</v>
      </c>
      <c r="Z58" s="250">
        <v>0</v>
      </c>
      <c r="AA58" s="252">
        <f t="shared" si="13"/>
        <v>0</v>
      </c>
      <c r="AB58" s="251">
        <f t="shared" si="14"/>
        <v>-2.4718249999999914E-2</v>
      </c>
      <c r="AC58" s="252">
        <f t="shared" si="15"/>
        <v>0</v>
      </c>
      <c r="AD58" s="253">
        <f t="shared" si="16"/>
        <v>0</v>
      </c>
      <c r="AE58"/>
      <c r="AF58" s="250">
        <v>-1.9469999999999999E-3</v>
      </c>
      <c r="AG58" s="252">
        <f t="shared" si="17"/>
        <v>-1.3126426495185028E-4</v>
      </c>
      <c r="AH58" s="250">
        <v>0</v>
      </c>
      <c r="AI58" s="252">
        <f t="shared" si="18"/>
        <v>0</v>
      </c>
      <c r="AJ58" s="251">
        <f t="shared" si="0"/>
        <v>-1.9469999999999999E-3</v>
      </c>
      <c r="AK58" s="252">
        <f t="shared" si="1"/>
        <v>0</v>
      </c>
      <c r="AL58" s="253">
        <f t="shared" si="19"/>
        <v>0</v>
      </c>
    </row>
    <row r="59" spans="2:38" hidden="1" outlineLevel="1" x14ac:dyDescent="0.35">
      <c r="B59" s="255" t="s">
        <v>210</v>
      </c>
      <c r="C59" s="255" t="s">
        <v>211</v>
      </c>
      <c r="D59"/>
      <c r="E59" s="250">
        <v>6.2995229137992581</v>
      </c>
      <c r="F59" s="250">
        <v>6.0725635584722202</v>
      </c>
      <c r="G59"/>
      <c r="H59" s="250">
        <f t="shared" si="40"/>
        <v>-1.4356043520000002E-3</v>
      </c>
      <c r="I59" s="252">
        <f t="shared" si="2"/>
        <v>-2.2789096438640994E-4</v>
      </c>
      <c r="J59" s="250">
        <f t="shared" si="41"/>
        <v>0</v>
      </c>
      <c r="K59" s="252">
        <f t="shared" si="3"/>
        <v>0</v>
      </c>
      <c r="L59" s="251">
        <f t="shared" si="4"/>
        <v>-1.4356043520000002E-3</v>
      </c>
      <c r="M59" s="252">
        <f t="shared" si="5"/>
        <v>0</v>
      </c>
      <c r="N59" s="253">
        <f t="shared" si="6"/>
        <v>0</v>
      </c>
      <c r="O59"/>
      <c r="P59" s="250">
        <v>-1.4356043520000002E-3</v>
      </c>
      <c r="Q59" s="252">
        <f t="shared" si="7"/>
        <v>-2.2789096438640994E-4</v>
      </c>
      <c r="R59" s="250">
        <v>0</v>
      </c>
      <c r="S59" s="252">
        <f t="shared" si="8"/>
        <v>0</v>
      </c>
      <c r="T59" s="251">
        <f t="shared" si="9"/>
        <v>-1.4356043520000002E-3</v>
      </c>
      <c r="U59" s="252">
        <f t="shared" si="10"/>
        <v>0</v>
      </c>
      <c r="V59" s="253">
        <f t="shared" si="11"/>
        <v>0</v>
      </c>
      <c r="W59"/>
      <c r="X59" s="250">
        <v>0</v>
      </c>
      <c r="Y59" s="252">
        <f t="shared" si="12"/>
        <v>0</v>
      </c>
      <c r="Z59" s="250">
        <v>0</v>
      </c>
      <c r="AA59" s="252">
        <f t="shared" si="13"/>
        <v>0</v>
      </c>
      <c r="AB59" s="251">
        <f t="shared" si="14"/>
        <v>0</v>
      </c>
      <c r="AC59" s="252">
        <f t="shared" si="15"/>
        <v>0</v>
      </c>
      <c r="AD59" s="253">
        <f t="shared" si="16"/>
        <v>0</v>
      </c>
      <c r="AE59"/>
      <c r="AF59" s="250">
        <v>0</v>
      </c>
      <c r="AG59" s="252">
        <f t="shared" si="17"/>
        <v>0</v>
      </c>
      <c r="AH59" s="250">
        <v>0</v>
      </c>
      <c r="AI59" s="252">
        <f t="shared" si="18"/>
        <v>0</v>
      </c>
      <c r="AJ59" s="251">
        <f t="shared" si="0"/>
        <v>0</v>
      </c>
      <c r="AK59" s="252">
        <f t="shared" si="1"/>
        <v>0</v>
      </c>
      <c r="AL59" s="253">
        <f t="shared" si="19"/>
        <v>0</v>
      </c>
    </row>
    <row r="60" spans="2:38" hidden="1" outlineLevel="1" x14ac:dyDescent="0.35">
      <c r="B60" s="255" t="s">
        <v>212</v>
      </c>
      <c r="C60" s="255" t="s">
        <v>213</v>
      </c>
      <c r="D60"/>
      <c r="E60" s="250">
        <v>2.2559349584485711</v>
      </c>
      <c r="F60" s="250">
        <v>2.4640467792159444</v>
      </c>
      <c r="G60"/>
      <c r="H60" s="250">
        <f t="shared" si="40"/>
        <v>-6.3021322000000001E-4</v>
      </c>
      <c r="I60" s="252">
        <f t="shared" si="2"/>
        <v>-2.7935788558079879E-4</v>
      </c>
      <c r="J60" s="250">
        <f t="shared" si="41"/>
        <v>0</v>
      </c>
      <c r="K60" s="252">
        <f t="shared" si="3"/>
        <v>0</v>
      </c>
      <c r="L60" s="251">
        <f t="shared" si="4"/>
        <v>-6.3021322000000001E-4</v>
      </c>
      <c r="M60" s="252">
        <f t="shared" si="5"/>
        <v>0</v>
      </c>
      <c r="N60" s="253">
        <f t="shared" si="6"/>
        <v>0</v>
      </c>
      <c r="O60"/>
      <c r="P60" s="250">
        <v>-6.3021322000000001E-4</v>
      </c>
      <c r="Q60" s="252">
        <f t="shared" si="7"/>
        <v>-2.7935788558079879E-4</v>
      </c>
      <c r="R60" s="250">
        <v>0</v>
      </c>
      <c r="S60" s="252">
        <f t="shared" si="8"/>
        <v>0</v>
      </c>
      <c r="T60" s="251">
        <f t="shared" si="9"/>
        <v>-6.3021322000000001E-4</v>
      </c>
      <c r="U60" s="252">
        <f t="shared" si="10"/>
        <v>0</v>
      </c>
      <c r="V60" s="253">
        <f t="shared" si="11"/>
        <v>0</v>
      </c>
      <c r="W60"/>
      <c r="X60" s="250">
        <v>0</v>
      </c>
      <c r="Y60" s="252">
        <f t="shared" si="12"/>
        <v>0</v>
      </c>
      <c r="Z60" s="250">
        <v>0</v>
      </c>
      <c r="AA60" s="252">
        <f t="shared" si="13"/>
        <v>0</v>
      </c>
      <c r="AB60" s="251">
        <f t="shared" si="14"/>
        <v>0</v>
      </c>
      <c r="AC60" s="252">
        <f t="shared" si="15"/>
        <v>0</v>
      </c>
      <c r="AD60" s="253">
        <f t="shared" si="16"/>
        <v>0</v>
      </c>
      <c r="AE60"/>
      <c r="AF60" s="250">
        <v>0</v>
      </c>
      <c r="AG60" s="252">
        <f t="shared" si="17"/>
        <v>0</v>
      </c>
      <c r="AH60" s="250">
        <v>0</v>
      </c>
      <c r="AI60" s="252">
        <f t="shared" si="18"/>
        <v>0</v>
      </c>
      <c r="AJ60" s="251">
        <f t="shared" si="0"/>
        <v>0</v>
      </c>
      <c r="AK60" s="252">
        <f t="shared" si="1"/>
        <v>0</v>
      </c>
      <c r="AL60" s="253">
        <f t="shared" si="19"/>
        <v>0</v>
      </c>
    </row>
    <row r="61" spans="2:38" hidden="1" outlineLevel="1" x14ac:dyDescent="0.35">
      <c r="B61" s="255" t="s">
        <v>214</v>
      </c>
      <c r="C61" s="255" t="s">
        <v>215</v>
      </c>
      <c r="D61"/>
      <c r="E61" s="250">
        <v>6.5215826226949831</v>
      </c>
      <c r="F61" s="250">
        <v>7.9898854058613926</v>
      </c>
      <c r="G61"/>
      <c r="H61" s="250">
        <f t="shared" si="40"/>
        <v>-2.3724478735580004</v>
      </c>
      <c r="I61" s="252">
        <f t="shared" si="2"/>
        <v>-0.36378407064903651</v>
      </c>
      <c r="J61" s="250">
        <f t="shared" si="41"/>
        <v>-1.6299999999999999E-2</v>
      </c>
      <c r="K61" s="252">
        <f t="shared" si="3"/>
        <v>-2.0400793217938136E-3</v>
      </c>
      <c r="L61" s="251">
        <f t="shared" si="4"/>
        <v>-2.3561478735580001</v>
      </c>
      <c r="M61" s="252">
        <f t="shared" si="5"/>
        <v>144.54894929803683</v>
      </c>
      <c r="N61" s="253">
        <f t="shared" si="6"/>
        <v>144.54894929803683</v>
      </c>
      <c r="O61"/>
      <c r="P61" s="250">
        <v>-2.3724478735580004</v>
      </c>
      <c r="Q61" s="252">
        <f t="shared" si="7"/>
        <v>-0.36378407064903651</v>
      </c>
      <c r="R61" s="250">
        <v>0</v>
      </c>
      <c r="S61" s="252">
        <f t="shared" si="8"/>
        <v>0</v>
      </c>
      <c r="T61" s="251">
        <f t="shared" si="9"/>
        <v>-2.3724478735580004</v>
      </c>
      <c r="U61" s="252">
        <f t="shared" si="10"/>
        <v>0</v>
      </c>
      <c r="V61" s="253">
        <f t="shared" si="11"/>
        <v>0</v>
      </c>
      <c r="W61"/>
      <c r="X61" s="250">
        <v>0</v>
      </c>
      <c r="Y61" s="252">
        <f t="shared" si="12"/>
        <v>0</v>
      </c>
      <c r="Z61" s="250">
        <v>0</v>
      </c>
      <c r="AA61" s="252">
        <f t="shared" si="13"/>
        <v>0</v>
      </c>
      <c r="AB61" s="251">
        <f t="shared" si="14"/>
        <v>0</v>
      </c>
      <c r="AC61" s="252">
        <f t="shared" si="15"/>
        <v>0</v>
      </c>
      <c r="AD61" s="253">
        <f t="shared" si="16"/>
        <v>0</v>
      </c>
      <c r="AE61"/>
      <c r="AF61" s="250">
        <v>0</v>
      </c>
      <c r="AG61" s="252">
        <f t="shared" si="17"/>
        <v>0</v>
      </c>
      <c r="AH61" s="250">
        <v>-1.6299999999999999E-2</v>
      </c>
      <c r="AI61" s="252">
        <f t="shared" si="18"/>
        <v>-2.0400793217938136E-3</v>
      </c>
      <c r="AJ61" s="251">
        <f t="shared" si="0"/>
        <v>1.6299999999999999E-2</v>
      </c>
      <c r="AK61" s="252">
        <f t="shared" si="1"/>
        <v>-1</v>
      </c>
      <c r="AL61" s="253">
        <f t="shared" si="19"/>
        <v>-1</v>
      </c>
    </row>
    <row r="62" spans="2:38" hidden="1" outlineLevel="1" x14ac:dyDescent="0.35">
      <c r="B62" s="255" t="s">
        <v>216</v>
      </c>
      <c r="C62" s="255" t="s">
        <v>217</v>
      </c>
      <c r="D62"/>
      <c r="E62" s="250">
        <v>3.9215849800000004</v>
      </c>
      <c r="F62" s="250">
        <v>3.6484304746825282</v>
      </c>
      <c r="G62"/>
      <c r="H62" s="250">
        <f t="shared" si="40"/>
        <v>-8.6307166399999993E-4</v>
      </c>
      <c r="I62" s="252">
        <f t="shared" si="2"/>
        <v>-2.2008235659858117E-4</v>
      </c>
      <c r="J62" s="250">
        <f t="shared" si="41"/>
        <v>0</v>
      </c>
      <c r="K62" s="252">
        <f t="shared" si="3"/>
        <v>0</v>
      </c>
      <c r="L62" s="251">
        <f t="shared" si="4"/>
        <v>-8.6307166399999993E-4</v>
      </c>
      <c r="M62" s="252">
        <f t="shared" si="5"/>
        <v>0</v>
      </c>
      <c r="N62" s="253">
        <f t="shared" si="6"/>
        <v>0</v>
      </c>
      <c r="O62"/>
      <c r="P62" s="250">
        <v>-8.6307166399999993E-4</v>
      </c>
      <c r="Q62" s="252">
        <f t="shared" si="7"/>
        <v>-2.2008235659858117E-4</v>
      </c>
      <c r="R62" s="250">
        <v>0</v>
      </c>
      <c r="S62" s="252">
        <f t="shared" si="8"/>
        <v>0</v>
      </c>
      <c r="T62" s="251">
        <f t="shared" si="9"/>
        <v>-8.6307166399999993E-4</v>
      </c>
      <c r="U62" s="252">
        <f t="shared" si="10"/>
        <v>0</v>
      </c>
      <c r="V62" s="253">
        <f t="shared" si="11"/>
        <v>0</v>
      </c>
      <c r="W62"/>
      <c r="X62" s="250">
        <v>0</v>
      </c>
      <c r="Y62" s="252">
        <f t="shared" si="12"/>
        <v>0</v>
      </c>
      <c r="Z62" s="250">
        <v>0</v>
      </c>
      <c r="AA62" s="252">
        <f t="shared" si="13"/>
        <v>0</v>
      </c>
      <c r="AB62" s="251">
        <f t="shared" si="14"/>
        <v>0</v>
      </c>
      <c r="AC62" s="252">
        <f t="shared" si="15"/>
        <v>0</v>
      </c>
      <c r="AD62" s="253">
        <f t="shared" si="16"/>
        <v>0</v>
      </c>
      <c r="AE62"/>
      <c r="AF62" s="250">
        <v>0</v>
      </c>
      <c r="AG62" s="252">
        <f t="shared" si="17"/>
        <v>0</v>
      </c>
      <c r="AH62" s="250">
        <v>0</v>
      </c>
      <c r="AI62" s="252">
        <f t="shared" si="18"/>
        <v>0</v>
      </c>
      <c r="AJ62" s="251">
        <f t="shared" si="0"/>
        <v>0</v>
      </c>
      <c r="AK62" s="252">
        <f t="shared" si="1"/>
        <v>0</v>
      </c>
      <c r="AL62" s="253">
        <f t="shared" si="19"/>
        <v>0</v>
      </c>
    </row>
    <row r="63" spans="2:38" collapsed="1" x14ac:dyDescent="0.35">
      <c r="B63" s="255" t="s">
        <v>218</v>
      </c>
      <c r="C63" s="255" t="s">
        <v>219</v>
      </c>
      <c r="D63"/>
      <c r="E63" s="250">
        <v>0</v>
      </c>
      <c r="F63" s="250">
        <v>0.21</v>
      </c>
      <c r="G63"/>
      <c r="H63" s="250">
        <f>SUM(P63,X63,AF63)</f>
        <v>-2.4093600000000001E-3</v>
      </c>
      <c r="I63" s="252">
        <f>IFERROR(H63/$E63,0)</f>
        <v>0</v>
      </c>
      <c r="J63" s="250">
        <f>SUM(R63,Z63,AH63)</f>
        <v>0</v>
      </c>
      <c r="K63" s="252">
        <f>IFERROR(J63/$F63,0)</f>
        <v>0</v>
      </c>
      <c r="L63" s="251">
        <f>$H63-J63</f>
        <v>-2.4093600000000001E-3</v>
      </c>
      <c r="M63" s="252">
        <f>IFERROR($H63/J63-1,0)</f>
        <v>0</v>
      </c>
      <c r="N63" s="253">
        <f>M63</f>
        <v>0</v>
      </c>
      <c r="O63"/>
      <c r="P63" s="250">
        <v>-2.4093600000000001E-3</v>
      </c>
      <c r="Q63" s="252">
        <f>IFERROR(P63/$E63,0)</f>
        <v>0</v>
      </c>
      <c r="R63" s="250">
        <v>0</v>
      </c>
      <c r="S63" s="252">
        <f>IFERROR(R63/$F63,0)</f>
        <v>0</v>
      </c>
      <c r="T63" s="251">
        <f>$P63-R63</f>
        <v>-2.4093600000000001E-3</v>
      </c>
      <c r="U63" s="252">
        <f>IFERROR($P63/R63-1,0)</f>
        <v>0</v>
      </c>
      <c r="V63" s="253">
        <f>U63</f>
        <v>0</v>
      </c>
      <c r="W63"/>
      <c r="X63" s="250">
        <v>0</v>
      </c>
      <c r="Y63" s="252">
        <f>IFERROR(X63/$E63,0)</f>
        <v>0</v>
      </c>
      <c r="Z63" s="250">
        <v>0</v>
      </c>
      <c r="AA63" s="252">
        <f>IFERROR(Z63/$F63,0)</f>
        <v>0</v>
      </c>
      <c r="AB63" s="251">
        <f t="shared" si="14"/>
        <v>0</v>
      </c>
      <c r="AC63" s="252">
        <f t="shared" si="15"/>
        <v>0</v>
      </c>
      <c r="AD63" s="253">
        <f>AC63</f>
        <v>0</v>
      </c>
      <c r="AE63"/>
      <c r="AF63" s="250">
        <v>0</v>
      </c>
      <c r="AG63" s="252">
        <f>IFERROR(AF63/$E63,0)</f>
        <v>0</v>
      </c>
      <c r="AH63" s="250">
        <v>0</v>
      </c>
      <c r="AI63" s="252">
        <f>IFERROR(AH63/$F63,0)</f>
        <v>0</v>
      </c>
      <c r="AJ63" s="246">
        <f t="shared" si="0"/>
        <v>0</v>
      </c>
      <c r="AK63" s="264">
        <f t="shared" si="1"/>
        <v>0</v>
      </c>
      <c r="AL63" s="265">
        <f>AK63</f>
        <v>0</v>
      </c>
    </row>
    <row r="64" spans="2:38" x14ac:dyDescent="0.35">
      <c r="B64" s="255" t="s">
        <v>220</v>
      </c>
      <c r="C64" s="255" t="s">
        <v>221</v>
      </c>
      <c r="D64"/>
      <c r="E64" s="250">
        <v>0</v>
      </c>
      <c r="F64" s="250">
        <v>0.21</v>
      </c>
      <c r="G64"/>
      <c r="H64" s="250">
        <f>SUM(P64,X64,AF64)</f>
        <v>-0.60350857999999996</v>
      </c>
      <c r="I64" s="252">
        <f>IFERROR(H64/$E64,0)</f>
        <v>0</v>
      </c>
      <c r="J64" s="250">
        <f>SUM(R64,Z64,AH64)</f>
        <v>0</v>
      </c>
      <c r="K64" s="252">
        <f>IFERROR(J64/$F64,0)</f>
        <v>0</v>
      </c>
      <c r="L64" s="251">
        <f>$H64-J64</f>
        <v>-0.60350857999999996</v>
      </c>
      <c r="M64" s="252">
        <f>IFERROR($H64/J64-1,0)</f>
        <v>0</v>
      </c>
      <c r="N64" s="253">
        <f>M64</f>
        <v>0</v>
      </c>
      <c r="O64"/>
      <c r="P64" s="250">
        <v>-0.59050857999999995</v>
      </c>
      <c r="Q64" s="252">
        <f>IFERROR(P64/$E64,0)</f>
        <v>0</v>
      </c>
      <c r="R64" s="250">
        <v>0</v>
      </c>
      <c r="S64" s="252">
        <f>IFERROR(R64/$F64,0)</f>
        <v>0</v>
      </c>
      <c r="T64" s="251">
        <f>$P64-R64</f>
        <v>-0.59050857999999995</v>
      </c>
      <c r="U64" s="252">
        <f>IFERROR($P64/R64-1,0)</f>
        <v>0</v>
      </c>
      <c r="V64" s="253">
        <f>U64</f>
        <v>0</v>
      </c>
      <c r="W64"/>
      <c r="X64" s="250">
        <v>0</v>
      </c>
      <c r="Y64" s="252">
        <f>IFERROR(X64/$E64,0)</f>
        <v>0</v>
      </c>
      <c r="Z64" s="250">
        <v>0</v>
      </c>
      <c r="AA64" s="252">
        <f>IFERROR(Z64/$F64,0)</f>
        <v>0</v>
      </c>
      <c r="AB64" s="251">
        <f t="shared" si="14"/>
        <v>0</v>
      </c>
      <c r="AC64" s="252">
        <f t="shared" si="15"/>
        <v>0</v>
      </c>
      <c r="AD64" s="253">
        <f>AC64</f>
        <v>0</v>
      </c>
      <c r="AE64"/>
      <c r="AF64" s="250">
        <v>-1.2999999999999999E-2</v>
      </c>
      <c r="AG64" s="252">
        <f>IFERROR(AF64/$E64,0)</f>
        <v>0</v>
      </c>
      <c r="AH64" s="250">
        <v>0</v>
      </c>
      <c r="AI64" s="252">
        <f>IFERROR(AH64/$F64,0)</f>
        <v>0</v>
      </c>
      <c r="AJ64" s="246">
        <f t="shared" si="0"/>
        <v>-1.2999999999999999E-2</v>
      </c>
      <c r="AK64" s="264">
        <f t="shared" si="1"/>
        <v>0</v>
      </c>
      <c r="AL64" s="265">
        <f>AK64</f>
        <v>0</v>
      </c>
    </row>
    <row r="65" spans="2:38" x14ac:dyDescent="0.35">
      <c r="B65" s="256" t="s">
        <v>222</v>
      </c>
      <c r="C65" s="256" t="s">
        <v>223</v>
      </c>
      <c r="D65"/>
      <c r="E65" s="257">
        <f>SUM(E66:E68)</f>
        <v>22.378821884979217</v>
      </c>
      <c r="F65" s="257">
        <f>SUM(F66:F68)</f>
        <v>23.273784954923165</v>
      </c>
      <c r="G65"/>
      <c r="H65" s="257">
        <f>SUM(H66:H68)</f>
        <v>-5.5351947559999998E-3</v>
      </c>
      <c r="I65" s="259">
        <f>IFERROR(H65/$E65,0)</f>
        <v>-2.4734075745583604E-4</v>
      </c>
      <c r="J65" s="257">
        <f>SUM(J66:J68)</f>
        <v>-1.2E-2</v>
      </c>
      <c r="K65" s="259">
        <f>IFERROR(J65/$F65,0)</f>
        <v>-5.1560156731024574E-4</v>
      </c>
      <c r="L65" s="258">
        <f>$H65-J65</f>
        <v>6.4648052440000004E-3</v>
      </c>
      <c r="M65" s="259">
        <f>IFERROR($H65/J65-1,0)</f>
        <v>-0.53873377033333336</v>
      </c>
      <c r="N65" s="260">
        <f>M65</f>
        <v>-0.53873377033333336</v>
      </c>
      <c r="O65"/>
      <c r="P65" s="257">
        <f>SUM(P66:P68)</f>
        <v>-5.5351947559999998E-3</v>
      </c>
      <c r="Q65" s="259">
        <f>IFERROR(P65/$E65,0)</f>
        <v>-2.4734075745583604E-4</v>
      </c>
      <c r="R65" s="257">
        <f>SUM(R66:R68)</f>
        <v>0</v>
      </c>
      <c r="S65" s="259">
        <f>IFERROR(R65/$F65,0)</f>
        <v>0</v>
      </c>
      <c r="T65" s="258">
        <f>$P65-R65</f>
        <v>-5.5351947559999998E-3</v>
      </c>
      <c r="U65" s="259">
        <f>IFERROR($P65/R65-1,0)</f>
        <v>0</v>
      </c>
      <c r="V65" s="260">
        <f>U65</f>
        <v>0</v>
      </c>
      <c r="W65"/>
      <c r="X65" s="257">
        <f>SUM(X66:X68)</f>
        <v>0</v>
      </c>
      <c r="Y65" s="259">
        <f>IFERROR(X65/$E65,0)</f>
        <v>0</v>
      </c>
      <c r="Z65" s="257">
        <f>SUM(Z66:Z68)</f>
        <v>-1.2E-2</v>
      </c>
      <c r="AA65" s="259">
        <f>IFERROR(Z65/$F65,0)</f>
        <v>-5.1560156731024574E-4</v>
      </c>
      <c r="AB65" s="258">
        <f t="shared" si="14"/>
        <v>1.2E-2</v>
      </c>
      <c r="AC65" s="259">
        <f t="shared" si="15"/>
        <v>-1</v>
      </c>
      <c r="AD65" s="260">
        <f>AC65</f>
        <v>-1</v>
      </c>
      <c r="AE65"/>
      <c r="AF65" s="257">
        <f>SUM(AF66:AF68)</f>
        <v>0</v>
      </c>
      <c r="AG65" s="259">
        <f>IFERROR(AF65/$E65,0)</f>
        <v>0</v>
      </c>
      <c r="AH65" s="257">
        <f>SUM(AH66:AH68)</f>
        <v>0</v>
      </c>
      <c r="AI65" s="259">
        <f>IFERROR(AH65/$F65,0)</f>
        <v>0</v>
      </c>
      <c r="AJ65" s="258">
        <f t="shared" si="0"/>
        <v>0</v>
      </c>
      <c r="AK65" s="259">
        <f t="shared" si="1"/>
        <v>0</v>
      </c>
      <c r="AL65" s="260">
        <f>AK65</f>
        <v>0</v>
      </c>
    </row>
    <row r="66" spans="2:38" hidden="1" outlineLevel="1" x14ac:dyDescent="0.35">
      <c r="B66" s="255" t="s">
        <v>224</v>
      </c>
      <c r="C66" s="255" t="s">
        <v>225</v>
      </c>
      <c r="D66"/>
      <c r="E66" s="250">
        <v>13.529852421381468</v>
      </c>
      <c r="F66" s="250">
        <v>13.310505377944773</v>
      </c>
      <c r="G66"/>
      <c r="H66" s="250">
        <f t="shared" si="40"/>
        <v>-3.2130192639999999E-3</v>
      </c>
      <c r="I66" s="252">
        <f t="shared" si="2"/>
        <v>-2.3747629788795093E-4</v>
      </c>
      <c r="J66" s="250">
        <f t="shared" si="41"/>
        <v>-7.0000000000000001E-3</v>
      </c>
      <c r="K66" s="252">
        <f t="shared" si="3"/>
        <v>-5.2590039230207238E-4</v>
      </c>
      <c r="L66" s="251">
        <f t="shared" si="4"/>
        <v>3.7869807360000002E-3</v>
      </c>
      <c r="M66" s="252">
        <f t="shared" si="5"/>
        <v>-0.54099724800000004</v>
      </c>
      <c r="N66" s="253">
        <f t="shared" si="6"/>
        <v>-0.54099724800000004</v>
      </c>
      <c r="O66"/>
      <c r="P66" s="250">
        <v>-3.2130192639999999E-3</v>
      </c>
      <c r="Q66" s="252">
        <f t="shared" si="7"/>
        <v>-2.3747629788795093E-4</v>
      </c>
      <c r="R66" s="250">
        <v>0</v>
      </c>
      <c r="S66" s="252">
        <f t="shared" si="8"/>
        <v>0</v>
      </c>
      <c r="T66" s="251">
        <f t="shared" si="9"/>
        <v>-3.2130192639999999E-3</v>
      </c>
      <c r="U66" s="252">
        <f t="shared" si="10"/>
        <v>0</v>
      </c>
      <c r="V66" s="253">
        <f t="shared" si="11"/>
        <v>0</v>
      </c>
      <c r="W66"/>
      <c r="X66" s="250">
        <v>0</v>
      </c>
      <c r="Y66" s="252">
        <f t="shared" si="12"/>
        <v>0</v>
      </c>
      <c r="Z66" s="250">
        <v>-7.0000000000000001E-3</v>
      </c>
      <c r="AA66" s="252">
        <f t="shared" si="13"/>
        <v>-5.2590039230207238E-4</v>
      </c>
      <c r="AB66" s="251">
        <f t="shared" si="14"/>
        <v>7.0000000000000001E-3</v>
      </c>
      <c r="AC66" s="252">
        <f t="shared" si="15"/>
        <v>-1</v>
      </c>
      <c r="AD66" s="253">
        <f t="shared" si="16"/>
        <v>-1</v>
      </c>
      <c r="AE66"/>
      <c r="AF66" s="250">
        <v>0</v>
      </c>
      <c r="AG66" s="252">
        <f t="shared" si="17"/>
        <v>0</v>
      </c>
      <c r="AH66" s="250">
        <v>0</v>
      </c>
      <c r="AI66" s="252">
        <f t="shared" si="18"/>
        <v>0</v>
      </c>
      <c r="AJ66" s="251">
        <f t="shared" si="0"/>
        <v>0</v>
      </c>
      <c r="AK66" s="252">
        <f t="shared" si="1"/>
        <v>0</v>
      </c>
      <c r="AL66" s="253">
        <f t="shared" si="19"/>
        <v>0</v>
      </c>
    </row>
    <row r="67" spans="2:38" hidden="1" outlineLevel="1" x14ac:dyDescent="0.35">
      <c r="B67" s="255" t="s">
        <v>226</v>
      </c>
      <c r="C67" s="255" t="s">
        <v>227</v>
      </c>
      <c r="D67"/>
      <c r="E67" s="250">
        <v>4.3840680670619454</v>
      </c>
      <c r="F67" s="250">
        <v>4.9968815523928516</v>
      </c>
      <c r="G67"/>
      <c r="H67" s="250">
        <f t="shared" si="40"/>
        <v>-1.1792464319999999E-3</v>
      </c>
      <c r="I67" s="252">
        <f t="shared" si="2"/>
        <v>-2.6898451711090585E-4</v>
      </c>
      <c r="J67" s="250">
        <f t="shared" si="41"/>
        <v>-2.5000000000000001E-3</v>
      </c>
      <c r="K67" s="252">
        <f t="shared" si="3"/>
        <v>-5.003120393764042E-4</v>
      </c>
      <c r="L67" s="251">
        <f t="shared" si="4"/>
        <v>1.3207535680000001E-3</v>
      </c>
      <c r="M67" s="252">
        <f t="shared" si="5"/>
        <v>-0.52830142720000006</v>
      </c>
      <c r="N67" s="253">
        <f t="shared" si="6"/>
        <v>-0.52830142720000006</v>
      </c>
      <c r="O67"/>
      <c r="P67" s="250">
        <v>-1.1792464319999999E-3</v>
      </c>
      <c r="Q67" s="252">
        <f t="shared" si="7"/>
        <v>-2.6898451711090585E-4</v>
      </c>
      <c r="R67" s="250">
        <v>0</v>
      </c>
      <c r="S67" s="252">
        <f t="shared" si="8"/>
        <v>0</v>
      </c>
      <c r="T67" s="251">
        <f t="shared" si="9"/>
        <v>-1.1792464319999999E-3</v>
      </c>
      <c r="U67" s="252">
        <f t="shared" si="10"/>
        <v>0</v>
      </c>
      <c r="V67" s="253">
        <f t="shared" si="11"/>
        <v>0</v>
      </c>
      <c r="W67"/>
      <c r="X67" s="250">
        <v>0</v>
      </c>
      <c r="Y67" s="252">
        <f t="shared" si="12"/>
        <v>0</v>
      </c>
      <c r="Z67" s="250">
        <v>-2.5000000000000001E-3</v>
      </c>
      <c r="AA67" s="252">
        <f t="shared" si="13"/>
        <v>-5.003120393764042E-4</v>
      </c>
      <c r="AB67" s="251">
        <f t="shared" si="14"/>
        <v>2.5000000000000001E-3</v>
      </c>
      <c r="AC67" s="252">
        <f t="shared" si="15"/>
        <v>-1</v>
      </c>
      <c r="AD67" s="253">
        <f t="shared" si="16"/>
        <v>-1</v>
      </c>
      <c r="AE67"/>
      <c r="AF67" s="250">
        <v>0</v>
      </c>
      <c r="AG67" s="252">
        <f t="shared" si="17"/>
        <v>0</v>
      </c>
      <c r="AH67" s="250">
        <v>0</v>
      </c>
      <c r="AI67" s="252">
        <f t="shared" si="18"/>
        <v>0</v>
      </c>
      <c r="AJ67" s="251">
        <f t="shared" si="0"/>
        <v>0</v>
      </c>
      <c r="AK67" s="252">
        <f t="shared" si="1"/>
        <v>0</v>
      </c>
      <c r="AL67" s="253">
        <f t="shared" si="19"/>
        <v>0</v>
      </c>
    </row>
    <row r="68" spans="2:38" hidden="1" outlineLevel="1" x14ac:dyDescent="0.35">
      <c r="B68" s="255" t="s">
        <v>228</v>
      </c>
      <c r="C68" s="255" t="s">
        <v>229</v>
      </c>
      <c r="D68"/>
      <c r="E68" s="250">
        <v>4.4649013965358044</v>
      </c>
      <c r="F68" s="250">
        <v>4.9663980245855424</v>
      </c>
      <c r="G68"/>
      <c r="H68" s="250">
        <f>SUM(P68,X68,AF68)</f>
        <v>-1.14292906E-3</v>
      </c>
      <c r="I68" s="252">
        <f>IFERROR(H68/$E68,0)</f>
        <v>-2.5598080640409384E-4</v>
      </c>
      <c r="J68" s="250">
        <f>SUM(R68,Z68,AH68)</f>
        <v>-2.5000000000000001E-3</v>
      </c>
      <c r="K68" s="252">
        <f>IFERROR(J68/$F68,0)</f>
        <v>-5.0338293218224917E-4</v>
      </c>
      <c r="L68" s="251">
        <f>$H68-J68</f>
        <v>1.3570709400000001E-3</v>
      </c>
      <c r="M68" s="252">
        <f>IFERROR($H68/J68-1,0)</f>
        <v>-0.542828376</v>
      </c>
      <c r="N68" s="253">
        <f>M68</f>
        <v>-0.542828376</v>
      </c>
      <c r="O68"/>
      <c r="P68" s="250">
        <v>-1.14292906E-3</v>
      </c>
      <c r="Q68" s="252">
        <f>IFERROR(P68/$E68,0)</f>
        <v>-2.5598080640409384E-4</v>
      </c>
      <c r="R68" s="250">
        <v>0</v>
      </c>
      <c r="S68" s="252">
        <f>IFERROR(R68/$F68,0)</f>
        <v>0</v>
      </c>
      <c r="T68" s="251">
        <f>$P68-R68</f>
        <v>-1.14292906E-3</v>
      </c>
      <c r="U68" s="252">
        <f>IFERROR($P68/R68-1,0)</f>
        <v>0</v>
      </c>
      <c r="V68" s="253">
        <f>U68</f>
        <v>0</v>
      </c>
      <c r="W68"/>
      <c r="X68" s="250">
        <v>0</v>
      </c>
      <c r="Y68" s="252">
        <f>IFERROR(X68/$E68,0)</f>
        <v>0</v>
      </c>
      <c r="Z68" s="250">
        <v>-2.5000000000000001E-3</v>
      </c>
      <c r="AA68" s="252">
        <f>IFERROR(Z68/$F68,0)</f>
        <v>-5.0338293218224917E-4</v>
      </c>
      <c r="AB68" s="251">
        <f>X68-Z68</f>
        <v>2.5000000000000001E-3</v>
      </c>
      <c r="AC68" s="252">
        <f>IFERROR(X68/Z68-1,0)</f>
        <v>-1</v>
      </c>
      <c r="AD68" s="253">
        <f>AC68</f>
        <v>-1</v>
      </c>
      <c r="AE68"/>
      <c r="AF68" s="250">
        <v>0</v>
      </c>
      <c r="AG68" s="252">
        <f>IFERROR(AF68/$E68,0)</f>
        <v>0</v>
      </c>
      <c r="AH68" s="250">
        <v>0</v>
      </c>
      <c r="AI68" s="252">
        <f>IFERROR(AH68/$F68,0)</f>
        <v>0</v>
      </c>
      <c r="AJ68" s="251">
        <f>AF68-AH68</f>
        <v>0</v>
      </c>
      <c r="AK68" s="252">
        <f>IFERROR(AF68/AH68-1,0)</f>
        <v>0</v>
      </c>
      <c r="AL68" s="253">
        <f>AK68</f>
        <v>0</v>
      </c>
    </row>
    <row r="69" spans="2:38" collapsed="1" x14ac:dyDescent="0.35">
      <c r="B69" s="244" t="s">
        <v>230</v>
      </c>
      <c r="C69" s="244" t="s">
        <v>231</v>
      </c>
      <c r="D69"/>
      <c r="E69" s="245">
        <v>23.756430562476361</v>
      </c>
      <c r="F69" s="245">
        <v>26.053709865345439</v>
      </c>
      <c r="G69"/>
      <c r="H69" s="245">
        <f>SUM(P69,X69,AF69)</f>
        <v>-0.86939309481200056</v>
      </c>
      <c r="I69" s="264">
        <f>IFERROR(H69/$E69,0)</f>
        <v>-3.6596116261052282E-2</v>
      </c>
      <c r="J69" s="245">
        <f>SUM(R69,Z69,AH69)</f>
        <v>0</v>
      </c>
      <c r="K69" s="264">
        <f>IFERROR(J69/$F69,0)</f>
        <v>0</v>
      </c>
      <c r="L69" s="246">
        <f>$H69-J69</f>
        <v>-0.86939309481200056</v>
      </c>
      <c r="M69" s="264">
        <f>IFERROR($H69/J69-1,0)</f>
        <v>0</v>
      </c>
      <c r="N69" s="265">
        <f>M69</f>
        <v>0</v>
      </c>
      <c r="O69"/>
      <c r="P69" s="245">
        <v>-0.84133868481200058</v>
      </c>
      <c r="Q69" s="264">
        <f>IFERROR(P69/$E69,0)</f>
        <v>-3.5415197691395089E-2</v>
      </c>
      <c r="R69" s="245">
        <v>0</v>
      </c>
      <c r="S69" s="264">
        <f>IFERROR(R69/$F69,0)</f>
        <v>0</v>
      </c>
      <c r="T69" s="246">
        <f>$P69-R69</f>
        <v>-0.84133868481200058</v>
      </c>
      <c r="U69" s="264">
        <f>IFERROR($P69/R69-1,0)</f>
        <v>0</v>
      </c>
      <c r="V69" s="265">
        <f>U69</f>
        <v>0</v>
      </c>
      <c r="W69"/>
      <c r="X69" s="245">
        <v>-9.3994300000000003E-3</v>
      </c>
      <c r="Y69" s="264">
        <f>IFERROR(X69/$E69,0)</f>
        <v>-3.9565834502286473E-4</v>
      </c>
      <c r="Z69" s="245">
        <v>0</v>
      </c>
      <c r="AA69" s="264">
        <f>IFERROR(Z69/$F69,0)</f>
        <v>0</v>
      </c>
      <c r="AB69" s="246">
        <f>X69-Z69</f>
        <v>-9.3994300000000003E-3</v>
      </c>
      <c r="AC69" s="264">
        <f>IFERROR(X69/Z69-1,0)</f>
        <v>0</v>
      </c>
      <c r="AD69" s="265">
        <f>AC69</f>
        <v>0</v>
      </c>
      <c r="AE69"/>
      <c r="AF69" s="245">
        <v>-1.8654979999999981E-2</v>
      </c>
      <c r="AG69" s="264">
        <f>IFERROR(AF69/$E69,0)</f>
        <v>-7.8526022463432706E-4</v>
      </c>
      <c r="AH69" s="245">
        <v>0</v>
      </c>
      <c r="AI69" s="264">
        <f>IFERROR(AH69/$F69,0)</f>
        <v>0</v>
      </c>
      <c r="AJ69" s="246">
        <f>AF69-AH69</f>
        <v>-1.8654979999999981E-2</v>
      </c>
      <c r="AK69" s="264">
        <f>IFERROR(AF69/AH69-1,0)</f>
        <v>0</v>
      </c>
      <c r="AL69" s="265">
        <f>AK69</f>
        <v>0</v>
      </c>
    </row>
    <row r="70" spans="2:38" x14ac:dyDescent="0.35">
      <c r="B70" s="244" t="s">
        <v>232</v>
      </c>
      <c r="C70" s="244" t="s">
        <v>233</v>
      </c>
      <c r="D70"/>
      <c r="E70" s="245">
        <v>5.4332363800000003</v>
      </c>
      <c r="F70" s="245">
        <v>5.4420046698338558</v>
      </c>
      <c r="G70"/>
      <c r="H70" s="245">
        <f t="shared" si="40"/>
        <v>-2.1118711760000001E-3</v>
      </c>
      <c r="I70" s="264">
        <f t="shared" si="2"/>
        <v>-3.8869488244131943E-4</v>
      </c>
      <c r="J70" s="245">
        <f t="shared" si="41"/>
        <v>-0.13200000000000001</v>
      </c>
      <c r="K70" s="264">
        <f t="shared" si="3"/>
        <v>-2.4255767499006934E-2</v>
      </c>
      <c r="L70" s="246">
        <f t="shared" si="4"/>
        <v>0.129888128824</v>
      </c>
      <c r="M70" s="264">
        <f t="shared" si="5"/>
        <v>-0.98400097593939395</v>
      </c>
      <c r="N70" s="265">
        <f t="shared" si="6"/>
        <v>-0.98400097593939395</v>
      </c>
      <c r="O70"/>
      <c r="P70" s="245">
        <v>-1.251881176E-3</v>
      </c>
      <c r="Q70" s="264">
        <f t="shared" si="7"/>
        <v>-2.3041168991068265E-4</v>
      </c>
      <c r="R70" s="245">
        <v>0</v>
      </c>
      <c r="S70" s="264">
        <f t="shared" si="8"/>
        <v>0</v>
      </c>
      <c r="T70" s="246">
        <f t="shared" si="9"/>
        <v>-1.251881176E-3</v>
      </c>
      <c r="U70" s="264">
        <f t="shared" si="10"/>
        <v>0</v>
      </c>
      <c r="V70" s="265">
        <f t="shared" si="11"/>
        <v>0</v>
      </c>
      <c r="W70"/>
      <c r="X70" s="245">
        <v>-8.5999000000000004E-4</v>
      </c>
      <c r="Y70" s="264">
        <f t="shared" si="12"/>
        <v>-1.5828319253063678E-4</v>
      </c>
      <c r="Z70" s="245">
        <v>-1.6E-2</v>
      </c>
      <c r="AA70" s="264">
        <f t="shared" si="13"/>
        <v>-2.9400930301826588E-3</v>
      </c>
      <c r="AB70" s="246">
        <f t="shared" si="14"/>
        <v>1.5140010000000001E-2</v>
      </c>
      <c r="AC70" s="264">
        <f t="shared" si="15"/>
        <v>-0.94625062500000001</v>
      </c>
      <c r="AD70" s="265">
        <f t="shared" si="16"/>
        <v>-0.94625062500000001</v>
      </c>
      <c r="AE70"/>
      <c r="AF70" s="245">
        <v>0</v>
      </c>
      <c r="AG70" s="264">
        <f t="shared" si="17"/>
        <v>0</v>
      </c>
      <c r="AH70" s="245">
        <v>-0.11600000000000001</v>
      </c>
      <c r="AI70" s="264">
        <f t="shared" si="18"/>
        <v>-2.1315674468824278E-2</v>
      </c>
      <c r="AJ70" s="246">
        <f t="shared" si="0"/>
        <v>0.11600000000000001</v>
      </c>
      <c r="AK70" s="264">
        <f t="shared" si="1"/>
        <v>-1</v>
      </c>
      <c r="AL70" s="265">
        <f t="shared" si="19"/>
        <v>-1</v>
      </c>
    </row>
    <row r="71" spans="2:38" x14ac:dyDescent="0.35">
      <c r="B71" s="244" t="s">
        <v>234</v>
      </c>
      <c r="C71" s="244" t="s">
        <v>235</v>
      </c>
      <c r="D71"/>
      <c r="E71" s="245">
        <v>0.55670425322979256</v>
      </c>
      <c r="F71" s="245">
        <v>0.71255794829230079</v>
      </c>
      <c r="G71"/>
      <c r="H71" s="245">
        <f t="shared" si="40"/>
        <v>-1.4965033240899999</v>
      </c>
      <c r="I71" s="264">
        <f t="shared" si="2"/>
        <v>-2.688147818896371</v>
      </c>
      <c r="J71" s="245">
        <f t="shared" si="41"/>
        <v>0</v>
      </c>
      <c r="K71" s="264">
        <f t="shared" si="3"/>
        <v>0</v>
      </c>
      <c r="L71" s="246">
        <f t="shared" si="4"/>
        <v>-1.4965033240899999</v>
      </c>
      <c r="M71" s="264">
        <f t="shared" si="5"/>
        <v>0</v>
      </c>
      <c r="N71" s="265">
        <f t="shared" si="6"/>
        <v>0</v>
      </c>
      <c r="O71"/>
      <c r="P71" s="245">
        <v>-1.4965033240899999</v>
      </c>
      <c r="Q71" s="264">
        <f t="shared" si="7"/>
        <v>-2.688147818896371</v>
      </c>
      <c r="R71" s="245">
        <v>0</v>
      </c>
      <c r="S71" s="264">
        <f t="shared" si="8"/>
        <v>0</v>
      </c>
      <c r="T71" s="246">
        <f t="shared" si="9"/>
        <v>-1.4965033240899999</v>
      </c>
      <c r="U71" s="264">
        <f t="shared" si="10"/>
        <v>0</v>
      </c>
      <c r="V71" s="265">
        <f t="shared" si="11"/>
        <v>0</v>
      </c>
      <c r="W71"/>
      <c r="X71" s="245">
        <v>0</v>
      </c>
      <c r="Y71" s="264">
        <f t="shared" si="12"/>
        <v>0</v>
      </c>
      <c r="Z71" s="245">
        <v>0</v>
      </c>
      <c r="AA71" s="264">
        <f t="shared" si="13"/>
        <v>0</v>
      </c>
      <c r="AB71" s="246">
        <f t="shared" si="14"/>
        <v>0</v>
      </c>
      <c r="AC71" s="264">
        <f t="shared" si="15"/>
        <v>0</v>
      </c>
      <c r="AD71" s="265">
        <f t="shared" si="16"/>
        <v>0</v>
      </c>
      <c r="AE71"/>
      <c r="AF71" s="245">
        <v>0</v>
      </c>
      <c r="AG71" s="264">
        <f t="shared" si="17"/>
        <v>0</v>
      </c>
      <c r="AH71" s="245">
        <v>0</v>
      </c>
      <c r="AI71" s="264">
        <f t="shared" si="18"/>
        <v>0</v>
      </c>
      <c r="AJ71" s="246">
        <f t="shared" si="0"/>
        <v>0</v>
      </c>
      <c r="AK71" s="264">
        <f t="shared" si="1"/>
        <v>0</v>
      </c>
      <c r="AL71" s="265">
        <f t="shared" si="19"/>
        <v>0</v>
      </c>
    </row>
    <row r="72" spans="2:38" x14ac:dyDescent="0.35">
      <c r="B72" s="244" t="s">
        <v>236</v>
      </c>
      <c r="C72" s="244" t="s">
        <v>237</v>
      </c>
      <c r="D72"/>
      <c r="E72" s="245">
        <v>4.5968964899999998</v>
      </c>
      <c r="F72" s="245">
        <v>4.6917470185641275</v>
      </c>
      <c r="G72"/>
      <c r="H72" s="245">
        <f t="shared" si="40"/>
        <v>2.6553149999999984E-2</v>
      </c>
      <c r="I72" s="264">
        <f t="shared" si="2"/>
        <v>5.7763210587323853E-3</v>
      </c>
      <c r="J72" s="245">
        <f t="shared" si="41"/>
        <v>-5.4999999999999997E-3</v>
      </c>
      <c r="K72" s="264">
        <f t="shared" si="3"/>
        <v>-1.1722712197051136E-3</v>
      </c>
      <c r="L72" s="246">
        <f t="shared" si="4"/>
        <v>3.2053149999999982E-2</v>
      </c>
      <c r="M72" s="264">
        <f t="shared" si="5"/>
        <v>-5.8278454545454519</v>
      </c>
      <c r="N72" s="265">
        <f t="shared" si="6"/>
        <v>-5.8278454545454519</v>
      </c>
      <c r="O72"/>
      <c r="P72" s="245">
        <v>0</v>
      </c>
      <c r="Q72" s="264">
        <f t="shared" si="7"/>
        <v>0</v>
      </c>
      <c r="R72" s="245">
        <v>0</v>
      </c>
      <c r="S72" s="264">
        <f t="shared" si="8"/>
        <v>0</v>
      </c>
      <c r="T72" s="246">
        <f t="shared" si="9"/>
        <v>0</v>
      </c>
      <c r="U72" s="264">
        <f t="shared" si="10"/>
        <v>0</v>
      </c>
      <c r="V72" s="265">
        <f t="shared" si="11"/>
        <v>0</v>
      </c>
      <c r="W72"/>
      <c r="X72" s="245">
        <v>2.244107E-2</v>
      </c>
      <c r="Y72" s="264">
        <f t="shared" si="12"/>
        <v>4.8817871032810663E-3</v>
      </c>
      <c r="Z72" s="245">
        <v>-5.4999999999999997E-3</v>
      </c>
      <c r="AA72" s="264">
        <f t="shared" si="13"/>
        <v>-1.1722712197051136E-3</v>
      </c>
      <c r="AB72" s="246">
        <f t="shared" si="14"/>
        <v>2.7941069999999998E-2</v>
      </c>
      <c r="AC72" s="264">
        <f t="shared" si="15"/>
        <v>-5.0801945454545461</v>
      </c>
      <c r="AD72" s="265">
        <f t="shared" si="16"/>
        <v>-5.0801945454545461</v>
      </c>
      <c r="AE72"/>
      <c r="AF72" s="245">
        <v>4.1120799999999815E-3</v>
      </c>
      <c r="AG72" s="264">
        <f t="shared" si="17"/>
        <v>8.9453395545131831E-4</v>
      </c>
      <c r="AH72" s="245">
        <v>0</v>
      </c>
      <c r="AI72" s="264">
        <f t="shared" si="18"/>
        <v>0</v>
      </c>
      <c r="AJ72" s="246">
        <f t="shared" si="0"/>
        <v>4.1120799999999815E-3</v>
      </c>
      <c r="AK72" s="264">
        <f t="shared" si="1"/>
        <v>0</v>
      </c>
      <c r="AL72" s="265">
        <f t="shared" si="19"/>
        <v>0</v>
      </c>
    </row>
    <row r="73" spans="2:38" x14ac:dyDescent="0.35">
      <c r="B73" s="244" t="s">
        <v>238</v>
      </c>
      <c r="C73" s="244" t="s">
        <v>239</v>
      </c>
      <c r="D73"/>
      <c r="E73" s="245">
        <v>0</v>
      </c>
      <c r="F73" s="245">
        <v>0</v>
      </c>
      <c r="G73"/>
      <c r="H73" s="245">
        <f t="shared" si="40"/>
        <v>0</v>
      </c>
      <c r="I73" s="264">
        <f>IFERROR(H73/$E73,0)</f>
        <v>0</v>
      </c>
      <c r="J73" s="245">
        <f>SUM(R73,Z73,AH73)</f>
        <v>0</v>
      </c>
      <c r="K73" s="264">
        <f>IFERROR(J73/$F73,0)</f>
        <v>0</v>
      </c>
      <c r="L73" s="246">
        <f>$H73-J73</f>
        <v>0</v>
      </c>
      <c r="M73" s="264">
        <f>IFERROR($H73/J73-1,0)</f>
        <v>0</v>
      </c>
      <c r="N73" s="265">
        <f t="shared" si="6"/>
        <v>0</v>
      </c>
      <c r="O73"/>
      <c r="P73" s="245">
        <v>0</v>
      </c>
      <c r="Q73" s="264">
        <f>IFERROR(P73/$E73,0)</f>
        <v>0</v>
      </c>
      <c r="R73" s="245">
        <v>0</v>
      </c>
      <c r="S73" s="264">
        <f>IFERROR(R73/$F73,0)</f>
        <v>0</v>
      </c>
      <c r="T73" s="246">
        <f>$P73-R73</f>
        <v>0</v>
      </c>
      <c r="U73" s="264">
        <f>IFERROR($P73/R73-1,0)</f>
        <v>0</v>
      </c>
      <c r="V73" s="265">
        <f t="shared" si="11"/>
        <v>0</v>
      </c>
      <c r="W73"/>
      <c r="X73" s="245">
        <v>0</v>
      </c>
      <c r="Y73" s="264">
        <f>IFERROR(X73/$E73,0)</f>
        <v>0</v>
      </c>
      <c r="Z73" s="245">
        <v>0</v>
      </c>
      <c r="AA73" s="264">
        <f>IFERROR(Z73/$F73,0)</f>
        <v>0</v>
      </c>
      <c r="AB73" s="246">
        <f t="shared" si="14"/>
        <v>0</v>
      </c>
      <c r="AC73" s="264">
        <f t="shared" si="15"/>
        <v>0</v>
      </c>
      <c r="AD73" s="265">
        <f t="shared" si="16"/>
        <v>0</v>
      </c>
      <c r="AE73"/>
      <c r="AF73" s="245">
        <v>0</v>
      </c>
      <c r="AG73" s="264">
        <f>IFERROR(AF73/$E73,0)</f>
        <v>0</v>
      </c>
      <c r="AH73" s="245">
        <v>0</v>
      </c>
      <c r="AI73" s="264">
        <f>IFERROR(AH73/$F73,0)</f>
        <v>0</v>
      </c>
      <c r="AJ73" s="246">
        <f t="shared" si="0"/>
        <v>0</v>
      </c>
      <c r="AK73" s="264">
        <f t="shared" si="1"/>
        <v>0</v>
      </c>
      <c r="AL73" s="265">
        <f t="shared" si="19"/>
        <v>0</v>
      </c>
    </row>
    <row r="74" spans="2:38" x14ac:dyDescent="0.35">
      <c r="B74" s="239" t="s">
        <v>240</v>
      </c>
      <c r="C74" s="239" t="s">
        <v>241</v>
      </c>
      <c r="D74"/>
      <c r="E74" s="240">
        <f>SUM(E75:E76)</f>
        <v>24.726917019999998</v>
      </c>
      <c r="F74" s="240">
        <f>SUM(F75:F76)</f>
        <v>23.585826953867681</v>
      </c>
      <c r="G74"/>
      <c r="H74" s="240">
        <f>SUM(H75:H76)</f>
        <v>-0.58862336999999998</v>
      </c>
      <c r="I74" s="242">
        <f t="shared" si="2"/>
        <v>-2.3804964020540883E-2</v>
      </c>
      <c r="J74" s="240">
        <f>SUM(J75:J76)</f>
        <v>0</v>
      </c>
      <c r="K74" s="242">
        <f t="shared" si="3"/>
        <v>0</v>
      </c>
      <c r="L74" s="241">
        <f t="shared" si="4"/>
        <v>-0.58862336999999998</v>
      </c>
      <c r="M74" s="242">
        <f t="shared" si="5"/>
        <v>0</v>
      </c>
      <c r="N74" s="243">
        <f t="shared" si="6"/>
        <v>0</v>
      </c>
      <c r="O74"/>
      <c r="P74" s="240">
        <f>SUM(P75:P76)</f>
        <v>-0.58862336999999998</v>
      </c>
      <c r="Q74" s="242">
        <f t="shared" si="7"/>
        <v>-2.3804964020540883E-2</v>
      </c>
      <c r="R74" s="240">
        <f>SUM(R75:R76)</f>
        <v>0</v>
      </c>
      <c r="S74" s="242">
        <f t="shared" si="8"/>
        <v>0</v>
      </c>
      <c r="T74" s="241">
        <f t="shared" si="9"/>
        <v>-0.58862336999999998</v>
      </c>
      <c r="U74" s="242">
        <f t="shared" si="10"/>
        <v>0</v>
      </c>
      <c r="V74" s="243">
        <f t="shared" si="11"/>
        <v>0</v>
      </c>
      <c r="W74"/>
      <c r="X74" s="240">
        <f>SUM(X75:X76)</f>
        <v>0</v>
      </c>
      <c r="Y74" s="242">
        <f t="shared" si="12"/>
        <v>0</v>
      </c>
      <c r="Z74" s="240">
        <f>SUM(Z75:Z76)</f>
        <v>0</v>
      </c>
      <c r="AA74" s="242">
        <f t="shared" si="13"/>
        <v>0</v>
      </c>
      <c r="AB74" s="241">
        <f t="shared" si="14"/>
        <v>0</v>
      </c>
      <c r="AC74" s="242">
        <f t="shared" si="15"/>
        <v>0</v>
      </c>
      <c r="AD74" s="243">
        <f t="shared" si="16"/>
        <v>0</v>
      </c>
      <c r="AE74"/>
      <c r="AF74" s="240">
        <f>SUM(AF75:AF76)</f>
        <v>0</v>
      </c>
      <c r="AG74" s="242">
        <f t="shared" si="17"/>
        <v>0</v>
      </c>
      <c r="AH74" s="240">
        <f>SUM(AH75:AH76)</f>
        <v>0</v>
      </c>
      <c r="AI74" s="242">
        <f t="shared" si="18"/>
        <v>0</v>
      </c>
      <c r="AJ74" s="241">
        <f t="shared" si="0"/>
        <v>0</v>
      </c>
      <c r="AK74" s="242">
        <f t="shared" si="1"/>
        <v>0</v>
      </c>
      <c r="AL74" s="243">
        <f t="shared" si="19"/>
        <v>0</v>
      </c>
    </row>
    <row r="75" spans="2:38" hidden="1" outlineLevel="1" x14ac:dyDescent="0.35">
      <c r="B75" s="255" t="s">
        <v>242</v>
      </c>
      <c r="C75" s="255" t="s">
        <v>243</v>
      </c>
      <c r="D75"/>
      <c r="E75" s="250">
        <v>24.726917019999998</v>
      </c>
      <c r="F75" s="250">
        <v>23.585826953867681</v>
      </c>
      <c r="G75"/>
      <c r="H75" s="250">
        <f t="shared" si="40"/>
        <v>-0.58862336999999998</v>
      </c>
      <c r="I75" s="252">
        <f t="shared" si="2"/>
        <v>-2.3804964020540883E-2</v>
      </c>
      <c r="J75" s="250">
        <f t="shared" si="41"/>
        <v>0</v>
      </c>
      <c r="K75" s="252">
        <f t="shared" si="3"/>
        <v>0</v>
      </c>
      <c r="L75" s="251">
        <f t="shared" si="4"/>
        <v>-0.58862336999999998</v>
      </c>
      <c r="M75" s="252">
        <f t="shared" si="5"/>
        <v>0</v>
      </c>
      <c r="N75" s="253">
        <f t="shared" si="6"/>
        <v>0</v>
      </c>
      <c r="O75"/>
      <c r="P75" s="250">
        <v>-0.58862336999999998</v>
      </c>
      <c r="Q75" s="252">
        <f t="shared" si="7"/>
        <v>-2.3804964020540883E-2</v>
      </c>
      <c r="R75" s="250">
        <v>0</v>
      </c>
      <c r="S75" s="252">
        <f t="shared" si="8"/>
        <v>0</v>
      </c>
      <c r="T75" s="251">
        <f t="shared" si="9"/>
        <v>-0.58862336999999998</v>
      </c>
      <c r="U75" s="252">
        <f t="shared" si="10"/>
        <v>0</v>
      </c>
      <c r="V75" s="253">
        <f t="shared" si="11"/>
        <v>0</v>
      </c>
      <c r="W75"/>
      <c r="X75" s="250">
        <v>0</v>
      </c>
      <c r="Y75" s="252">
        <f t="shared" si="12"/>
        <v>0</v>
      </c>
      <c r="Z75" s="250">
        <v>0</v>
      </c>
      <c r="AA75" s="252">
        <f t="shared" si="13"/>
        <v>0</v>
      </c>
      <c r="AB75" s="251">
        <f t="shared" si="14"/>
        <v>0</v>
      </c>
      <c r="AC75" s="252">
        <f t="shared" si="15"/>
        <v>0</v>
      </c>
      <c r="AD75" s="253">
        <f t="shared" si="16"/>
        <v>0</v>
      </c>
      <c r="AE75"/>
      <c r="AF75" s="250">
        <v>0</v>
      </c>
      <c r="AG75" s="252">
        <f t="shared" si="17"/>
        <v>0</v>
      </c>
      <c r="AH75" s="250">
        <v>0</v>
      </c>
      <c r="AI75" s="252">
        <f t="shared" si="18"/>
        <v>0</v>
      </c>
      <c r="AJ75" s="251">
        <f t="shared" si="0"/>
        <v>0</v>
      </c>
      <c r="AK75" s="252">
        <f t="shared" si="1"/>
        <v>0</v>
      </c>
      <c r="AL75" s="253">
        <f t="shared" si="19"/>
        <v>0</v>
      </c>
    </row>
    <row r="76" spans="2:38" hidden="1" outlineLevel="1" x14ac:dyDescent="0.35">
      <c r="B76" s="255" t="s">
        <v>244</v>
      </c>
      <c r="C76" s="255" t="s">
        <v>245</v>
      </c>
      <c r="D76"/>
      <c r="E76" s="250">
        <v>0</v>
      </c>
      <c r="F76" s="250">
        <v>0</v>
      </c>
      <c r="G76"/>
      <c r="H76" s="250">
        <f t="shared" si="40"/>
        <v>0</v>
      </c>
      <c r="I76" s="252">
        <f t="shared" si="2"/>
        <v>0</v>
      </c>
      <c r="J76" s="250">
        <f t="shared" si="41"/>
        <v>0</v>
      </c>
      <c r="K76" s="252">
        <f t="shared" si="3"/>
        <v>0</v>
      </c>
      <c r="L76" s="251">
        <f t="shared" si="4"/>
        <v>0</v>
      </c>
      <c r="M76" s="252">
        <f t="shared" si="5"/>
        <v>0</v>
      </c>
      <c r="N76" s="253">
        <f t="shared" si="6"/>
        <v>0</v>
      </c>
      <c r="O76"/>
      <c r="P76" s="250">
        <v>0</v>
      </c>
      <c r="Q76" s="252">
        <f t="shared" si="7"/>
        <v>0</v>
      </c>
      <c r="R76" s="250">
        <v>0</v>
      </c>
      <c r="S76" s="252">
        <f t="shared" si="8"/>
        <v>0</v>
      </c>
      <c r="T76" s="251">
        <f t="shared" si="9"/>
        <v>0</v>
      </c>
      <c r="U76" s="252">
        <f t="shared" si="10"/>
        <v>0</v>
      </c>
      <c r="V76" s="253">
        <f t="shared" si="11"/>
        <v>0</v>
      </c>
      <c r="W76"/>
      <c r="X76" s="250">
        <v>0</v>
      </c>
      <c r="Y76" s="252">
        <f t="shared" si="12"/>
        <v>0</v>
      </c>
      <c r="Z76" s="250">
        <v>0</v>
      </c>
      <c r="AA76" s="252">
        <f t="shared" si="13"/>
        <v>0</v>
      </c>
      <c r="AB76" s="251">
        <f t="shared" si="14"/>
        <v>0</v>
      </c>
      <c r="AC76" s="252">
        <f t="shared" si="15"/>
        <v>0</v>
      </c>
      <c r="AD76" s="253">
        <f t="shared" si="16"/>
        <v>0</v>
      </c>
      <c r="AE76"/>
      <c r="AF76" s="250">
        <v>0</v>
      </c>
      <c r="AG76" s="252">
        <f t="shared" si="17"/>
        <v>0</v>
      </c>
      <c r="AH76" s="250">
        <v>0</v>
      </c>
      <c r="AI76" s="252">
        <f t="shared" si="18"/>
        <v>0</v>
      </c>
      <c r="AJ76" s="251">
        <f t="shared" si="0"/>
        <v>0</v>
      </c>
      <c r="AK76" s="252">
        <f t="shared" si="1"/>
        <v>0</v>
      </c>
      <c r="AL76" s="253">
        <f t="shared" si="19"/>
        <v>0</v>
      </c>
    </row>
    <row r="77" spans="2:38" collapsed="1" x14ac:dyDescent="0.35">
      <c r="B77" s="239" t="s">
        <v>246</v>
      </c>
      <c r="C77" s="239" t="s">
        <v>247</v>
      </c>
      <c r="D77"/>
      <c r="E77" s="240">
        <f>SUM(E78:E79)</f>
        <v>0.69226786999999845</v>
      </c>
      <c r="F77" s="240">
        <f>SUM(F78:F79)</f>
        <v>1.1677417325935933</v>
      </c>
      <c r="G77"/>
      <c r="H77" s="240">
        <f>SUM(H78:H79)</f>
        <v>0</v>
      </c>
      <c r="I77" s="242">
        <f t="shared" si="2"/>
        <v>0</v>
      </c>
      <c r="J77" s="240">
        <f>SUM(J78:J79)</f>
        <v>0</v>
      </c>
      <c r="K77" s="242">
        <f t="shared" si="3"/>
        <v>0</v>
      </c>
      <c r="L77" s="241">
        <f t="shared" si="4"/>
        <v>0</v>
      </c>
      <c r="M77" s="242">
        <f t="shared" si="5"/>
        <v>0</v>
      </c>
      <c r="N77" s="243">
        <f t="shared" si="6"/>
        <v>0</v>
      </c>
      <c r="O77"/>
      <c r="P77" s="240">
        <f>SUM(P78:P79)</f>
        <v>0</v>
      </c>
      <c r="Q77" s="242">
        <f t="shared" si="7"/>
        <v>0</v>
      </c>
      <c r="R77" s="240">
        <f>SUM(R78:R79)</f>
        <v>0</v>
      </c>
      <c r="S77" s="242">
        <f t="shared" si="8"/>
        <v>0</v>
      </c>
      <c r="T77" s="241">
        <f t="shared" si="9"/>
        <v>0</v>
      </c>
      <c r="U77" s="242">
        <f t="shared" si="10"/>
        <v>0</v>
      </c>
      <c r="V77" s="243">
        <f t="shared" si="11"/>
        <v>0</v>
      </c>
      <c r="W77"/>
      <c r="X77" s="240">
        <f>SUM(X78:X79)</f>
        <v>0</v>
      </c>
      <c r="Y77" s="242">
        <f t="shared" si="12"/>
        <v>0</v>
      </c>
      <c r="Z77" s="240">
        <f>SUM(Z78:Z79)</f>
        <v>0</v>
      </c>
      <c r="AA77" s="242">
        <f t="shared" si="13"/>
        <v>0</v>
      </c>
      <c r="AB77" s="241">
        <f t="shared" si="14"/>
        <v>0</v>
      </c>
      <c r="AC77" s="242">
        <f t="shared" si="15"/>
        <v>0</v>
      </c>
      <c r="AD77" s="243">
        <f t="shared" si="16"/>
        <v>0</v>
      </c>
      <c r="AE77"/>
      <c r="AF77" s="240">
        <f>SUM(AF78:AF79)</f>
        <v>0</v>
      </c>
      <c r="AG77" s="242">
        <f t="shared" si="17"/>
        <v>0</v>
      </c>
      <c r="AH77" s="240">
        <f>SUM(AH78:AH79)</f>
        <v>0</v>
      </c>
      <c r="AI77" s="242">
        <f t="shared" si="18"/>
        <v>0</v>
      </c>
      <c r="AJ77" s="241">
        <f t="shared" ref="AJ77:AJ85" si="42">AF77-AH77</f>
        <v>0</v>
      </c>
      <c r="AK77" s="242">
        <f t="shared" ref="AK77:AK85" si="43">IFERROR(AF77/AH77-1,0)</f>
        <v>0</v>
      </c>
      <c r="AL77" s="243">
        <f t="shared" si="19"/>
        <v>0</v>
      </c>
    </row>
    <row r="78" spans="2:38" hidden="1" outlineLevel="1" x14ac:dyDescent="0.35">
      <c r="B78" s="255" t="s">
        <v>248</v>
      </c>
      <c r="C78" s="255" t="s">
        <v>249</v>
      </c>
      <c r="D78"/>
      <c r="E78" s="266">
        <v>0.69226786999999845</v>
      </c>
      <c r="F78" s="250">
        <v>1.1677417325935933</v>
      </c>
      <c r="G78"/>
      <c r="H78" s="266">
        <f t="shared" si="40"/>
        <v>0</v>
      </c>
      <c r="I78" s="252">
        <f t="shared" si="2"/>
        <v>0</v>
      </c>
      <c r="J78" s="266">
        <f t="shared" si="41"/>
        <v>0</v>
      </c>
      <c r="K78" s="252">
        <f t="shared" si="3"/>
        <v>0</v>
      </c>
      <c r="L78" s="251">
        <f t="shared" si="4"/>
        <v>0</v>
      </c>
      <c r="M78" s="252">
        <f t="shared" si="5"/>
        <v>0</v>
      </c>
      <c r="N78" s="253">
        <f t="shared" si="6"/>
        <v>0</v>
      </c>
      <c r="O78"/>
      <c r="P78" s="266">
        <v>0</v>
      </c>
      <c r="Q78" s="252">
        <f t="shared" si="7"/>
        <v>0</v>
      </c>
      <c r="R78" s="266">
        <v>0</v>
      </c>
      <c r="S78" s="252">
        <f t="shared" si="8"/>
        <v>0</v>
      </c>
      <c r="T78" s="251">
        <f t="shared" si="9"/>
        <v>0</v>
      </c>
      <c r="U78" s="252">
        <f t="shared" si="10"/>
        <v>0</v>
      </c>
      <c r="V78" s="253">
        <f t="shared" si="11"/>
        <v>0</v>
      </c>
      <c r="W78"/>
      <c r="X78" s="266">
        <v>0</v>
      </c>
      <c r="Y78" s="252">
        <f t="shared" si="12"/>
        <v>0</v>
      </c>
      <c r="Z78" s="266">
        <v>0</v>
      </c>
      <c r="AA78" s="252">
        <f t="shared" si="13"/>
        <v>0</v>
      </c>
      <c r="AB78" s="251">
        <f t="shared" si="14"/>
        <v>0</v>
      </c>
      <c r="AC78" s="252">
        <f t="shared" si="15"/>
        <v>0</v>
      </c>
      <c r="AD78" s="253">
        <f t="shared" si="16"/>
        <v>0</v>
      </c>
      <c r="AE78"/>
      <c r="AF78" s="266">
        <v>0</v>
      </c>
      <c r="AG78" s="252">
        <f t="shared" si="17"/>
        <v>0</v>
      </c>
      <c r="AH78" s="266">
        <v>0</v>
      </c>
      <c r="AI78" s="252">
        <f t="shared" si="18"/>
        <v>0</v>
      </c>
      <c r="AJ78" s="251">
        <f t="shared" si="42"/>
        <v>0</v>
      </c>
      <c r="AK78" s="252">
        <f t="shared" si="43"/>
        <v>0</v>
      </c>
      <c r="AL78" s="253">
        <f t="shared" si="19"/>
        <v>0</v>
      </c>
    </row>
    <row r="79" spans="2:38" hidden="1" outlineLevel="1" x14ac:dyDescent="0.35">
      <c r="B79" s="255" t="s">
        <v>250</v>
      </c>
      <c r="C79" s="255" t="s">
        <v>251</v>
      </c>
      <c r="D79"/>
      <c r="E79" s="266">
        <v>0</v>
      </c>
      <c r="F79" s="250">
        <v>0</v>
      </c>
      <c r="G79"/>
      <c r="H79" s="266">
        <f t="shared" si="40"/>
        <v>0</v>
      </c>
      <c r="I79" s="252">
        <f t="shared" si="2"/>
        <v>0</v>
      </c>
      <c r="J79" s="266">
        <f t="shared" si="41"/>
        <v>0</v>
      </c>
      <c r="K79" s="252">
        <f t="shared" si="3"/>
        <v>0</v>
      </c>
      <c r="L79" s="251">
        <f t="shared" si="4"/>
        <v>0</v>
      </c>
      <c r="M79" s="252">
        <f t="shared" si="5"/>
        <v>0</v>
      </c>
      <c r="N79" s="253">
        <f t="shared" si="6"/>
        <v>0</v>
      </c>
      <c r="O79"/>
      <c r="P79" s="266">
        <v>0</v>
      </c>
      <c r="Q79" s="252">
        <f t="shared" si="7"/>
        <v>0</v>
      </c>
      <c r="R79" s="266">
        <v>0</v>
      </c>
      <c r="S79" s="252">
        <f t="shared" si="8"/>
        <v>0</v>
      </c>
      <c r="T79" s="251">
        <f t="shared" si="9"/>
        <v>0</v>
      </c>
      <c r="U79" s="252">
        <f t="shared" si="10"/>
        <v>0</v>
      </c>
      <c r="V79" s="253">
        <f t="shared" si="11"/>
        <v>0</v>
      </c>
      <c r="W79"/>
      <c r="X79" s="266">
        <v>0</v>
      </c>
      <c r="Y79" s="252">
        <f t="shared" si="12"/>
        <v>0</v>
      </c>
      <c r="Z79" s="266">
        <v>0</v>
      </c>
      <c r="AA79" s="252">
        <f t="shared" si="13"/>
        <v>0</v>
      </c>
      <c r="AB79" s="251">
        <f t="shared" ref="AB79:AB85" si="44">X79-Z79</f>
        <v>0</v>
      </c>
      <c r="AC79" s="252">
        <f t="shared" ref="AC79:AC85" si="45">IFERROR(X79/Z79-1,0)</f>
        <v>0</v>
      </c>
      <c r="AD79" s="253">
        <f t="shared" si="16"/>
        <v>0</v>
      </c>
      <c r="AE79"/>
      <c r="AF79" s="266">
        <v>0</v>
      </c>
      <c r="AG79" s="252">
        <f t="shared" si="17"/>
        <v>0</v>
      </c>
      <c r="AH79" s="266">
        <v>0</v>
      </c>
      <c r="AI79" s="252">
        <f t="shared" si="18"/>
        <v>0</v>
      </c>
      <c r="AJ79" s="251">
        <f t="shared" si="42"/>
        <v>0</v>
      </c>
      <c r="AK79" s="252">
        <f t="shared" si="43"/>
        <v>0</v>
      </c>
      <c r="AL79" s="253">
        <f t="shared" si="19"/>
        <v>0</v>
      </c>
    </row>
    <row r="80" spans="2:38" collapsed="1" x14ac:dyDescent="0.35">
      <c r="B80" s="239" t="s">
        <v>252</v>
      </c>
      <c r="C80" s="239" t="s">
        <v>253</v>
      </c>
      <c r="D80"/>
      <c r="E80" s="240">
        <v>0</v>
      </c>
      <c r="F80" s="240">
        <v>0</v>
      </c>
      <c r="G80"/>
      <c r="H80" s="240">
        <f t="shared" si="40"/>
        <v>0</v>
      </c>
      <c r="I80" s="242">
        <f t="shared" si="2"/>
        <v>0</v>
      </c>
      <c r="J80" s="240">
        <f t="shared" si="41"/>
        <v>0</v>
      </c>
      <c r="K80" s="242">
        <f t="shared" si="3"/>
        <v>0</v>
      </c>
      <c r="L80" s="241">
        <f t="shared" si="4"/>
        <v>0</v>
      </c>
      <c r="M80" s="242">
        <f t="shared" si="5"/>
        <v>0</v>
      </c>
      <c r="N80" s="243">
        <f t="shared" si="6"/>
        <v>0</v>
      </c>
      <c r="O80"/>
      <c r="P80" s="240">
        <v>0</v>
      </c>
      <c r="Q80" s="242">
        <f t="shared" si="7"/>
        <v>0</v>
      </c>
      <c r="R80" s="240">
        <v>0</v>
      </c>
      <c r="S80" s="242">
        <f t="shared" si="8"/>
        <v>0</v>
      </c>
      <c r="T80" s="241">
        <f t="shared" si="9"/>
        <v>0</v>
      </c>
      <c r="U80" s="242">
        <f t="shared" si="10"/>
        <v>0</v>
      </c>
      <c r="V80" s="243">
        <f t="shared" si="11"/>
        <v>0</v>
      </c>
      <c r="W80"/>
      <c r="X80" s="240">
        <v>0</v>
      </c>
      <c r="Y80" s="242">
        <f t="shared" si="12"/>
        <v>0</v>
      </c>
      <c r="Z80" s="240">
        <v>0</v>
      </c>
      <c r="AA80" s="242">
        <f t="shared" si="13"/>
        <v>0</v>
      </c>
      <c r="AB80" s="241">
        <f t="shared" si="44"/>
        <v>0</v>
      </c>
      <c r="AC80" s="242">
        <f t="shared" si="45"/>
        <v>0</v>
      </c>
      <c r="AD80" s="243">
        <f t="shared" si="16"/>
        <v>0</v>
      </c>
      <c r="AE80"/>
      <c r="AF80" s="240">
        <v>0</v>
      </c>
      <c r="AG80" s="242">
        <f t="shared" si="17"/>
        <v>0</v>
      </c>
      <c r="AH80" s="240">
        <v>0</v>
      </c>
      <c r="AI80" s="242">
        <f t="shared" si="18"/>
        <v>0</v>
      </c>
      <c r="AJ80" s="241">
        <f t="shared" si="42"/>
        <v>0</v>
      </c>
      <c r="AK80" s="242">
        <f t="shared" si="43"/>
        <v>0</v>
      </c>
      <c r="AL80" s="243">
        <f t="shared" si="19"/>
        <v>0</v>
      </c>
    </row>
    <row r="81" spans="2:38" ht="7.5" customHeight="1" x14ac:dyDescent="0.35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</row>
    <row r="82" spans="2:38" hidden="1" outlineLevel="1" x14ac:dyDescent="0.35">
      <c r="B82" s="255" t="s">
        <v>254</v>
      </c>
      <c r="C82" s="255" t="s">
        <v>255</v>
      </c>
      <c r="D82"/>
      <c r="E82" s="266">
        <v>0</v>
      </c>
      <c r="F82" s="266">
        <v>0</v>
      </c>
      <c r="G82"/>
      <c r="H82" s="266">
        <f t="shared" si="40"/>
        <v>-0.24085959000000004</v>
      </c>
      <c r="I82" s="252">
        <f t="shared" ref="I82:I85" si="46">IFERROR(H82/$E82,0)</f>
        <v>0</v>
      </c>
      <c r="J82" s="250">
        <f t="shared" si="41"/>
        <v>0</v>
      </c>
      <c r="K82" s="252">
        <f t="shared" ref="K82:K85" si="47">IFERROR(J82/$F82,0)</f>
        <v>0</v>
      </c>
      <c r="L82" s="251">
        <f t="shared" ref="L82:L85" si="48">$H82-J82</f>
        <v>-0.24085959000000004</v>
      </c>
      <c r="M82" s="252">
        <f t="shared" ref="M82:M85" si="49">IFERROR($H82/J82-1,0)</f>
        <v>0</v>
      </c>
      <c r="N82" s="253">
        <f t="shared" ref="N82:N85" si="50">M82</f>
        <v>0</v>
      </c>
      <c r="O82"/>
      <c r="P82" s="266">
        <v>-0.23245557000000003</v>
      </c>
      <c r="Q82" s="252">
        <f t="shared" ref="Q82:Q85" si="51">IFERROR(P82/$E82,0)</f>
        <v>0</v>
      </c>
      <c r="R82" s="266">
        <v>0</v>
      </c>
      <c r="S82" s="252">
        <f t="shared" ref="S82:S85" si="52">IFERROR(R82/$F82,0)</f>
        <v>0</v>
      </c>
      <c r="T82" s="251">
        <f t="shared" ref="T82:T85" si="53">$P82-R82</f>
        <v>-0.23245557000000003</v>
      </c>
      <c r="U82" s="252">
        <f t="shared" ref="U82:U85" si="54">IFERROR($P82/R82-1,0)</f>
        <v>0</v>
      </c>
      <c r="V82" s="253">
        <f t="shared" ref="V82:V85" si="55">U82</f>
        <v>0</v>
      </c>
      <c r="W82"/>
      <c r="X82" s="266">
        <v>-8.4040199999999999E-3</v>
      </c>
      <c r="Y82" s="252">
        <f t="shared" ref="Y82:Y85" si="56">IFERROR(X82/$E82,0)</f>
        <v>0</v>
      </c>
      <c r="Z82" s="266">
        <v>0</v>
      </c>
      <c r="AA82" s="252">
        <f t="shared" ref="AA82:AA85" si="57">IFERROR(Z82/$F82,0)</f>
        <v>0</v>
      </c>
      <c r="AB82" s="251">
        <f t="shared" si="44"/>
        <v>-8.4040199999999999E-3</v>
      </c>
      <c r="AC82" s="252">
        <f t="shared" si="45"/>
        <v>0</v>
      </c>
      <c r="AD82" s="253">
        <f t="shared" ref="AD82:AD85" si="58">AC82</f>
        <v>0</v>
      </c>
      <c r="AE82"/>
      <c r="AF82" s="266">
        <v>0</v>
      </c>
      <c r="AG82" s="252">
        <f t="shared" ref="AG82:AG85" si="59">IFERROR(AF82/$E82,0)</f>
        <v>0</v>
      </c>
      <c r="AH82" s="266">
        <v>0</v>
      </c>
      <c r="AI82" s="252">
        <f t="shared" ref="AI82:AI85" si="60">IFERROR(AH82/$F82,0)</f>
        <v>0</v>
      </c>
      <c r="AJ82" s="251">
        <f t="shared" si="42"/>
        <v>0</v>
      </c>
      <c r="AK82" s="252">
        <f t="shared" si="43"/>
        <v>0</v>
      </c>
      <c r="AL82" s="253">
        <f t="shared" ref="AL82:AL85" si="61">AK82</f>
        <v>0</v>
      </c>
    </row>
    <row r="83" spans="2:38" hidden="1" outlineLevel="1" x14ac:dyDescent="0.35">
      <c r="B83" s="255" t="s">
        <v>256</v>
      </c>
      <c r="C83" s="255" t="s">
        <v>257</v>
      </c>
      <c r="D83"/>
      <c r="E83" s="266">
        <v>0</v>
      </c>
      <c r="F83" s="266">
        <v>0</v>
      </c>
      <c r="G83"/>
      <c r="H83" s="266">
        <f t="shared" si="40"/>
        <v>0</v>
      </c>
      <c r="I83" s="252">
        <f t="shared" si="46"/>
        <v>0</v>
      </c>
      <c r="J83" s="250">
        <f t="shared" si="41"/>
        <v>0</v>
      </c>
      <c r="K83" s="252">
        <f t="shared" si="47"/>
        <v>0</v>
      </c>
      <c r="L83" s="251">
        <f t="shared" si="48"/>
        <v>0</v>
      </c>
      <c r="M83" s="252">
        <f t="shared" si="49"/>
        <v>0</v>
      </c>
      <c r="N83" s="253">
        <f t="shared" si="50"/>
        <v>0</v>
      </c>
      <c r="O83"/>
      <c r="P83" s="266">
        <v>0</v>
      </c>
      <c r="Q83" s="252">
        <f t="shared" si="51"/>
        <v>0</v>
      </c>
      <c r="R83" s="266">
        <v>0</v>
      </c>
      <c r="S83" s="252">
        <f t="shared" si="52"/>
        <v>0</v>
      </c>
      <c r="T83" s="251">
        <f t="shared" si="53"/>
        <v>0</v>
      </c>
      <c r="U83" s="252">
        <f t="shared" si="54"/>
        <v>0</v>
      </c>
      <c r="V83" s="253">
        <f t="shared" si="55"/>
        <v>0</v>
      </c>
      <c r="W83"/>
      <c r="X83" s="266">
        <v>0</v>
      </c>
      <c r="Y83" s="252">
        <f t="shared" si="56"/>
        <v>0</v>
      </c>
      <c r="Z83" s="266">
        <v>0</v>
      </c>
      <c r="AA83" s="252">
        <f t="shared" si="57"/>
        <v>0</v>
      </c>
      <c r="AB83" s="251">
        <f t="shared" si="44"/>
        <v>0</v>
      </c>
      <c r="AC83" s="252">
        <f t="shared" si="45"/>
        <v>0</v>
      </c>
      <c r="AD83" s="253">
        <f t="shared" si="58"/>
        <v>0</v>
      </c>
      <c r="AE83"/>
      <c r="AF83" s="266">
        <v>0</v>
      </c>
      <c r="AG83" s="252">
        <f t="shared" si="59"/>
        <v>0</v>
      </c>
      <c r="AH83" s="266">
        <v>0</v>
      </c>
      <c r="AI83" s="252">
        <f t="shared" si="60"/>
        <v>0</v>
      </c>
      <c r="AJ83" s="251">
        <f t="shared" si="42"/>
        <v>0</v>
      </c>
      <c r="AK83" s="252">
        <f t="shared" si="43"/>
        <v>0</v>
      </c>
      <c r="AL83" s="253">
        <f t="shared" si="61"/>
        <v>0</v>
      </c>
    </row>
    <row r="84" spans="2:38" hidden="1" outlineLevel="1" x14ac:dyDescent="0.35">
      <c r="B84" s="255" t="s">
        <v>258</v>
      </c>
      <c r="C84" s="255" t="s">
        <v>259</v>
      </c>
      <c r="D84"/>
      <c r="E84" s="266">
        <v>0</v>
      </c>
      <c r="F84" s="266">
        <v>0</v>
      </c>
      <c r="G84"/>
      <c r="H84" s="266">
        <f t="shared" si="40"/>
        <v>-6.1917699900000009</v>
      </c>
      <c r="I84" s="252">
        <f t="shared" si="46"/>
        <v>0</v>
      </c>
      <c r="J84" s="250">
        <f t="shared" si="41"/>
        <v>-0.12284399999999999</v>
      </c>
      <c r="K84" s="252">
        <f t="shared" si="47"/>
        <v>0</v>
      </c>
      <c r="L84" s="251">
        <f t="shared" si="48"/>
        <v>-6.0689259900000012</v>
      </c>
      <c r="M84" s="252">
        <f t="shared" si="49"/>
        <v>49.403519830028337</v>
      </c>
      <c r="N84" s="253">
        <f t="shared" si="50"/>
        <v>49.403519830028337</v>
      </c>
      <c r="O84"/>
      <c r="P84" s="266">
        <v>-6.1358489900000013</v>
      </c>
      <c r="Q84" s="252">
        <f t="shared" si="51"/>
        <v>0</v>
      </c>
      <c r="R84" s="266">
        <v>-0.12284399999999999</v>
      </c>
      <c r="S84" s="252">
        <f t="shared" si="52"/>
        <v>0</v>
      </c>
      <c r="T84" s="251">
        <f t="shared" si="53"/>
        <v>-6.0130049900000015</v>
      </c>
      <c r="U84" s="252">
        <f t="shared" si="54"/>
        <v>48.948300201882077</v>
      </c>
      <c r="V84" s="253">
        <f t="shared" si="55"/>
        <v>48.948300201882077</v>
      </c>
      <c r="W84"/>
      <c r="X84" s="266">
        <v>-5.5921000000000012E-2</v>
      </c>
      <c r="Y84" s="252">
        <f t="shared" si="56"/>
        <v>0</v>
      </c>
      <c r="Z84" s="266">
        <v>0</v>
      </c>
      <c r="AA84" s="252">
        <f t="shared" si="57"/>
        <v>0</v>
      </c>
      <c r="AB84" s="251">
        <f t="shared" si="44"/>
        <v>-5.5921000000000012E-2</v>
      </c>
      <c r="AC84" s="252">
        <f t="shared" si="45"/>
        <v>0</v>
      </c>
      <c r="AD84" s="253">
        <f t="shared" si="58"/>
        <v>0</v>
      </c>
      <c r="AE84"/>
      <c r="AF84" s="266">
        <v>0</v>
      </c>
      <c r="AG84" s="252">
        <f t="shared" si="59"/>
        <v>0</v>
      </c>
      <c r="AH84" s="266">
        <v>0</v>
      </c>
      <c r="AI84" s="252">
        <f t="shared" si="60"/>
        <v>0</v>
      </c>
      <c r="AJ84" s="251">
        <f t="shared" si="42"/>
        <v>0</v>
      </c>
      <c r="AK84" s="252">
        <f t="shared" si="43"/>
        <v>0</v>
      </c>
      <c r="AL84" s="253">
        <f t="shared" si="61"/>
        <v>0</v>
      </c>
    </row>
    <row r="85" spans="2:38" collapsed="1" x14ac:dyDescent="0.35">
      <c r="B85" s="234">
        <v>3</v>
      </c>
      <c r="C85" s="234" t="s">
        <v>260</v>
      </c>
      <c r="D85"/>
      <c r="E85" s="235">
        <f>SUM(E82:E84)</f>
        <v>0</v>
      </c>
      <c r="F85" s="235">
        <f>SUM(F82:F84)</f>
        <v>0</v>
      </c>
      <c r="G85"/>
      <c r="H85" s="235">
        <f>SUM(H82:H84)</f>
        <v>-6.4326295800000013</v>
      </c>
      <c r="I85" s="237">
        <f t="shared" si="46"/>
        <v>0</v>
      </c>
      <c r="J85" s="235">
        <f>SUM(J82:J84)</f>
        <v>-0.12284399999999999</v>
      </c>
      <c r="K85" s="237">
        <f t="shared" si="47"/>
        <v>0</v>
      </c>
      <c r="L85" s="236">
        <f t="shared" si="48"/>
        <v>-6.3097855800000016</v>
      </c>
      <c r="M85" s="237">
        <f t="shared" si="49"/>
        <v>51.364214613656358</v>
      </c>
      <c r="N85" s="238">
        <f t="shared" si="50"/>
        <v>51.364214613656358</v>
      </c>
      <c r="O85"/>
      <c r="P85" s="235">
        <f>SUM(P82:P84)</f>
        <v>-6.3683045600000012</v>
      </c>
      <c r="Q85" s="237">
        <f t="shared" si="51"/>
        <v>0</v>
      </c>
      <c r="R85" s="235">
        <f>SUM(R82:R84)</f>
        <v>-0.12284399999999999</v>
      </c>
      <c r="S85" s="237">
        <f t="shared" si="52"/>
        <v>0</v>
      </c>
      <c r="T85" s="236">
        <f t="shared" si="53"/>
        <v>-6.2454605600000015</v>
      </c>
      <c r="U85" s="237">
        <f t="shared" si="54"/>
        <v>50.840582853049405</v>
      </c>
      <c r="V85" s="238">
        <f t="shared" si="55"/>
        <v>50.840582853049405</v>
      </c>
      <c r="W85"/>
      <c r="X85" s="235">
        <f>SUM(X82:X84)</f>
        <v>-6.4325020000000011E-2</v>
      </c>
      <c r="Y85" s="237">
        <f t="shared" si="56"/>
        <v>0</v>
      </c>
      <c r="Z85" s="235">
        <f>SUM(Z82:Z84)</f>
        <v>0</v>
      </c>
      <c r="AA85" s="237">
        <f t="shared" si="57"/>
        <v>0</v>
      </c>
      <c r="AB85" s="236">
        <f t="shared" si="44"/>
        <v>-6.4325020000000011E-2</v>
      </c>
      <c r="AC85" s="237">
        <f t="shared" si="45"/>
        <v>0</v>
      </c>
      <c r="AD85" s="238">
        <f t="shared" si="58"/>
        <v>0</v>
      </c>
      <c r="AE85"/>
      <c r="AF85" s="235">
        <f>SUM(AF82:AF84)</f>
        <v>0</v>
      </c>
      <c r="AG85" s="237">
        <f t="shared" si="59"/>
        <v>0</v>
      </c>
      <c r="AH85" s="235">
        <f>SUM(AH82:AH84)</f>
        <v>0</v>
      </c>
      <c r="AI85" s="237">
        <f t="shared" si="60"/>
        <v>0</v>
      </c>
      <c r="AJ85" s="236">
        <f t="shared" si="42"/>
        <v>0</v>
      </c>
      <c r="AK85" s="237">
        <f t="shared" si="43"/>
        <v>0</v>
      </c>
      <c r="AL85" s="238">
        <f t="shared" si="61"/>
        <v>0</v>
      </c>
    </row>
    <row r="87" spans="2:38" x14ac:dyDescent="0.35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</row>
    <row r="88" spans="2:38" x14ac:dyDescent="0.35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</row>
  </sheetData>
  <conditionalFormatting sqref="N48">
    <cfRule type="iconSet" priority="1">
      <iconSet showValue="0">
        <cfvo type="percent" val="0"/>
        <cfvo type="num" val="-0.03"/>
        <cfvo type="num" val="0.03"/>
      </iconSet>
    </cfRule>
  </conditionalFormatting>
  <conditionalFormatting sqref="N56">
    <cfRule type="iconSet" priority="5">
      <iconSet showValue="0">
        <cfvo type="percent" val="0"/>
        <cfvo type="num" val="-0.03"/>
        <cfvo type="num" val="0.03"/>
      </iconSet>
    </cfRule>
  </conditionalFormatting>
  <conditionalFormatting sqref="N80">
    <cfRule type="iconSet" priority="13">
      <iconSet showValue="0">
        <cfvo type="percent" val="0"/>
        <cfvo type="num" val="-0.03"/>
        <cfvo type="num" val="0.03"/>
      </iconSet>
    </cfRule>
  </conditionalFormatting>
  <conditionalFormatting sqref="N82:N85 N11 N49:N55 N57:N79 N13:N46">
    <cfRule type="iconSet" priority="9">
      <iconSet showValue="0">
        <cfvo type="percent" val="0"/>
        <cfvo type="num" val="-0.03"/>
        <cfvo type="num" val="0.03"/>
      </iconSet>
    </cfRule>
  </conditionalFormatting>
  <conditionalFormatting sqref="V48">
    <cfRule type="iconSet" priority="2">
      <iconSet showValue="0">
        <cfvo type="percent" val="0"/>
        <cfvo type="num" val="-0.03"/>
        <cfvo type="num" val="0.03"/>
      </iconSet>
    </cfRule>
  </conditionalFormatting>
  <conditionalFormatting sqref="V56">
    <cfRule type="iconSet" priority="6">
      <iconSet showValue="0">
        <cfvo type="percent" val="0"/>
        <cfvo type="num" val="-0.03"/>
        <cfvo type="num" val="0.03"/>
      </iconSet>
    </cfRule>
  </conditionalFormatting>
  <conditionalFormatting sqref="V80">
    <cfRule type="iconSet" priority="14">
      <iconSet showValue="0">
        <cfvo type="percent" val="0"/>
        <cfvo type="num" val="-0.03"/>
        <cfvo type="num" val="0.03"/>
      </iconSet>
    </cfRule>
  </conditionalFormatting>
  <conditionalFormatting sqref="V82:V85 V11 V49:V55 V57:V79 V13:V46">
    <cfRule type="iconSet" priority="10">
      <iconSet showValue="0">
        <cfvo type="percent" val="0"/>
        <cfvo type="num" val="-0.03"/>
        <cfvo type="num" val="0.03"/>
      </iconSet>
    </cfRule>
  </conditionalFormatting>
  <conditionalFormatting sqref="AD48">
    <cfRule type="iconSet" priority="3">
      <iconSet showValue="0">
        <cfvo type="percent" val="0"/>
        <cfvo type="num" val="-0.03"/>
        <cfvo type="num" val="0.03"/>
      </iconSet>
    </cfRule>
  </conditionalFormatting>
  <conditionalFormatting sqref="AD56">
    <cfRule type="iconSet" priority="7">
      <iconSet showValue="0">
        <cfvo type="percent" val="0"/>
        <cfvo type="num" val="-0.03"/>
        <cfvo type="num" val="0.03"/>
      </iconSet>
    </cfRule>
  </conditionalFormatting>
  <conditionalFormatting sqref="AD80">
    <cfRule type="iconSet" priority="15">
      <iconSet showValue="0">
        <cfvo type="percent" val="0"/>
        <cfvo type="num" val="-0.03"/>
        <cfvo type="num" val="0.03"/>
      </iconSet>
    </cfRule>
  </conditionalFormatting>
  <conditionalFormatting sqref="AD82:AD85 AD11 AD49:AD55 AD57:AD79 AD13:AD46">
    <cfRule type="iconSet" priority="11">
      <iconSet showValue="0">
        <cfvo type="percent" val="0"/>
        <cfvo type="num" val="-0.03"/>
        <cfvo type="num" val="0.03"/>
      </iconSet>
    </cfRule>
  </conditionalFormatting>
  <conditionalFormatting sqref="AL48">
    <cfRule type="iconSet" priority="4">
      <iconSet showValue="0">
        <cfvo type="percent" val="0"/>
        <cfvo type="num" val="-0.03"/>
        <cfvo type="num" val="0.03"/>
      </iconSet>
    </cfRule>
  </conditionalFormatting>
  <conditionalFormatting sqref="AL56">
    <cfRule type="iconSet" priority="8">
      <iconSet showValue="0">
        <cfvo type="percent" val="0"/>
        <cfvo type="num" val="-0.03"/>
        <cfvo type="num" val="0.03"/>
      </iconSet>
    </cfRule>
  </conditionalFormatting>
  <conditionalFormatting sqref="AL80">
    <cfRule type="iconSet" priority="16">
      <iconSet showValue="0">
        <cfvo type="percent" val="0"/>
        <cfvo type="num" val="-0.03"/>
        <cfvo type="num" val="0.03"/>
      </iconSet>
    </cfRule>
  </conditionalFormatting>
  <conditionalFormatting sqref="AL82:AL85 AL11 AL49:AL55 AL57:AL79 AL13:AL46">
    <cfRule type="iconSet" priority="12">
      <iconSet showValue="0">
        <cfvo type="percent" val="0"/>
        <cfvo type="num" val="-0.03"/>
        <cfvo type="num" val="0.03"/>
      </iconSet>
    </cfRule>
  </conditionalFormatting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C5C4B-4B4B-4028-8321-CDABC3B3CBFC}">
  <sheetPr>
    <tabColor theme="3"/>
  </sheetPr>
  <dimension ref="C2:V36"/>
  <sheetViews>
    <sheetView showGridLines="0" zoomScale="115" zoomScaleNormal="115" workbookViewId="0">
      <pane xSplit="4" ySplit="4" topLeftCell="E5" activePane="bottomRight" state="frozen"/>
      <selection activeCell="O45" sqref="O45"/>
      <selection pane="topRight" activeCell="O45" sqref="O45"/>
      <selection pane="bottomLeft" activeCell="O45" sqref="O45"/>
      <selection pane="bottomRight" activeCell="J14" sqref="F14:J14"/>
    </sheetView>
  </sheetViews>
  <sheetFormatPr defaultColWidth="8.81640625" defaultRowHeight="14.5" outlineLevelRow="2" outlineLevelCol="1" x14ac:dyDescent="0.35"/>
  <cols>
    <col min="1" max="1" width="1.81640625" style="276" customWidth="1"/>
    <col min="2" max="2" width="4.7265625" style="276" customWidth="1"/>
    <col min="3" max="3" width="16.54296875" style="275" customWidth="1"/>
    <col min="4" max="4" width="14.1796875" style="276" hidden="1" customWidth="1" outlineLevel="1"/>
    <col min="5" max="5" width="19.26953125" style="276" customWidth="1" collapsed="1"/>
    <col min="6" max="10" width="8.453125" style="276" customWidth="1"/>
    <col min="11" max="17" width="8.453125" style="276" customWidth="1" outlineLevel="1"/>
    <col min="18" max="18" width="9.453125" style="276" bestFit="1" customWidth="1"/>
    <col min="19" max="19" width="2.54296875" customWidth="1"/>
    <col min="20" max="20" width="10.453125" bestFit="1" customWidth="1"/>
    <col min="22" max="22" width="10.54296875" bestFit="1" customWidth="1"/>
    <col min="23" max="16384" width="8.81640625" style="276"/>
  </cols>
  <sheetData>
    <row r="2" spans="3:18" hidden="1" outlineLevel="1" x14ac:dyDescent="0.35">
      <c r="F2" s="277" t="e">
        <f>IF(F3&lt;=#REF!,1,0)</f>
        <v>#REF!</v>
      </c>
      <c r="G2" s="277" t="e">
        <f>IF(G3&lt;=#REF!,1,0)</f>
        <v>#REF!</v>
      </c>
      <c r="H2" s="277" t="e">
        <f>IF(H3&lt;=#REF!,1,0)</f>
        <v>#REF!</v>
      </c>
      <c r="I2" s="277" t="e">
        <f>IF(I3&lt;=#REF!,1,0)</f>
        <v>#REF!</v>
      </c>
      <c r="J2" s="277" t="e">
        <f>IF(J3&lt;=#REF!,1,0)</f>
        <v>#REF!</v>
      </c>
      <c r="K2" s="277" t="e">
        <f>IF(K3&lt;=#REF!,1,0)</f>
        <v>#REF!</v>
      </c>
      <c r="L2" s="277" t="e">
        <f>IF(L3&lt;=#REF!,1,0)</f>
        <v>#REF!</v>
      </c>
      <c r="M2" s="277" t="e">
        <f>IF(M3&lt;=#REF!,1,0)</f>
        <v>#REF!</v>
      </c>
      <c r="N2" s="277" t="e">
        <f>IF(N3&lt;=#REF!,1,0)</f>
        <v>#REF!</v>
      </c>
      <c r="O2" s="277" t="e">
        <f>IF(O3&lt;=#REF!,1,0)</f>
        <v>#REF!</v>
      </c>
      <c r="P2" s="277" t="e">
        <f>IF(P3&lt;=#REF!,1,0)</f>
        <v>#REF!</v>
      </c>
      <c r="Q2" s="277" t="e">
        <f>IF(Q3&lt;=#REF!,1,0)</f>
        <v>#REF!</v>
      </c>
    </row>
    <row r="3" spans="3:18" ht="25.5" customHeight="1" collapsed="1" x14ac:dyDescent="0.35">
      <c r="C3" s="278" t="s">
        <v>275</v>
      </c>
      <c r="D3" s="278" t="s">
        <v>276</v>
      </c>
      <c r="E3" s="278" t="s">
        <v>277</v>
      </c>
      <c r="F3" s="279">
        <v>46023</v>
      </c>
      <c r="G3" s="279">
        <v>46054</v>
      </c>
      <c r="H3" s="279">
        <v>46082</v>
      </c>
      <c r="I3" s="279">
        <v>46113</v>
      </c>
      <c r="J3" s="279">
        <v>46143</v>
      </c>
      <c r="K3" s="279">
        <v>46174</v>
      </c>
      <c r="L3" s="279">
        <v>46204</v>
      </c>
      <c r="M3" s="279">
        <v>46235</v>
      </c>
      <c r="N3" s="279">
        <v>46266</v>
      </c>
      <c r="O3" s="279">
        <v>46296</v>
      </c>
      <c r="P3" s="279">
        <v>46327</v>
      </c>
      <c r="Q3" s="279">
        <v>46357</v>
      </c>
      <c r="R3" s="278" t="s">
        <v>5</v>
      </c>
    </row>
    <row r="4" spans="3:18" ht="6.65" customHeight="1" x14ac:dyDescent="0.35">
      <c r="C4" s="280"/>
      <c r="D4" s="281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0"/>
      <c r="R4" s="280"/>
    </row>
    <row r="5" spans="3:18" x14ac:dyDescent="0.35">
      <c r="C5" s="282" t="s">
        <v>278</v>
      </c>
      <c r="D5" s="283"/>
      <c r="E5" s="283"/>
      <c r="F5" s="284">
        <f t="shared" ref="F5:Q5" si="0">SUM(F6:F6)</f>
        <v>0</v>
      </c>
      <c r="G5" s="284">
        <f t="shared" si="0"/>
        <v>0</v>
      </c>
      <c r="H5" s="284">
        <f t="shared" si="0"/>
        <v>0</v>
      </c>
      <c r="I5" s="284">
        <f t="shared" si="0"/>
        <v>0</v>
      </c>
      <c r="J5" s="284">
        <f t="shared" si="0"/>
        <v>0</v>
      </c>
      <c r="K5" s="284">
        <f t="shared" si="0"/>
        <v>0</v>
      </c>
      <c r="L5" s="284">
        <f t="shared" si="0"/>
        <v>0</v>
      </c>
      <c r="M5" s="284">
        <f t="shared" si="0"/>
        <v>0</v>
      </c>
      <c r="N5" s="284">
        <f t="shared" si="0"/>
        <v>0</v>
      </c>
      <c r="O5" s="284">
        <f t="shared" si="0"/>
        <v>0</v>
      </c>
      <c r="P5" s="284">
        <f t="shared" si="0"/>
        <v>0</v>
      </c>
      <c r="Q5" s="284">
        <f t="shared" si="0"/>
        <v>0</v>
      </c>
      <c r="R5" s="284" t="e">
        <f t="shared" ref="R5:R20" si="1">SUMPRODUCT($F5:$Q5,$F$2:$Q$2)</f>
        <v>#REF!</v>
      </c>
    </row>
    <row r="6" spans="3:18" ht="15" hidden="1" customHeight="1" outlineLevel="1" x14ac:dyDescent="0.35">
      <c r="C6" s="285"/>
      <c r="D6" s="286"/>
      <c r="E6" s="287"/>
      <c r="F6" s="288"/>
      <c r="G6" s="288"/>
      <c r="H6" s="289"/>
      <c r="I6" s="289"/>
      <c r="J6" s="289"/>
      <c r="K6" s="289"/>
      <c r="L6" s="289"/>
      <c r="M6" s="289"/>
      <c r="N6" s="289"/>
      <c r="O6" s="289"/>
      <c r="P6" s="289"/>
      <c r="Q6" s="289"/>
      <c r="R6" s="290" t="e">
        <f t="shared" si="1"/>
        <v>#REF!</v>
      </c>
    </row>
    <row r="7" spans="3:18" collapsed="1" x14ac:dyDescent="0.35">
      <c r="C7" s="285"/>
      <c r="D7" s="286"/>
      <c r="E7" s="287"/>
      <c r="F7" s="288"/>
      <c r="G7" s="288"/>
      <c r="H7" s="289"/>
      <c r="I7" s="289"/>
      <c r="J7" s="289"/>
      <c r="K7" s="289"/>
      <c r="L7" s="289"/>
      <c r="M7" s="289"/>
      <c r="N7" s="289"/>
      <c r="O7" s="289"/>
      <c r="P7" s="289"/>
      <c r="Q7" s="289"/>
      <c r="R7" s="288"/>
    </row>
    <row r="8" spans="3:18" x14ac:dyDescent="0.35">
      <c r="C8" s="282" t="s">
        <v>279</v>
      </c>
      <c r="D8" s="283"/>
      <c r="E8" s="283"/>
      <c r="F8" s="284">
        <f t="shared" ref="F8:Q8" si="2">SUM(F9:F9)</f>
        <v>0</v>
      </c>
      <c r="G8" s="284">
        <f t="shared" si="2"/>
        <v>0</v>
      </c>
      <c r="H8" s="284">
        <f t="shared" si="2"/>
        <v>0</v>
      </c>
      <c r="I8" s="284">
        <f t="shared" si="2"/>
        <v>0</v>
      </c>
      <c r="J8" s="284">
        <f t="shared" si="2"/>
        <v>0</v>
      </c>
      <c r="K8" s="284">
        <f t="shared" si="2"/>
        <v>0</v>
      </c>
      <c r="L8" s="284">
        <f t="shared" si="2"/>
        <v>0</v>
      </c>
      <c r="M8" s="284">
        <f t="shared" si="2"/>
        <v>0</v>
      </c>
      <c r="N8" s="284">
        <f t="shared" si="2"/>
        <v>0</v>
      </c>
      <c r="O8" s="284">
        <f t="shared" si="2"/>
        <v>0</v>
      </c>
      <c r="P8" s="284">
        <f t="shared" si="2"/>
        <v>0</v>
      </c>
      <c r="Q8" s="284">
        <f t="shared" si="2"/>
        <v>0</v>
      </c>
      <c r="R8" s="284" t="e">
        <f t="shared" si="1"/>
        <v>#REF!</v>
      </c>
    </row>
    <row r="9" spans="3:18" hidden="1" outlineLevel="1" x14ac:dyDescent="0.35">
      <c r="C9" s="285"/>
      <c r="D9" s="286"/>
      <c r="E9" s="287"/>
      <c r="F9" s="291"/>
      <c r="G9" s="291"/>
      <c r="H9" s="289"/>
      <c r="I9" s="289"/>
      <c r="J9" s="289"/>
      <c r="K9" s="289"/>
      <c r="L9" s="289"/>
      <c r="M9" s="289"/>
      <c r="N9" s="289"/>
      <c r="O9" s="289"/>
      <c r="P9" s="289"/>
      <c r="Q9" s="289"/>
      <c r="R9" s="290" t="e">
        <f t="shared" si="1"/>
        <v>#REF!</v>
      </c>
    </row>
    <row r="10" spans="3:18" customFormat="1" collapsed="1" x14ac:dyDescent="0.35">
      <c r="C10" s="285"/>
      <c r="D10" s="286"/>
      <c r="E10" s="287"/>
      <c r="F10" s="291"/>
      <c r="G10" s="289"/>
      <c r="H10" s="291"/>
      <c r="I10" s="291"/>
      <c r="J10" s="291"/>
      <c r="K10" s="291"/>
      <c r="L10" s="291"/>
      <c r="M10" s="291"/>
      <c r="N10" s="291"/>
      <c r="O10" s="291"/>
      <c r="P10" s="291"/>
      <c r="Q10" s="291"/>
      <c r="R10" s="288"/>
    </row>
    <row r="11" spans="3:18" customFormat="1" x14ac:dyDescent="0.35">
      <c r="C11" s="282" t="s">
        <v>280</v>
      </c>
      <c r="D11" s="283"/>
      <c r="E11" s="283"/>
      <c r="F11" s="284">
        <f t="shared" ref="F11:Q11" si="3">SUM(F12:F12)</f>
        <v>0</v>
      </c>
      <c r="G11" s="284">
        <f t="shared" si="3"/>
        <v>0</v>
      </c>
      <c r="H11" s="284">
        <f t="shared" si="3"/>
        <v>0</v>
      </c>
      <c r="I11" s="284">
        <f t="shared" si="3"/>
        <v>0</v>
      </c>
      <c r="J11" s="284">
        <f t="shared" si="3"/>
        <v>0</v>
      </c>
      <c r="K11" s="284">
        <f t="shared" si="3"/>
        <v>0</v>
      </c>
      <c r="L11" s="284">
        <f t="shared" si="3"/>
        <v>0</v>
      </c>
      <c r="M11" s="284">
        <f t="shared" si="3"/>
        <v>0</v>
      </c>
      <c r="N11" s="284">
        <f t="shared" si="3"/>
        <v>0</v>
      </c>
      <c r="O11" s="284">
        <f t="shared" si="3"/>
        <v>0</v>
      </c>
      <c r="P11" s="284">
        <f t="shared" si="3"/>
        <v>0</v>
      </c>
      <c r="Q11" s="284">
        <f t="shared" si="3"/>
        <v>0</v>
      </c>
      <c r="R11" s="284" t="e">
        <f>SUMPRODUCT($F11:$Q11,$F$2:$Q$2)</f>
        <v>#REF!</v>
      </c>
    </row>
    <row r="12" spans="3:18" ht="15" hidden="1" customHeight="1" outlineLevel="1" x14ac:dyDescent="0.35">
      <c r="C12" s="285"/>
      <c r="D12" s="286"/>
      <c r="E12" s="287"/>
      <c r="F12" s="288"/>
      <c r="G12" s="288"/>
      <c r="H12" s="289"/>
      <c r="I12" s="289"/>
      <c r="J12" s="289"/>
      <c r="K12" s="289"/>
      <c r="L12" s="289"/>
      <c r="M12" s="289"/>
      <c r="N12" s="289"/>
      <c r="O12" s="289"/>
      <c r="P12" s="289"/>
      <c r="Q12" s="289"/>
      <c r="R12" s="290" t="e">
        <f t="shared" si="1"/>
        <v>#REF!</v>
      </c>
    </row>
    <row r="13" spans="3:18" ht="15" customHeight="1" collapsed="1" x14ac:dyDescent="0.35">
      <c r="C13" s="285"/>
      <c r="D13" s="286"/>
      <c r="E13" s="287"/>
      <c r="F13" s="288"/>
      <c r="G13" s="288"/>
      <c r="H13" s="289"/>
      <c r="I13" s="289"/>
      <c r="J13" s="289"/>
      <c r="K13" s="289"/>
      <c r="L13" s="289"/>
      <c r="M13" s="289"/>
      <c r="N13" s="289"/>
      <c r="O13" s="289"/>
      <c r="P13" s="289"/>
      <c r="Q13" s="289"/>
      <c r="R13" s="288"/>
    </row>
    <row r="14" spans="3:18" x14ac:dyDescent="0.35">
      <c r="C14" s="282" t="s">
        <v>281</v>
      </c>
      <c r="D14" s="283"/>
      <c r="E14" s="283"/>
      <c r="F14" s="284">
        <f t="shared" ref="F14:Q14" si="4">SUM(F15:F17)</f>
        <v>-149.46259333333381</v>
      </c>
      <c r="G14" s="284">
        <f t="shared" si="4"/>
        <v>-149.46259333333381</v>
      </c>
      <c r="H14" s="284">
        <f t="shared" si="4"/>
        <v>-149.46259333333381</v>
      </c>
      <c r="I14" s="284">
        <f t="shared" si="4"/>
        <v>-86.875</v>
      </c>
      <c r="J14" s="284">
        <f t="shared" si="4"/>
        <v>-86.875</v>
      </c>
      <c r="K14" s="284">
        <f t="shared" si="4"/>
        <v>0</v>
      </c>
      <c r="L14" s="284">
        <f t="shared" si="4"/>
        <v>0</v>
      </c>
      <c r="M14" s="284">
        <f t="shared" si="4"/>
        <v>0</v>
      </c>
      <c r="N14" s="284">
        <f t="shared" si="4"/>
        <v>0</v>
      </c>
      <c r="O14" s="284">
        <f t="shared" si="4"/>
        <v>0</v>
      </c>
      <c r="P14" s="284">
        <f t="shared" si="4"/>
        <v>0</v>
      </c>
      <c r="Q14" s="284">
        <f t="shared" si="4"/>
        <v>0</v>
      </c>
      <c r="R14" s="284" t="e">
        <f t="shared" si="1"/>
        <v>#REF!</v>
      </c>
    </row>
    <row r="15" spans="3:18" ht="14.15" customHeight="1" outlineLevel="1" x14ac:dyDescent="0.35">
      <c r="C15" s="285"/>
      <c r="D15" s="286" t="s">
        <v>260</v>
      </c>
      <c r="E15" s="285" t="s">
        <v>282</v>
      </c>
      <c r="F15" s="291">
        <v>-62.587593333333814</v>
      </c>
      <c r="G15" s="291">
        <v>-62.587593333333814</v>
      </c>
      <c r="H15" s="291">
        <v>-62.587593333333814</v>
      </c>
      <c r="I15" s="289"/>
      <c r="J15" s="289"/>
      <c r="K15" s="289"/>
      <c r="L15" s="289"/>
      <c r="M15" s="289"/>
      <c r="N15" s="289"/>
      <c r="O15" s="289"/>
      <c r="P15" s="289"/>
      <c r="Q15" s="289"/>
      <c r="R15" s="290" t="e">
        <f t="shared" si="1"/>
        <v>#REF!</v>
      </c>
    </row>
    <row r="16" spans="3:18" ht="14.15" customHeight="1" outlineLevel="1" x14ac:dyDescent="0.35">
      <c r="C16" s="285"/>
      <c r="D16" s="286" t="s">
        <v>260</v>
      </c>
      <c r="E16" s="285" t="s">
        <v>283</v>
      </c>
      <c r="F16" s="291">
        <v>-62.083329999999997</v>
      </c>
      <c r="G16" s="291">
        <v>-62.083329999999997</v>
      </c>
      <c r="H16" s="291">
        <v>-62.083329999999997</v>
      </c>
      <c r="I16" s="291">
        <v>-62.083329999999997</v>
      </c>
      <c r="J16" s="291">
        <v>-62.083329999999997</v>
      </c>
      <c r="K16" s="289"/>
      <c r="L16" s="289"/>
      <c r="M16" s="289"/>
      <c r="N16" s="289"/>
      <c r="O16" s="289"/>
      <c r="P16" s="289"/>
      <c r="Q16" s="289"/>
      <c r="R16" s="290" t="e">
        <f t="shared" si="1"/>
        <v>#REF!</v>
      </c>
    </row>
    <row r="17" spans="3:20" ht="14.15" customHeight="1" outlineLevel="1" x14ac:dyDescent="0.35">
      <c r="C17" s="285"/>
      <c r="D17" s="286" t="s">
        <v>260</v>
      </c>
      <c r="E17" s="285" t="s">
        <v>284</v>
      </c>
      <c r="F17" s="291">
        <v>-24.79167</v>
      </c>
      <c r="G17" s="291">
        <v>-24.79167</v>
      </c>
      <c r="H17" s="291">
        <v>-24.79167</v>
      </c>
      <c r="I17" s="291">
        <v>-24.79167</v>
      </c>
      <c r="J17" s="291">
        <v>-24.79167</v>
      </c>
      <c r="K17" s="289"/>
      <c r="L17" s="289"/>
      <c r="M17" s="289"/>
      <c r="N17" s="289"/>
      <c r="O17" s="289"/>
      <c r="P17" s="289"/>
      <c r="Q17" s="289"/>
      <c r="R17" s="290" t="e">
        <f t="shared" si="1"/>
        <v>#REF!</v>
      </c>
    </row>
    <row r="18" spans="3:20" ht="14.15" customHeight="1" x14ac:dyDescent="0.35">
      <c r="C18" s="285"/>
      <c r="D18" s="286"/>
      <c r="E18" s="285"/>
      <c r="F18" s="291"/>
      <c r="G18" s="291"/>
      <c r="H18" s="289"/>
      <c r="I18" s="289"/>
      <c r="J18" s="289"/>
      <c r="K18" s="289"/>
      <c r="L18" s="289"/>
      <c r="M18" s="289"/>
      <c r="N18" s="289"/>
      <c r="O18" s="289"/>
      <c r="P18" s="289"/>
      <c r="Q18" s="289"/>
      <c r="R18" s="288"/>
    </row>
    <row r="19" spans="3:20" ht="14.15" customHeight="1" x14ac:dyDescent="0.35">
      <c r="C19" s="282" t="s">
        <v>285</v>
      </c>
      <c r="D19" s="283"/>
      <c r="E19" s="283"/>
      <c r="F19" s="284">
        <f t="shared" ref="F19:Q19" si="5">SUM(F20:F20)</f>
        <v>0</v>
      </c>
      <c r="G19" s="284">
        <f t="shared" si="5"/>
        <v>0</v>
      </c>
      <c r="H19" s="284">
        <f t="shared" si="5"/>
        <v>0</v>
      </c>
      <c r="I19" s="284">
        <f t="shared" si="5"/>
        <v>0</v>
      </c>
      <c r="J19" s="284">
        <f t="shared" si="5"/>
        <v>0</v>
      </c>
      <c r="K19" s="284">
        <f t="shared" si="5"/>
        <v>0</v>
      </c>
      <c r="L19" s="284">
        <f t="shared" si="5"/>
        <v>0</v>
      </c>
      <c r="M19" s="284">
        <f t="shared" si="5"/>
        <v>0</v>
      </c>
      <c r="N19" s="284">
        <f t="shared" si="5"/>
        <v>0</v>
      </c>
      <c r="O19" s="284">
        <f t="shared" si="5"/>
        <v>0</v>
      </c>
      <c r="P19" s="284">
        <f t="shared" si="5"/>
        <v>0</v>
      </c>
      <c r="Q19" s="284">
        <f t="shared" si="5"/>
        <v>0</v>
      </c>
      <c r="R19" s="284" t="e">
        <f t="shared" si="1"/>
        <v>#REF!</v>
      </c>
    </row>
    <row r="20" spans="3:20" ht="14.15" hidden="1" customHeight="1" outlineLevel="1" x14ac:dyDescent="0.35">
      <c r="C20" s="285"/>
      <c r="D20" s="286"/>
      <c r="E20" s="285"/>
      <c r="F20" s="291"/>
      <c r="G20" s="291"/>
      <c r="H20" s="289"/>
      <c r="I20" s="289"/>
      <c r="J20" s="289"/>
      <c r="K20" s="289"/>
      <c r="L20" s="289"/>
      <c r="M20" s="289"/>
      <c r="N20" s="289"/>
      <c r="O20" s="289"/>
      <c r="P20" s="289"/>
      <c r="Q20" s="289"/>
      <c r="R20" s="290" t="e">
        <f t="shared" si="1"/>
        <v>#REF!</v>
      </c>
    </row>
    <row r="21" spans="3:20" ht="14.15" customHeight="1" collapsed="1" x14ac:dyDescent="0.35">
      <c r="C21" s="285"/>
      <c r="D21" s="286"/>
      <c r="E21" s="285"/>
      <c r="F21" s="291"/>
      <c r="G21" s="291"/>
      <c r="H21" s="289"/>
      <c r="I21" s="289"/>
      <c r="J21" s="289"/>
      <c r="K21" s="289"/>
      <c r="L21" s="289"/>
      <c r="M21" s="289"/>
      <c r="N21" s="289"/>
      <c r="O21" s="289"/>
      <c r="P21" s="289"/>
      <c r="Q21" s="289"/>
      <c r="R21" s="288"/>
    </row>
    <row r="22" spans="3:20" customFormat="1" ht="14.5" customHeight="1" x14ac:dyDescent="0.35">
      <c r="C22" s="234" t="s">
        <v>286</v>
      </c>
      <c r="D22" s="234"/>
      <c r="E22" s="234"/>
      <c r="F22" s="292">
        <f t="shared" ref="F22:Q22" si="6">SUM(F11,F8,F5,F14,F19)</f>
        <v>-149.46259333333381</v>
      </c>
      <c r="G22" s="292">
        <f t="shared" si="6"/>
        <v>-149.46259333333381</v>
      </c>
      <c r="H22" s="292">
        <f t="shared" si="6"/>
        <v>-149.46259333333381</v>
      </c>
      <c r="I22" s="292">
        <f t="shared" si="6"/>
        <v>-86.875</v>
      </c>
      <c r="J22" s="292">
        <f t="shared" si="6"/>
        <v>-86.875</v>
      </c>
      <c r="K22" s="292">
        <f t="shared" si="6"/>
        <v>0</v>
      </c>
      <c r="L22" s="292">
        <f t="shared" si="6"/>
        <v>0</v>
      </c>
      <c r="M22" s="292">
        <f t="shared" si="6"/>
        <v>0</v>
      </c>
      <c r="N22" s="292">
        <f t="shared" si="6"/>
        <v>0</v>
      </c>
      <c r="O22" s="292">
        <f t="shared" si="6"/>
        <v>0</v>
      </c>
      <c r="P22" s="292">
        <f t="shared" si="6"/>
        <v>0</v>
      </c>
      <c r="Q22" s="292">
        <f t="shared" si="6"/>
        <v>0</v>
      </c>
      <c r="R22" s="292" t="e">
        <f>SUMPRODUCT($F22:$Q22,$F$2:$Q$2)</f>
        <v>#REF!</v>
      </c>
      <c r="T22" s="293"/>
    </row>
    <row r="23" spans="3:20" customFormat="1" ht="6.65" customHeight="1" x14ac:dyDescent="0.35">
      <c r="C23" s="294"/>
      <c r="D23" s="276"/>
      <c r="E23" s="276"/>
      <c r="F23" s="291"/>
      <c r="G23" s="291"/>
      <c r="H23" s="291"/>
      <c r="I23" s="291"/>
      <c r="J23" s="291"/>
      <c r="K23" s="291"/>
      <c r="L23" s="291"/>
      <c r="M23" s="291"/>
      <c r="N23" s="291"/>
      <c r="O23" s="291"/>
      <c r="P23" s="295"/>
      <c r="Q23" s="291"/>
      <c r="R23" s="291"/>
    </row>
    <row r="24" spans="3:20" customFormat="1" ht="6.65" customHeight="1" x14ac:dyDescent="0.35">
      <c r="C24" s="294"/>
      <c r="D24" s="276"/>
      <c r="E24" s="276"/>
      <c r="F24" s="291"/>
      <c r="G24" s="291"/>
      <c r="H24" s="291"/>
      <c r="I24" s="291"/>
      <c r="J24" s="291"/>
      <c r="K24" s="291"/>
      <c r="L24" s="291"/>
      <c r="M24" s="291"/>
      <c r="N24" s="291"/>
      <c r="O24" s="291"/>
      <c r="P24" s="291"/>
      <c r="Q24" s="291"/>
      <c r="R24" s="291"/>
    </row>
    <row r="25" spans="3:20" customFormat="1" hidden="1" outlineLevel="1" x14ac:dyDescent="0.35">
      <c r="C25" s="282" t="s">
        <v>280</v>
      </c>
      <c r="D25" s="283"/>
      <c r="E25" s="283"/>
      <c r="F25" s="284">
        <f t="shared" ref="F25:Q25" si="7">SUM(F26:F26)</f>
        <v>0</v>
      </c>
      <c r="G25" s="284">
        <f t="shared" si="7"/>
        <v>0</v>
      </c>
      <c r="H25" s="284">
        <f t="shared" si="7"/>
        <v>0</v>
      </c>
      <c r="I25" s="284">
        <f t="shared" si="7"/>
        <v>0</v>
      </c>
      <c r="J25" s="284">
        <f t="shared" si="7"/>
        <v>0</v>
      </c>
      <c r="K25" s="284">
        <f t="shared" si="7"/>
        <v>0</v>
      </c>
      <c r="L25" s="284">
        <f t="shared" si="7"/>
        <v>0</v>
      </c>
      <c r="M25" s="284">
        <f t="shared" si="7"/>
        <v>0</v>
      </c>
      <c r="N25" s="284">
        <f t="shared" si="7"/>
        <v>0</v>
      </c>
      <c r="O25" s="284">
        <f t="shared" si="7"/>
        <v>0</v>
      </c>
      <c r="P25" s="284">
        <f t="shared" si="7"/>
        <v>0</v>
      </c>
      <c r="Q25" s="284">
        <f t="shared" si="7"/>
        <v>0</v>
      </c>
      <c r="R25" s="284" t="e">
        <f t="shared" ref="R25:R26" si="8">SUMPRODUCT($F25:$Q25,$F$2:$Q$2)</f>
        <v>#REF!</v>
      </c>
    </row>
    <row r="26" spans="3:20" customFormat="1" hidden="1" outlineLevel="2" x14ac:dyDescent="0.35">
      <c r="C26" s="285"/>
      <c r="D26" s="286"/>
      <c r="E26" s="296"/>
      <c r="F26" s="288"/>
      <c r="G26" s="288"/>
      <c r="H26" s="289"/>
      <c r="I26" s="289"/>
      <c r="J26" s="289"/>
      <c r="K26" s="289"/>
      <c r="L26" s="289"/>
      <c r="M26" s="289"/>
      <c r="N26" s="289"/>
      <c r="O26" s="289"/>
      <c r="P26" s="289"/>
      <c r="Q26" s="289"/>
      <c r="R26" s="290" t="e">
        <f t="shared" si="8"/>
        <v>#REF!</v>
      </c>
    </row>
    <row r="27" spans="3:20" customFormat="1" hidden="1" outlineLevel="1" x14ac:dyDescent="0.35">
      <c r="C27" s="294"/>
      <c r="D27" s="276"/>
      <c r="E27" s="276"/>
      <c r="F27" s="295"/>
      <c r="G27" s="295"/>
      <c r="H27" s="295"/>
      <c r="I27" s="295"/>
      <c r="J27" s="295"/>
      <c r="K27" s="295"/>
      <c r="L27" s="295"/>
      <c r="M27" s="295"/>
      <c r="N27" s="295"/>
      <c r="O27" s="295"/>
      <c r="P27" s="295"/>
      <c r="Q27" s="297"/>
      <c r="R27" s="297"/>
    </row>
    <row r="28" spans="3:20" customFormat="1" hidden="1" outlineLevel="1" x14ac:dyDescent="0.35">
      <c r="C28" s="282" t="s">
        <v>279</v>
      </c>
      <c r="D28" s="283"/>
      <c r="E28" s="283"/>
      <c r="F28" s="284">
        <f t="shared" ref="F28:Q28" si="9">SUM(F29:F29)</f>
        <v>0</v>
      </c>
      <c r="G28" s="284">
        <f t="shared" si="9"/>
        <v>0</v>
      </c>
      <c r="H28" s="284">
        <f t="shared" si="9"/>
        <v>0</v>
      </c>
      <c r="I28" s="284">
        <f t="shared" si="9"/>
        <v>0</v>
      </c>
      <c r="J28" s="284">
        <f t="shared" si="9"/>
        <v>0</v>
      </c>
      <c r="K28" s="284">
        <f t="shared" si="9"/>
        <v>0</v>
      </c>
      <c r="L28" s="284">
        <f t="shared" si="9"/>
        <v>0</v>
      </c>
      <c r="M28" s="284">
        <f t="shared" si="9"/>
        <v>0</v>
      </c>
      <c r="N28" s="284">
        <f t="shared" si="9"/>
        <v>0</v>
      </c>
      <c r="O28" s="284">
        <f t="shared" si="9"/>
        <v>0</v>
      </c>
      <c r="P28" s="284">
        <f t="shared" si="9"/>
        <v>0</v>
      </c>
      <c r="Q28" s="284">
        <f t="shared" si="9"/>
        <v>0</v>
      </c>
      <c r="R28" s="284" t="e">
        <f t="shared" ref="R28:R29" si="10">SUMPRODUCT($F28:$Q28,$F$2:$Q$2)</f>
        <v>#REF!</v>
      </c>
    </row>
    <row r="29" spans="3:20" customFormat="1" hidden="1" outlineLevel="2" x14ac:dyDescent="0.35">
      <c r="C29" s="285"/>
      <c r="D29" s="286"/>
      <c r="E29" s="298"/>
      <c r="F29" s="288"/>
      <c r="G29" s="288"/>
      <c r="H29" s="289"/>
      <c r="I29" s="289"/>
      <c r="J29" s="289"/>
      <c r="K29" s="289"/>
      <c r="L29" s="289"/>
      <c r="M29" s="289"/>
      <c r="N29" s="289"/>
      <c r="O29" s="289"/>
      <c r="P29" s="289"/>
      <c r="Q29" s="289"/>
      <c r="R29" s="290" t="e">
        <f t="shared" si="10"/>
        <v>#REF!</v>
      </c>
    </row>
    <row r="30" spans="3:20" customFormat="1" hidden="1" outlineLevel="1" x14ac:dyDescent="0.35">
      <c r="C30" s="285"/>
      <c r="D30" s="286"/>
      <c r="E30" s="287"/>
      <c r="F30" s="288"/>
      <c r="G30" s="288"/>
      <c r="H30" s="289"/>
      <c r="I30" s="289"/>
      <c r="J30" s="289"/>
      <c r="K30" s="289"/>
      <c r="L30" s="289"/>
      <c r="M30" s="289"/>
      <c r="N30" s="289"/>
      <c r="O30" s="289"/>
      <c r="P30" s="289"/>
      <c r="Q30" s="289"/>
      <c r="R30" s="289"/>
    </row>
    <row r="31" spans="3:20" s="300" customFormat="1" collapsed="1" x14ac:dyDescent="0.3">
      <c r="C31" s="299" t="s">
        <v>287</v>
      </c>
      <c r="D31" s="234"/>
      <c r="E31" s="234"/>
      <c r="F31" s="292">
        <f t="shared" ref="F31:Q31" si="11">SUM(F28,F25)</f>
        <v>0</v>
      </c>
      <c r="G31" s="292">
        <f t="shared" si="11"/>
        <v>0</v>
      </c>
      <c r="H31" s="292">
        <f t="shared" si="11"/>
        <v>0</v>
      </c>
      <c r="I31" s="292">
        <f t="shared" si="11"/>
        <v>0</v>
      </c>
      <c r="J31" s="292">
        <f t="shared" si="11"/>
        <v>0</v>
      </c>
      <c r="K31" s="292">
        <f t="shared" si="11"/>
        <v>0</v>
      </c>
      <c r="L31" s="292">
        <f t="shared" si="11"/>
        <v>0</v>
      </c>
      <c r="M31" s="292">
        <f t="shared" si="11"/>
        <v>0</v>
      </c>
      <c r="N31" s="292">
        <f t="shared" si="11"/>
        <v>0</v>
      </c>
      <c r="O31" s="292">
        <f t="shared" si="11"/>
        <v>0</v>
      </c>
      <c r="P31" s="292">
        <f t="shared" si="11"/>
        <v>0</v>
      </c>
      <c r="Q31" s="292">
        <f t="shared" si="11"/>
        <v>0</v>
      </c>
      <c r="R31" s="292" t="e">
        <f>SUMPRODUCT($F31:$Q31,$F$2:$Q$2)</f>
        <v>#REF!</v>
      </c>
    </row>
    <row r="32" spans="3:20" x14ac:dyDescent="0.35">
      <c r="C32" s="294"/>
      <c r="F32" s="295"/>
      <c r="G32" s="295"/>
      <c r="H32" s="295"/>
      <c r="I32" s="295"/>
      <c r="J32" s="295"/>
      <c r="K32" s="295"/>
      <c r="L32" s="295"/>
      <c r="M32" s="295"/>
      <c r="N32" s="295"/>
      <c r="O32" s="295"/>
      <c r="P32" s="295"/>
      <c r="Q32" s="295"/>
      <c r="R32" s="295"/>
    </row>
    <row r="33" spans="3:18" customFormat="1" x14ac:dyDescent="0.35">
      <c r="C33" s="299" t="s">
        <v>288</v>
      </c>
      <c r="D33" s="234"/>
      <c r="E33" s="234"/>
      <c r="F33" s="292">
        <f t="shared" ref="F33:Q33" si="12">SUM(F31,F22)</f>
        <v>-149.46259333333381</v>
      </c>
      <c r="G33" s="292">
        <f t="shared" si="12"/>
        <v>-149.46259333333381</v>
      </c>
      <c r="H33" s="292">
        <f t="shared" si="12"/>
        <v>-149.46259333333381</v>
      </c>
      <c r="I33" s="292">
        <f t="shared" si="12"/>
        <v>-86.875</v>
      </c>
      <c r="J33" s="292">
        <f t="shared" si="12"/>
        <v>-86.875</v>
      </c>
      <c r="K33" s="292">
        <f t="shared" si="12"/>
        <v>0</v>
      </c>
      <c r="L33" s="292">
        <f t="shared" si="12"/>
        <v>0</v>
      </c>
      <c r="M33" s="292">
        <f t="shared" si="12"/>
        <v>0</v>
      </c>
      <c r="N33" s="292">
        <f t="shared" si="12"/>
        <v>0</v>
      </c>
      <c r="O33" s="292">
        <f t="shared" si="12"/>
        <v>0</v>
      </c>
      <c r="P33" s="292">
        <f t="shared" si="12"/>
        <v>0</v>
      </c>
      <c r="Q33" s="292">
        <f t="shared" si="12"/>
        <v>0</v>
      </c>
      <c r="R33" s="292" t="e">
        <f>SUMPRODUCT($F33:$Q33,$F$2:$Q$2)</f>
        <v>#REF!</v>
      </c>
    </row>
    <row r="34" spans="3:18" x14ac:dyDescent="0.35">
      <c r="C34" s="294"/>
    </row>
    <row r="35" spans="3:18" customFormat="1" x14ac:dyDescent="0.35"/>
    <row r="36" spans="3:18" x14ac:dyDescent="0.35">
      <c r="F36" s="301"/>
      <c r="R36" s="30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BB40C6F5CD9747819DE9D17AB2B4CD" ma:contentTypeVersion="11" ma:contentTypeDescription="Crie um novo documento." ma:contentTypeScope="" ma:versionID="eb98073ea0626f85f5dcbec38b2545e5">
  <xsd:schema xmlns:xsd="http://www.w3.org/2001/XMLSchema" xmlns:xs="http://www.w3.org/2001/XMLSchema" xmlns:p="http://schemas.microsoft.com/office/2006/metadata/properties" xmlns:ns2="333ae240-c43f-4c4f-91ba-0321f316e2fb" xmlns:ns3="732b8a39-c9ea-4b0c-b6f6-4e194bd97f8c" targetNamespace="http://schemas.microsoft.com/office/2006/metadata/properties" ma:root="true" ma:fieldsID="7c15768da1d2ff1bdfb0401ebe76e574" ns2:_="" ns3:_="">
    <xsd:import namespace="333ae240-c43f-4c4f-91ba-0321f316e2fb"/>
    <xsd:import namespace="732b8a39-c9ea-4b0c-b6f6-4e194bd97f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3ae240-c43f-4c4f-91ba-0321f316e2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2b8a39-c9ea-4b0c-b6f6-4e194bd97f8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1EE1AC-789C-415B-B154-5B7CFFFE284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5E8274-4081-4B1F-B501-59E9FBA708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3ae240-c43f-4c4f-91ba-0321f316e2fb"/>
    <ds:schemaRef ds:uri="732b8a39-c9ea-4b0c-b6f6-4e194bd97f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F251E0F-D71C-4D77-848C-5F6D566BC09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Planilha8</vt:lpstr>
      <vt:lpstr>Empillhado</vt:lpstr>
      <vt:lpstr>P&amp;L Contábil</vt:lpstr>
      <vt:lpstr>P&amp;L Contábil (2)</vt:lpstr>
      <vt:lpstr>Painel Resultado (MTD)</vt:lpstr>
      <vt:lpstr>Painel Resultado (YTD)</vt:lpstr>
      <vt:lpstr>Capex (MTD)</vt:lpstr>
      <vt:lpstr>Capex (YTD)</vt:lpstr>
      <vt:lpstr>Não Recorrentes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 Tadashi Nakamura</dc:creator>
  <cp:lastModifiedBy>Rodrigo Alves Guimarães</cp:lastModifiedBy>
  <dcterms:created xsi:type="dcterms:W3CDTF">2026-06-17T13:59:11Z</dcterms:created>
  <dcterms:modified xsi:type="dcterms:W3CDTF">2026-07-03T20:07:52Z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0x0101002EBB40C6F5CD9747819DE9D17AB2B4CD</vt:lpwstr>
  </property>
</Properties>
</file>