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techcloud.sharepoint.com/sites/financial_reporting/Documentos Compartilhados/FPA_DW/Datalake_readFiles/"/>
    </mc:Choice>
  </mc:AlternateContent>
  <xr:revisionPtr revIDLastSave="245" documentId="8_{6EB7E3AC-58EB-453C-94D3-D1E0C4DB185F}" xr6:coauthVersionLast="47" xr6:coauthVersionMax="47" xr10:uidLastSave="{511A4E68-115A-4280-A014-1594771D639E}"/>
  <bookViews>
    <workbookView xWindow="28680" yWindow="-120" windowWidth="29040" windowHeight="15720" xr2:uid="{16554D6A-23AB-43A0-89E6-5F56AE2445FC}"/>
  </bookViews>
  <sheets>
    <sheet name="dContas" sheetId="1" r:id="rId1"/>
  </sheets>
  <definedNames>
    <definedName name="_xlnm._FilterDatabase" localSheetId="0" hidden="1">dContas!$A$1:$I$636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6" i="1" l="1"/>
  <c r="C636" i="1"/>
  <c r="B636" i="1" s="1"/>
  <c r="H635" i="1"/>
  <c r="H634" i="1"/>
  <c r="H633" i="1"/>
  <c r="H632" i="1"/>
  <c r="C635" i="1"/>
  <c r="B635" i="1" s="1"/>
  <c r="C634" i="1"/>
  <c r="B634" i="1" s="1"/>
  <c r="C633" i="1"/>
  <c r="B633" i="1" s="1"/>
  <c r="C632" i="1"/>
  <c r="B632" i="1" s="1"/>
  <c r="E447" i="1"/>
  <c r="E568" i="1"/>
  <c r="E544" i="1"/>
  <c r="E543" i="1"/>
  <c r="E542" i="1"/>
  <c r="E535" i="1"/>
  <c r="E409" i="1"/>
  <c r="E397" i="1"/>
  <c r="E356" i="1"/>
  <c r="E290" i="1"/>
  <c r="E280" i="1"/>
  <c r="E151" i="1"/>
  <c r="H631" i="1"/>
  <c r="C631" i="1"/>
  <c r="B631" i="1" s="1"/>
  <c r="H630" i="1"/>
  <c r="H629" i="1"/>
  <c r="C630" i="1"/>
  <c r="B630" i="1" s="1"/>
  <c r="C629" i="1"/>
  <c r="B629" i="1" s="1"/>
  <c r="C628" i="1"/>
  <c r="B628" i="1" s="1"/>
  <c r="C627" i="1"/>
  <c r="B627" i="1" s="1"/>
  <c r="C626" i="1"/>
  <c r="B626" i="1" s="1"/>
  <c r="C625" i="1"/>
  <c r="B625" i="1" s="1"/>
  <c r="C624" i="1"/>
  <c r="B624" i="1" s="1"/>
  <c r="C623" i="1"/>
  <c r="B623" i="1" s="1"/>
  <c r="C622" i="1"/>
  <c r="B622" i="1" s="1"/>
  <c r="C621" i="1"/>
  <c r="B621" i="1" s="1"/>
  <c r="C620" i="1"/>
  <c r="B620" i="1" s="1"/>
  <c r="C619" i="1"/>
  <c r="B619" i="1" s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C618" i="1"/>
  <c r="B618" i="1" s="1"/>
  <c r="C617" i="1"/>
  <c r="B617" i="1" s="1"/>
  <c r="C616" i="1"/>
  <c r="B616" i="1" s="1"/>
  <c r="C615" i="1"/>
  <c r="B615" i="1" s="1"/>
  <c r="C614" i="1"/>
  <c r="B614" i="1" s="1"/>
  <c r="C613" i="1"/>
  <c r="B613" i="1" s="1"/>
  <c r="C612" i="1"/>
  <c r="B612" i="1" s="1"/>
  <c r="C611" i="1"/>
  <c r="B611" i="1" s="1"/>
  <c r="C610" i="1"/>
  <c r="B610" i="1" s="1"/>
  <c r="C609" i="1"/>
  <c r="B609" i="1" s="1"/>
  <c r="C608" i="1"/>
  <c r="B608" i="1" s="1"/>
  <c r="C607" i="1"/>
  <c r="B607" i="1" s="1"/>
  <c r="C606" i="1"/>
  <c r="B606" i="1" s="1"/>
  <c r="C605" i="1"/>
  <c r="B605" i="1" s="1"/>
  <c r="C604" i="1"/>
  <c r="B604" i="1" s="1"/>
  <c r="C603" i="1"/>
  <c r="B603" i="1" s="1"/>
  <c r="C602" i="1"/>
  <c r="B602" i="1" s="1"/>
  <c r="C601" i="1"/>
  <c r="B601" i="1" s="1"/>
  <c r="C600" i="1"/>
  <c r="B600" i="1" s="1"/>
  <c r="C599" i="1"/>
  <c r="B599" i="1" s="1"/>
  <c r="C598" i="1"/>
  <c r="B598" i="1" s="1"/>
  <c r="C597" i="1"/>
  <c r="B597" i="1" s="1"/>
  <c r="C596" i="1"/>
  <c r="B596" i="1" s="1"/>
  <c r="C595" i="1"/>
  <c r="B595" i="1" s="1"/>
  <c r="C594" i="1"/>
  <c r="B594" i="1" s="1"/>
  <c r="C593" i="1"/>
  <c r="B593" i="1" s="1"/>
  <c r="C592" i="1"/>
  <c r="B592" i="1" s="1"/>
  <c r="C591" i="1"/>
  <c r="B591" i="1" s="1"/>
  <c r="C590" i="1"/>
  <c r="B590" i="1" s="1"/>
  <c r="C589" i="1"/>
  <c r="B589" i="1" s="1"/>
  <c r="C588" i="1"/>
  <c r="B588" i="1" s="1"/>
</calcChain>
</file>

<file path=xl/sharedStrings.xml><?xml version="1.0" encoding="utf-8"?>
<sst xmlns="http://schemas.openxmlformats.org/spreadsheetml/2006/main" count="4339" uniqueCount="2368">
  <si>
    <t>ContaContabil</t>
  </si>
  <si>
    <t>ContaContabil_ComPrefixo</t>
  </si>
  <si>
    <t>ContaContabil_SemPonto</t>
  </si>
  <si>
    <t>ContaContabil_Descricao</t>
  </si>
  <si>
    <t>Linha P&amp;L</t>
  </si>
  <si>
    <t>FPA_Pacote</t>
  </si>
  <si>
    <t>FPA_Subpacote</t>
  </si>
  <si>
    <t>CHK_LineID</t>
  </si>
  <si>
    <t>valor</t>
  </si>
  <si>
    <t>1.2.02.001.001</t>
  </si>
  <si>
    <t>'1202001001</t>
  </si>
  <si>
    <t>1202001001</t>
  </si>
  <si>
    <t xml:space="preserve"> IRPJ DIFERIDO AMORT AGIO CASH</t>
  </si>
  <si>
    <t>Ativo</t>
  </si>
  <si>
    <t>2.1.09.099.099</t>
  </si>
  <si>
    <t>'2109099099</t>
  </si>
  <si>
    <t>2109099099</t>
  </si>
  <si>
    <t>(-) A.V.P. - DIVIDAS DE AQUISICOES</t>
  </si>
  <si>
    <t>Gross Revenue</t>
  </si>
  <si>
    <t>1.2.07.003.097</t>
  </si>
  <si>
    <t>'1207003097</t>
  </si>
  <si>
    <t>1207003097</t>
  </si>
  <si>
    <t>(-) AMORT CART CL ALOC TRIZY 1ª AQUISICA</t>
  </si>
  <si>
    <t>1.2.07.003.099</t>
  </si>
  <si>
    <t>'1207003099</t>
  </si>
  <si>
    <t>1207003099</t>
  </si>
  <si>
    <t>(-) AMORT MARCA ALOC AGIO TRIZY 1ª AQUIS</t>
  </si>
  <si>
    <t>1.2.07.003.095</t>
  </si>
  <si>
    <t>'1207003095</t>
  </si>
  <si>
    <t>1207003095</t>
  </si>
  <si>
    <t>(-) AMORT SOFT ALOC AGIO TRIZY 1ª AQUISI</t>
  </si>
  <si>
    <t>1.2.07.003.011</t>
  </si>
  <si>
    <t>'1207003011</t>
  </si>
  <si>
    <t>1207003011</t>
  </si>
  <si>
    <t>(-) AMORT. -  MARCA - ALOC. AGIO FUSION</t>
  </si>
  <si>
    <t>1.2.07.003.010</t>
  </si>
  <si>
    <t>'1207003010</t>
  </si>
  <si>
    <t>1207003010</t>
  </si>
  <si>
    <t>(-) AMORT. A.N.COMPET -  ALOC. AGIO FUSION</t>
  </si>
  <si>
    <t>1.2.07.003.098</t>
  </si>
  <si>
    <t>'1207003098</t>
  </si>
  <si>
    <t>1207003098</t>
  </si>
  <si>
    <t>(-) AMORT. CART. CL. - ALOC. AGIO BSOFT</t>
  </si>
  <si>
    <t>1.2.07.003.103</t>
  </si>
  <si>
    <t>'1207003103</t>
  </si>
  <si>
    <t>1207003103</t>
  </si>
  <si>
    <t>(-) AMORT. CART. CL. - ALOC. ATUA</t>
  </si>
  <si>
    <t>1.2.07.003.094</t>
  </si>
  <si>
    <t>'1207003094</t>
  </si>
  <si>
    <t>1207003094</t>
  </si>
  <si>
    <t>(-) AMORT. CART. CL. - ALOC. AVACON</t>
  </si>
  <si>
    <t>1.2.07.003.086</t>
  </si>
  <si>
    <t>'1207003086</t>
  </si>
  <si>
    <t>1207003086</t>
  </si>
  <si>
    <t>(-) AMORT. CART. CL. - ALOC. CT6</t>
  </si>
  <si>
    <t>1.2.07.003.089</t>
  </si>
  <si>
    <t>'1207003089</t>
  </si>
  <si>
    <t>1207003089</t>
  </si>
  <si>
    <t>(-) AMORT. CART. CL. - ALOC. DATAMEX</t>
  </si>
  <si>
    <t>1.2.07.003.088</t>
  </si>
  <si>
    <t>'1207003088</t>
  </si>
  <si>
    <t>1207003088</t>
  </si>
  <si>
    <t>(-) AMORT. CART. CL. - ALOC. KMM</t>
  </si>
  <si>
    <t>1.2.07.003.087</t>
  </si>
  <si>
    <t>'1207003087</t>
  </si>
  <si>
    <t>1207003087</t>
  </si>
  <si>
    <t>(-) AMORT. CART. CL. - ALOC. MULTISOFTW</t>
  </si>
  <si>
    <t>1.2.07.003.096</t>
  </si>
  <si>
    <t>'1207003096</t>
  </si>
  <si>
    <t>1207003096</t>
  </si>
  <si>
    <t>(-) AMORT. CART. CL. - ALOC. OTIMIZY</t>
  </si>
  <si>
    <t>1.2.07.003.090</t>
  </si>
  <si>
    <t>'1207003090</t>
  </si>
  <si>
    <t>1207003090</t>
  </si>
  <si>
    <t>(-) AMORT. CART. CL. - ALOC. ROUTEASY</t>
  </si>
  <si>
    <t>1.2.07.003.101</t>
  </si>
  <si>
    <t>'1207003101</t>
  </si>
  <si>
    <t>1207003101</t>
  </si>
  <si>
    <t>(-) AMORT. CART. CL. ALOC. LOG.ONE</t>
  </si>
  <si>
    <t>1.2.07.003.092</t>
  </si>
  <si>
    <t>'1207003092</t>
  </si>
  <si>
    <t>1207003092</t>
  </si>
  <si>
    <t>(-) AMORT. CART. CL. ALOC. SIGNA</t>
  </si>
  <si>
    <t>1.2.04.002.001</t>
  </si>
  <si>
    <t>'1204002001</t>
  </si>
  <si>
    <t>1204002001</t>
  </si>
  <si>
    <t>(-) AMORT. DIR. USO - LOC IMOV. - IFRS16</t>
  </si>
  <si>
    <t>Direito de Uso</t>
  </si>
  <si>
    <t>1.2.07.003.104</t>
  </si>
  <si>
    <t>'1207003104</t>
  </si>
  <si>
    <t>1207003104</t>
  </si>
  <si>
    <t>(-) AMORT. MARCA - ALOC. AGIO ATUA</t>
  </si>
  <si>
    <t>1.2.07.003.093</t>
  </si>
  <si>
    <t>'1207003093</t>
  </si>
  <si>
    <t>1207003093</t>
  </si>
  <si>
    <t>(-) AMORT. MARCA - ALOC. AGIO CT6</t>
  </si>
  <si>
    <t>1.2.07.003.102</t>
  </si>
  <si>
    <t>'1207003102</t>
  </si>
  <si>
    <t>1207003102</t>
  </si>
  <si>
    <t>(-) AMORT. SOFT - ALOC. AGIO ATUA</t>
  </si>
  <si>
    <t>1.2.07.003.077</t>
  </si>
  <si>
    <t>'1207003077</t>
  </si>
  <si>
    <t>1207003077</t>
  </si>
  <si>
    <t>(-) AMORT. SOFT - ALOC. AGIO AUTUMN</t>
  </si>
  <si>
    <t>1.2.07.003.078</t>
  </si>
  <si>
    <t>'1207003078</t>
  </si>
  <si>
    <t>1207003078</t>
  </si>
  <si>
    <t>(-) AMORT. SOFT - ALOC. AGIO AVACON</t>
  </si>
  <si>
    <t>1.2.07.003.079</t>
  </si>
  <si>
    <t>'1207003079</t>
  </si>
  <si>
    <t>1207003079</t>
  </si>
  <si>
    <t>(-) AMORT. SOFT - ALOC. AGIO CT6</t>
  </si>
  <si>
    <t>1.2.07.003.082</t>
  </si>
  <si>
    <t>'1207003082</t>
  </si>
  <si>
    <t>1207003082</t>
  </si>
  <si>
    <t>(-) AMORT. SOFT - ALOC. AGIO DATAMEX</t>
  </si>
  <si>
    <t>1.2.07.003.081</t>
  </si>
  <si>
    <t>'1207003081</t>
  </si>
  <si>
    <t>1207003081</t>
  </si>
  <si>
    <t>(-) AMORT. SOFT - ALOC. AGIO KMM</t>
  </si>
  <si>
    <t>1.2.07.003.100</t>
  </si>
  <si>
    <t>'1207003100</t>
  </si>
  <si>
    <t>1207003100</t>
  </si>
  <si>
    <t>(-) AMORT. SOFT - ALOC. AGIO LOG.ONE</t>
  </si>
  <si>
    <t>1.2.07.003.080</t>
  </si>
  <si>
    <t>'1207003080</t>
  </si>
  <si>
    <t>1207003080</t>
  </si>
  <si>
    <t>(-) AMORT. SOFT - ALOC. AGIO MULTISOFTW</t>
  </si>
  <si>
    <t>1.2.07.003.083</t>
  </si>
  <si>
    <t>'1207003083</t>
  </si>
  <si>
    <t>1207003083</t>
  </si>
  <si>
    <t>(-) AMORT. SOFT - ALOC. AGIO ROUTEASY</t>
  </si>
  <si>
    <t>1.2.07.003.085</t>
  </si>
  <si>
    <t>'1207003085</t>
  </si>
  <si>
    <t>1207003085</t>
  </si>
  <si>
    <t>(-) AMORT. SOFT - ALOC. AGIO SIGNA</t>
  </si>
  <si>
    <t>1.2.07.003.001.0001</t>
  </si>
  <si>
    <t>'12070030010001</t>
  </si>
  <si>
    <t>12070030010001</t>
  </si>
  <si>
    <t>(-) AMORT. SOFTWARES - ALOC. AGIO OPENTE</t>
  </si>
  <si>
    <t>1.2.07.003.001</t>
  </si>
  <si>
    <t>'1207003001</t>
  </si>
  <si>
    <t>1207003001</t>
  </si>
  <si>
    <t>(-) AMORT. SOFTWARES - PROJETOS INTERNOS</t>
  </si>
  <si>
    <t>1.2.07.003.001.0099</t>
  </si>
  <si>
    <t>'12070030010099</t>
  </si>
  <si>
    <t>12070030010099</t>
  </si>
  <si>
    <t>1.2.07.003.002</t>
  </si>
  <si>
    <t>'1207003002</t>
  </si>
  <si>
    <t>1207003002</t>
  </si>
  <si>
    <t>(-) AMORT. SOFTWARES - TERCEIROS</t>
  </si>
  <si>
    <t>3.1.03.005.003</t>
  </si>
  <si>
    <t>'3103005003</t>
  </si>
  <si>
    <t>3103005003</t>
  </si>
  <si>
    <t>(-) COFINS</t>
  </si>
  <si>
    <t>COFINS</t>
  </si>
  <si>
    <t>(-) Deductions</t>
  </si>
  <si>
    <t>3.1.03.005.005</t>
  </si>
  <si>
    <t>'3103005005</t>
  </si>
  <si>
    <t>3103005005</t>
  </si>
  <si>
    <t>(-) CONTRIBUICAO PREVIDENCIARIA LEI 1254</t>
  </si>
  <si>
    <t>CPRB</t>
  </si>
  <si>
    <t>(-) CPRB</t>
  </si>
  <si>
    <t>1.2.05.007.001</t>
  </si>
  <si>
    <t>'1205007001</t>
  </si>
  <si>
    <t>1205007001</t>
  </si>
  <si>
    <t>(-) DEPREC. BENFEITORIAS EM IMOVEIS DE T</t>
  </si>
  <si>
    <t>1.2.05.007.002</t>
  </si>
  <si>
    <t>'1205007002</t>
  </si>
  <si>
    <t>1205007002</t>
  </si>
  <si>
    <t>(-) DEPREC. EQUIPAMENTOS DE INFORMATICA</t>
  </si>
  <si>
    <t>1.2.05.007.003</t>
  </si>
  <si>
    <t>'1205007003</t>
  </si>
  <si>
    <t>1205007003</t>
  </si>
  <si>
    <t>(-) DEPREC. INSTALACOES</t>
  </si>
  <si>
    <t>1.2.05.007.004</t>
  </si>
  <si>
    <t>'1205007004</t>
  </si>
  <si>
    <t>1205007004</t>
  </si>
  <si>
    <t>(-) DEPREC. MAQUINAS, APARELHOS E EQUIP</t>
  </si>
  <si>
    <t>Imobilizado</t>
  </si>
  <si>
    <t>1.2.05.007.005</t>
  </si>
  <si>
    <t>'1205007005</t>
  </si>
  <si>
    <t>1205007005</t>
  </si>
  <si>
    <t>(-) DEPREC. MOVEIS E UTENSILIOS</t>
  </si>
  <si>
    <t>1.2.05.007.006</t>
  </si>
  <si>
    <t>'1205007006</t>
  </si>
  <si>
    <t>1205007006</t>
  </si>
  <si>
    <t>(-) DEPREC. VEICULOS</t>
  </si>
  <si>
    <t>3.1.05.001.001</t>
  </si>
  <si>
    <t>'3105001001</t>
  </si>
  <si>
    <t>3105001001</t>
  </si>
  <si>
    <t>(-) DEVOL E CANC DE VENDA DE MERCADORIAS</t>
  </si>
  <si>
    <t>Return and cancellation</t>
  </si>
  <si>
    <t>3.1.02.001.001</t>
  </si>
  <si>
    <t>'3102001001</t>
  </si>
  <si>
    <t>3102001001</t>
  </si>
  <si>
    <t>(-) DEVOLUCOES E CANCELAMENTO DE SERVICO</t>
  </si>
  <si>
    <t>3.1.03.005.004</t>
  </si>
  <si>
    <t>'3103005004</t>
  </si>
  <si>
    <t>3103005004</t>
  </si>
  <si>
    <t>(-) ICMS</t>
  </si>
  <si>
    <t>ICMS</t>
  </si>
  <si>
    <t>3.1.06.001.001</t>
  </si>
  <si>
    <t>'3106001001</t>
  </si>
  <si>
    <t>3106001001</t>
  </si>
  <si>
    <t>(-) ICMS SOBRE VENDA DE MERCADORIAS</t>
  </si>
  <si>
    <t>3.1.03.005.006</t>
  </si>
  <si>
    <t>'3103005006</t>
  </si>
  <si>
    <t>3103005006</t>
  </si>
  <si>
    <t>(-) INSS RECEITA BRUTA</t>
  </si>
  <si>
    <t>3.1.03.005.001</t>
  </si>
  <si>
    <t>'3103005001</t>
  </si>
  <si>
    <t>3103005001</t>
  </si>
  <si>
    <t>(-) ISS</t>
  </si>
  <si>
    <t>ISS</t>
  </si>
  <si>
    <t>3.1.03.005.002</t>
  </si>
  <si>
    <t>'3103005002</t>
  </si>
  <si>
    <t>3103005002</t>
  </si>
  <si>
    <t>(-) PIS</t>
  </si>
  <si>
    <t>PIS</t>
  </si>
  <si>
    <t>4.7.10.001.006</t>
  </si>
  <si>
    <t>'4710001006</t>
  </si>
  <si>
    <t>4710001006</t>
  </si>
  <si>
    <t>(-) PIS/COFINS SOBRE RECEITA FINANCEIRA</t>
  </si>
  <si>
    <t>Financial Results</t>
  </si>
  <si>
    <t>3.1.03.005.008</t>
  </si>
  <si>
    <t>'3103005008</t>
  </si>
  <si>
    <t>3103005008</t>
  </si>
  <si>
    <t>(-) PROVISAO DE IMPOSTOS</t>
  </si>
  <si>
    <t>Others</t>
  </si>
  <si>
    <t>1.1.02.001.002</t>
  </si>
  <si>
    <t>'1102001002</t>
  </si>
  <si>
    <t>1102001002</t>
  </si>
  <si>
    <t>(-) PROVISAO PECLD</t>
  </si>
  <si>
    <t>3.1.01.005.017.0004</t>
  </si>
  <si>
    <t>'31010050170004</t>
  </si>
  <si>
    <t>31010050170004</t>
  </si>
  <si>
    <t>(-) RECEITA DIFERIDA DE TREINAMENTO, FEIRAS E EVENTOS</t>
  </si>
  <si>
    <t>3.1.01.005.014</t>
  </si>
  <si>
    <t>'3101005014</t>
  </si>
  <si>
    <t>3101005014</t>
  </si>
  <si>
    <t>(-) RECEITA DIFERIDA TMS/DMS</t>
  </si>
  <si>
    <t>4.7.03.015.025</t>
  </si>
  <si>
    <t>'4703015025</t>
  </si>
  <si>
    <t>4703015025</t>
  </si>
  <si>
    <t>(-) RECUPERAÇÃO DE DESPESAS PROCESSUAIS M&amp;A</t>
  </si>
  <si>
    <t>Third Party Services &amp; Mkt</t>
  </si>
  <si>
    <t>Jurídico</t>
  </si>
  <si>
    <t>3.1.01.005.100</t>
  </si>
  <si>
    <t>'3101005100</t>
  </si>
  <si>
    <t>3101005100</t>
  </si>
  <si>
    <t>(-) REV PROV REC SOFTWARE</t>
  </si>
  <si>
    <t>3.1.01.005.001.0002</t>
  </si>
  <si>
    <t>'31010050010002</t>
  </si>
  <si>
    <t>31010050010002</t>
  </si>
  <si>
    <t>(-) REV. PROV. REC. BACKGROUND CHECK</t>
  </si>
  <si>
    <t>3.1.01.006.005.0002</t>
  </si>
  <si>
    <t>'31010060050002</t>
  </si>
  <si>
    <t>31010060050002</t>
  </si>
  <si>
    <t>(-) REV. PROV. REC. CLOUD / INFRA DE TEC</t>
  </si>
  <si>
    <t>3.1.01.005.006.0002</t>
  </si>
  <si>
    <t>'31010050060002</t>
  </si>
  <si>
    <t>31010050060002</t>
  </si>
  <si>
    <t>(-) REV. PROV. REC. LOGISTICS</t>
  </si>
  <si>
    <t>3.1.01.006.004.0002</t>
  </si>
  <si>
    <t>'31010060040002</t>
  </si>
  <si>
    <t>31010060040002</t>
  </si>
  <si>
    <t>(-) REV. PROV. REC. MAO DE OBRA BPO</t>
  </si>
  <si>
    <t>3.1.01.005.097</t>
  </si>
  <si>
    <t>'3101005097</t>
  </si>
  <si>
    <t>3101005097</t>
  </si>
  <si>
    <t>(-) REV. PROV. REC. MARKETPLACE</t>
  </si>
  <si>
    <t>3.1.01.005.015.0002</t>
  </si>
  <si>
    <t>'31010050150002</t>
  </si>
  <si>
    <t>31010050150002</t>
  </si>
  <si>
    <t>(-) REV. PROV. REC. PREV. DE ACIDENTES</t>
  </si>
  <si>
    <t>3.1.01.005.004.0002</t>
  </si>
  <si>
    <t>'31010050040002</t>
  </si>
  <si>
    <t>31010050040002</t>
  </si>
  <si>
    <t>(-) REV. PROV. REC. RISK MONITORING</t>
  </si>
  <si>
    <t>3.1.01.005.002.0002</t>
  </si>
  <si>
    <t>'31010050020002</t>
  </si>
  <si>
    <t>31010050020002</t>
  </si>
  <si>
    <t>(-) REV. PROV. REC. SOFTWARE</t>
  </si>
  <si>
    <t>3.1.01.006.002.0001</t>
  </si>
  <si>
    <t>'31010060020001</t>
  </si>
  <si>
    <t>31010060020001</t>
  </si>
  <si>
    <t>(-) REV. PROV. REC. SOFTWARE ON PREMISE</t>
  </si>
  <si>
    <t>3.1.01.006.002.0002</t>
  </si>
  <si>
    <t>'31010060020002</t>
  </si>
  <si>
    <t>31010060020002</t>
  </si>
  <si>
    <t>3.1.01.006.100</t>
  </si>
  <si>
    <t>'3101006100</t>
  </si>
  <si>
    <t>3101006100</t>
  </si>
  <si>
    <t>(-) REV. PROV. REC. SOFTWARE SAAS</t>
  </si>
  <si>
    <t>3.1.01.006.001.0002</t>
  </si>
  <si>
    <t>'31010060010002</t>
  </si>
  <si>
    <t>31010060010002</t>
  </si>
  <si>
    <t>3.1.01.005.005.0002</t>
  </si>
  <si>
    <t>'31010050050002</t>
  </si>
  <si>
    <t>31010050050002</t>
  </si>
  <si>
    <t>(-) REV. PROV. REC. TELEMATICS</t>
  </si>
  <si>
    <t>3.1.01.005.013</t>
  </si>
  <si>
    <t>'3101005013</t>
  </si>
  <si>
    <t>3101005013</t>
  </si>
  <si>
    <t>(-) REV. PROV. REC. TMS/DMS</t>
  </si>
  <si>
    <t>4.7.03.015.023</t>
  </si>
  <si>
    <t>'4703015023</t>
  </si>
  <si>
    <t>4703015023</t>
  </si>
  <si>
    <t>(-) REVERSAO DE PROVISOES ADMINISTRATIVAS</t>
  </si>
  <si>
    <t>4703015017</t>
  </si>
  <si>
    <t>'4703015017</t>
  </si>
  <si>
    <t>(-) REVERSAO DE PROVISOES CIVEIS</t>
  </si>
  <si>
    <t>4.7.03.015.015</t>
  </si>
  <si>
    <t>'4703015015</t>
  </si>
  <si>
    <t>4703015015</t>
  </si>
  <si>
    <t>(-) REVERSAO DE PROVISOES TRABALHISTAS</t>
  </si>
  <si>
    <t>4703015019</t>
  </si>
  <si>
    <t>'4703015019</t>
  </si>
  <si>
    <t>(-) REVERSAO DE PROVISOES TRIBUTÁRIA</t>
  </si>
  <si>
    <t>3.1.01.005.098</t>
  </si>
  <si>
    <t>'3101005098</t>
  </si>
  <si>
    <t>3101005098</t>
  </si>
  <si>
    <t>(-) REVERSÃO DE RECEITA SOFTWARE</t>
  </si>
  <si>
    <t>1.2.01.002.030</t>
  </si>
  <si>
    <t>'1201002030</t>
  </si>
  <si>
    <t>1201002030</t>
  </si>
  <si>
    <t>99KOTE</t>
  </si>
  <si>
    <t>2.4.01.001.002</t>
  </si>
  <si>
    <t>'2401001002</t>
  </si>
  <si>
    <t>2401001002</t>
  </si>
  <si>
    <t>A.F.A.C.</t>
  </si>
  <si>
    <t>Passivo</t>
  </si>
  <si>
    <t>1.1.04.013.001</t>
  </si>
  <si>
    <t>'1104013001</t>
  </si>
  <si>
    <t>1104013001</t>
  </si>
  <si>
    <t>ADIANTAMENTO A FORNECEDORES</t>
  </si>
  <si>
    <t>Adiantamentos</t>
  </si>
  <si>
    <t>1.1.04.013.002</t>
  </si>
  <si>
    <t>'1104013002</t>
  </si>
  <si>
    <t>1104013002</t>
  </si>
  <si>
    <t>ADIANTAMENTO DE DIVIDENDOS</t>
  </si>
  <si>
    <t>1.1.04.015.003</t>
  </si>
  <si>
    <t>'1104015003</t>
  </si>
  <si>
    <t>1104015003</t>
  </si>
  <si>
    <t>ADIANTAMENTOS DE 13 SALARIO</t>
  </si>
  <si>
    <t>2.1.09.001.001</t>
  </si>
  <si>
    <t>'2109001001</t>
  </si>
  <si>
    <t>2109001001</t>
  </si>
  <si>
    <t>ADIANTAMENTOS DE CLIENTES DIVERSOS</t>
  </si>
  <si>
    <t>Outros passivos</t>
  </si>
  <si>
    <t>1.1.04.015.002</t>
  </si>
  <si>
    <t>'1104015002</t>
  </si>
  <si>
    <t>1104015002</t>
  </si>
  <si>
    <t>ADIANTAMENTOS DE FERIAS</t>
  </si>
  <si>
    <t>1.1.04.015.001</t>
  </si>
  <si>
    <t>'1104015001</t>
  </si>
  <si>
    <t>1104015001</t>
  </si>
  <si>
    <t>ADIANTAMENTOS DE SALARIOS</t>
  </si>
  <si>
    <t>1.1.04.015.004</t>
  </si>
  <si>
    <t>'1104015004</t>
  </si>
  <si>
    <t>1104015004</t>
  </si>
  <si>
    <t>ADIANTAMENTOS PARA VIAGENS</t>
  </si>
  <si>
    <t>4.7.03.003.002</t>
  </si>
  <si>
    <t>'4703003002</t>
  </si>
  <si>
    <t>4703003002</t>
  </si>
  <si>
    <t>AGENCIA DE PUBLICIDADE</t>
  </si>
  <si>
    <t>Advertising</t>
  </si>
  <si>
    <t>Marketing</t>
  </si>
  <si>
    <t>4.7.03.003.007</t>
  </si>
  <si>
    <t>'4703003007</t>
  </si>
  <si>
    <t>4703003007</t>
  </si>
  <si>
    <t>AGENCIAS DE PERFORMACE</t>
  </si>
  <si>
    <t>4.7.03.011.001</t>
  </si>
  <si>
    <t>'4703011001</t>
  </si>
  <si>
    <t>4703011001</t>
  </si>
  <si>
    <t>AGUA E ESGOTO</t>
  </si>
  <si>
    <t>Travels/Rental/Generals</t>
  </si>
  <si>
    <t>Facilities</t>
  </si>
  <si>
    <t>4.7.03.001.012</t>
  </si>
  <si>
    <t>'4703001012</t>
  </si>
  <si>
    <t>4703001012</t>
  </si>
  <si>
    <t>ALIMENTACAO DO TRABALHADOR</t>
  </si>
  <si>
    <t>Employee</t>
  </si>
  <si>
    <t>Personnel Costs</t>
  </si>
  <si>
    <t>Benefícios</t>
  </si>
  <si>
    <t>2.1.09.099.036</t>
  </si>
  <si>
    <t>'2109099036</t>
  </si>
  <si>
    <t>2109099036</t>
  </si>
  <si>
    <t>ALPER CONSULTORIA E CORRETORA DE SEGUROS</t>
  </si>
  <si>
    <t>4.7.03.007.001</t>
  </si>
  <si>
    <t>'4703007001</t>
  </si>
  <si>
    <t>4703007001</t>
  </si>
  <si>
    <t>ALUGUEIS</t>
  </si>
  <si>
    <t>Rentals</t>
  </si>
  <si>
    <t>4.7.03.015.004</t>
  </si>
  <si>
    <t>'4703015004</t>
  </si>
  <si>
    <t>4703015004</t>
  </si>
  <si>
    <t>ALUGUEL DE MAQUINAS E EQUIPAMENTOS</t>
  </si>
  <si>
    <t>4.7.03.013.003</t>
  </si>
  <si>
    <t>'4703013003</t>
  </si>
  <si>
    <t>4703013003</t>
  </si>
  <si>
    <t>ALUGUEL DE VEICULOS</t>
  </si>
  <si>
    <t>Viagens</t>
  </si>
  <si>
    <t>4.7.03.009.006</t>
  </si>
  <si>
    <t>'4703009006</t>
  </si>
  <si>
    <t>4703009006</t>
  </si>
  <si>
    <t>AMORTIZACAO ALOC AGIO PAGO EM ACOES</t>
  </si>
  <si>
    <t>M&amp;A Amortization</t>
  </si>
  <si>
    <t>4.7.03.009.005</t>
  </si>
  <si>
    <t>'4703009005</t>
  </si>
  <si>
    <t>4703009005</t>
  </si>
  <si>
    <t>AMORTIZACAO ALOC AGIO PAGO EM DINHEIRO</t>
  </si>
  <si>
    <t>4.7.03.009.007</t>
  </si>
  <si>
    <t>'4703009007</t>
  </si>
  <si>
    <t>4703009007</t>
  </si>
  <si>
    <t>AMORTIZACAO ALOC AGIO PAGO EM DINHEIRO INDEDUTIVEL</t>
  </si>
  <si>
    <t>M&amp;A</t>
  </si>
  <si>
    <t>4.7.03.009.010</t>
  </si>
  <si>
    <t>'4703009010</t>
  </si>
  <si>
    <t>4703009010</t>
  </si>
  <si>
    <t>AMORTIZACAO INTANGIVEL - PROJ INTERNOS</t>
  </si>
  <si>
    <t>D&amp;A</t>
  </si>
  <si>
    <t>4.7.03.009.009</t>
  </si>
  <si>
    <t>'4703009009</t>
  </si>
  <si>
    <t>4703009009</t>
  </si>
  <si>
    <t>AMORTIZACAO INTANGIVEL - SOFTWARE</t>
  </si>
  <si>
    <t>4.7.03.009.004</t>
  </si>
  <si>
    <t>'4703009004</t>
  </si>
  <si>
    <t>4703009004</t>
  </si>
  <si>
    <t>AMORTIZACAO LOC IMOVEIS - NAO DEDUTIVEL</t>
  </si>
  <si>
    <t>4.7.03.009.002</t>
  </si>
  <si>
    <t>'4703009002</t>
  </si>
  <si>
    <t>4703009002</t>
  </si>
  <si>
    <t>AMORTIZACOES INTANGIVEL</t>
  </si>
  <si>
    <t>4.7.03.001.021</t>
  </si>
  <si>
    <t>'4703001021</t>
  </si>
  <si>
    <t>4703001021</t>
  </si>
  <si>
    <t>ANUENIOS</t>
  </si>
  <si>
    <t>4.7.03.003.003</t>
  </si>
  <si>
    <t>'4703003003</t>
  </si>
  <si>
    <t>4703003003</t>
  </si>
  <si>
    <t>ASSESSORIA DE IMPRENSA</t>
  </si>
  <si>
    <t>4.7.03.001.016</t>
  </si>
  <si>
    <t>'4703001016</t>
  </si>
  <si>
    <t>4703001016</t>
  </si>
  <si>
    <t>ASSISTENCIA MEDICA</t>
  </si>
  <si>
    <t>4.7.03.001.027</t>
  </si>
  <si>
    <t>'4703001027</t>
  </si>
  <si>
    <t>4703001027</t>
  </si>
  <si>
    <t>ASSISTENCIA ODONTOLOGICA</t>
  </si>
  <si>
    <t>2.1.09.099.006</t>
  </si>
  <si>
    <t>'2109099006</t>
  </si>
  <si>
    <t>2109099006</t>
  </si>
  <si>
    <t>AT&amp;M ALTA TECNOLOGIA E METODOS LTDA</t>
  </si>
  <si>
    <t>1.2.01.002.042</t>
  </si>
  <si>
    <t>'1201002042</t>
  </si>
  <si>
    <t>1201002042</t>
  </si>
  <si>
    <t>ATSLOG TECNOLOGIA LTDA.</t>
  </si>
  <si>
    <t>2.1.09.099.031</t>
  </si>
  <si>
    <t>'2109099031</t>
  </si>
  <si>
    <t>2109099031</t>
  </si>
  <si>
    <t>2.2.01.012.031</t>
  </si>
  <si>
    <t>'2201012031</t>
  </si>
  <si>
    <t>2201012031</t>
  </si>
  <si>
    <t>ATUA SISTEMAS</t>
  </si>
  <si>
    <t>4.7.10.001.012</t>
  </si>
  <si>
    <t>'4710001012</t>
  </si>
  <si>
    <t>4710001012</t>
  </si>
  <si>
    <t>ATUALIZACAO DE INDEBITOS CREDITO TRIBUTARIO</t>
  </si>
  <si>
    <t>3.1.01.005.001.0003</t>
  </si>
  <si>
    <t>'31010050010003</t>
  </si>
  <si>
    <t>31010050010003</t>
  </si>
  <si>
    <t>BACKGROUND CHECK</t>
  </si>
  <si>
    <t>4.7.11.001.003</t>
  </si>
  <si>
    <t>'4711001003</t>
  </si>
  <si>
    <t>4711001003</t>
  </si>
  <si>
    <t>BAIXA DE ATIVO IMOBILIZADO</t>
  </si>
  <si>
    <t>Others Income and Expense</t>
  </si>
  <si>
    <t>Generals</t>
  </si>
  <si>
    <t>1.1.01.002.001</t>
  </si>
  <si>
    <t>'1101002001</t>
  </si>
  <si>
    <t>1101002001</t>
  </si>
  <si>
    <t>BANCO BRADESCO</t>
  </si>
  <si>
    <t>1.1.01.002.001.0001</t>
  </si>
  <si>
    <t>'11010020010001</t>
  </si>
  <si>
    <t>11010020010001</t>
  </si>
  <si>
    <t>2.1.01.003.014</t>
  </si>
  <si>
    <t>'2101003014</t>
  </si>
  <si>
    <t>2101003014</t>
  </si>
  <si>
    <t>BANCO BRADESCO CP</t>
  </si>
  <si>
    <t>1.1.01.002.005</t>
  </si>
  <si>
    <t>'1101002005</t>
  </si>
  <si>
    <t>1101002005</t>
  </si>
  <si>
    <t>BANCO BTG</t>
  </si>
  <si>
    <t>1.1.01.002.005.0001</t>
  </si>
  <si>
    <t>'11010020050001</t>
  </si>
  <si>
    <t>11010020050001</t>
  </si>
  <si>
    <t>BANCO BTG AG 0001 CC 456573-8</t>
  </si>
  <si>
    <t>2.2.01.001.017</t>
  </si>
  <si>
    <t>'2201001017</t>
  </si>
  <si>
    <t>2201001017</t>
  </si>
  <si>
    <t>BANCO BTG FINEP LP</t>
  </si>
  <si>
    <t>1.1.01.002.007</t>
  </si>
  <si>
    <t>'1101002007</t>
  </si>
  <si>
    <t>1101002007</t>
  </si>
  <si>
    <t>BANCO CAIXA ECONOMICA FEDERAL</t>
  </si>
  <si>
    <t>1.1.01.002.031</t>
  </si>
  <si>
    <t>'1101002031</t>
  </si>
  <si>
    <t>1101002031</t>
  </si>
  <si>
    <t>BANCO CITIBANK</t>
  </si>
  <si>
    <t>1.1.01.003.020</t>
  </si>
  <si>
    <t>'1101003020</t>
  </si>
  <si>
    <t>1101003020</t>
  </si>
  <si>
    <t>2.1.01.003.013</t>
  </si>
  <si>
    <t>'2101003013</t>
  </si>
  <si>
    <t>2101003013</t>
  </si>
  <si>
    <t>BANCO CITIBANK OP4131 PC</t>
  </si>
  <si>
    <t>1.1.01.002.003</t>
  </si>
  <si>
    <t>'1101002003</t>
  </si>
  <si>
    <t>1101002003</t>
  </si>
  <si>
    <t>BANCO DO BRASIL</t>
  </si>
  <si>
    <t>Caixa e equivalentes de caixa</t>
  </si>
  <si>
    <t>1.1.01.003.003</t>
  </si>
  <si>
    <t>'1101003003</t>
  </si>
  <si>
    <t>1101003003</t>
  </si>
  <si>
    <t>1.1.01.002.002</t>
  </si>
  <si>
    <t>'1101002002</t>
  </si>
  <si>
    <t>1101002002</t>
  </si>
  <si>
    <t>BANCO ITAU</t>
  </si>
  <si>
    <t>1.1.01.002.002.0001</t>
  </si>
  <si>
    <t>'11010020020001</t>
  </si>
  <si>
    <t>11010020020001</t>
  </si>
  <si>
    <t>1.1.01.003.002</t>
  </si>
  <si>
    <t>'1101003002</t>
  </si>
  <si>
    <t>1101003002</t>
  </si>
  <si>
    <t>1.1.01.003.002.0001</t>
  </si>
  <si>
    <t>'11010030020001</t>
  </si>
  <si>
    <t>11010030020001</t>
  </si>
  <si>
    <t>1.1.01.003.099</t>
  </si>
  <si>
    <t>'1101003099</t>
  </si>
  <si>
    <t>1101003099</t>
  </si>
  <si>
    <t>1.1.01.003.002.0010</t>
  </si>
  <si>
    <t>'11010030020010</t>
  </si>
  <si>
    <t>11010030020010</t>
  </si>
  <si>
    <t>BANCO ITAÚ - NSTECH FS 36668-8 COMP.</t>
  </si>
  <si>
    <t>1.1.01.003.002.0008</t>
  </si>
  <si>
    <t>'11010030020008</t>
  </si>
  <si>
    <t>11010030020008</t>
  </si>
  <si>
    <t>BANCO ITAÚ - NSTECH GR 35627-5 COMP.</t>
  </si>
  <si>
    <t>1.1.01.003.002.0009</t>
  </si>
  <si>
    <t>'11010030020009</t>
  </si>
  <si>
    <t>11010030020009</t>
  </si>
  <si>
    <t>BANCO ITAÚ - NSTECH MK 37493-0 COMP.</t>
  </si>
  <si>
    <t>1.1.01.003.002.0007</t>
  </si>
  <si>
    <t>'11010030020007</t>
  </si>
  <si>
    <t>11010030020007</t>
  </si>
  <si>
    <t>BANCO ITAÚ - NSTECH SA  35593-9 COMP.</t>
  </si>
  <si>
    <t>1.1.01.003.002.0004</t>
  </si>
  <si>
    <t>'11010030020004</t>
  </si>
  <si>
    <t>11010030020004</t>
  </si>
  <si>
    <t>BANCO ITAU AG 0041 CC 97367-8 COMPROMISS</t>
  </si>
  <si>
    <t>1.1.01.002.002.0007</t>
  </si>
  <si>
    <t>'11010020020007</t>
  </si>
  <si>
    <t>11010020020007</t>
  </si>
  <si>
    <t>BANCO ITAU BPS AG 0440 CC 99247-7</t>
  </si>
  <si>
    <t>1.1.01.002.002.0009</t>
  </si>
  <si>
    <t>'11010020020009</t>
  </si>
  <si>
    <t>11010020020009</t>
  </si>
  <si>
    <t>BANCO ITAU BUONNY 71755 COMPROMISSADA</t>
  </si>
  <si>
    <t>1.1.01.002.002.0006</t>
  </si>
  <si>
    <t>'11010020020006</t>
  </si>
  <si>
    <t>11010020020006</t>
  </si>
  <si>
    <t>BANCO ITAU BUONNY FILIAL SC 8452 - 26390</t>
  </si>
  <si>
    <t>2.1.01.003.015</t>
  </si>
  <si>
    <t>'2101003015</t>
  </si>
  <si>
    <t>2101003015</t>
  </si>
  <si>
    <t>BANCO ITAU FINEP CP</t>
  </si>
  <si>
    <t>2.2.01.001.016</t>
  </si>
  <si>
    <t>'2201001016</t>
  </si>
  <si>
    <t>2201001016</t>
  </si>
  <si>
    <t>BANCO ITAU FINEP LP</t>
  </si>
  <si>
    <t>1.1.01.002.037</t>
  </si>
  <si>
    <t>'1101002037</t>
  </si>
  <si>
    <t>1101002037</t>
  </si>
  <si>
    <t>BANCO ITAU GR INDAIA AG 7660 CC 56239-3</t>
  </si>
  <si>
    <t>1.1.01.003.002.0006</t>
  </si>
  <si>
    <t>'11010030020006</t>
  </si>
  <si>
    <t>11010030020006</t>
  </si>
  <si>
    <t>BANCO ITAU GR INDAIATUBA 56239-3 COMP.</t>
  </si>
  <si>
    <t>1.1.01.002.002.0003</t>
  </si>
  <si>
    <t>'11010020020003</t>
  </si>
  <si>
    <t>11010020020003</t>
  </si>
  <si>
    <t>BANCO ITAU IAMTECH AG 0041 CC 97367-8</t>
  </si>
  <si>
    <t>2.1.01.003.012</t>
  </si>
  <si>
    <t>'2101003012</t>
  </si>
  <si>
    <t>2101003012</t>
  </si>
  <si>
    <t>BANCO ITAU OP. 4131-CP</t>
  </si>
  <si>
    <t>1.1.01.002.004</t>
  </si>
  <si>
    <t>'1101002004</t>
  </si>
  <si>
    <t>1101002004</t>
  </si>
  <si>
    <t>BANCO SANTANDER</t>
  </si>
  <si>
    <t>1.1.01.002.004.0002</t>
  </si>
  <si>
    <t>'11010020040002</t>
  </si>
  <si>
    <t>11010020040002</t>
  </si>
  <si>
    <t>BANCO SANTANDER BPS AG 2146 CC 13001849</t>
  </si>
  <si>
    <t>1.1.01.003.004.0003</t>
  </si>
  <si>
    <t>'11010030040003</t>
  </si>
  <si>
    <t>11010030040003</t>
  </si>
  <si>
    <t>BANCO SANTANDER BPS AG 2146 CC 130018499</t>
  </si>
  <si>
    <t>1.1.01.002.012</t>
  </si>
  <si>
    <t>'1101002012</t>
  </si>
  <si>
    <t>1101002012</t>
  </si>
  <si>
    <t>BANCO SICOOB</t>
  </si>
  <si>
    <t>1.1.01.002.011</t>
  </si>
  <si>
    <t>'1101002011</t>
  </si>
  <si>
    <t>1101002011</t>
  </si>
  <si>
    <t>BANCO SICREDI</t>
  </si>
  <si>
    <t>1.1.01.003.006</t>
  </si>
  <si>
    <t>'1101003006</t>
  </si>
  <si>
    <t>1101003006</t>
  </si>
  <si>
    <t>BANCO XP INVESTIMENTOS</t>
  </si>
  <si>
    <t>1.2.05.003.001</t>
  </si>
  <si>
    <t>'1205003001</t>
  </si>
  <si>
    <t>1205003001</t>
  </si>
  <si>
    <t>BENFEITORIAS EM IMOVEIS DE TERCEIROS</t>
  </si>
  <si>
    <t>Capex</t>
  </si>
  <si>
    <t>Benfeitorias e outros</t>
  </si>
  <si>
    <t>4.7.03.015.005</t>
  </si>
  <si>
    <t>'4703015005</t>
  </si>
  <si>
    <t>4703015005</t>
  </si>
  <si>
    <t>BENS DE PEQUENO VALOR</t>
  </si>
  <si>
    <t>2.2.01.012.014</t>
  </si>
  <si>
    <t>'2201012014</t>
  </si>
  <si>
    <t>2201012014</t>
  </si>
  <si>
    <t>BGM</t>
  </si>
  <si>
    <t>1.2.01.002.014</t>
  </si>
  <si>
    <t>'1201002014</t>
  </si>
  <si>
    <t>1201002014</t>
  </si>
  <si>
    <t>BGMRODOTEC TECNOLOGIA E INFORMÁTICA S.A.</t>
  </si>
  <si>
    <t>1.2.01.003.003.0099</t>
  </si>
  <si>
    <t>'12010030030099</t>
  </si>
  <si>
    <t>12010030030099</t>
  </si>
  <si>
    <t>BLOQUEIO JUDICIAL</t>
  </si>
  <si>
    <t>4.7.03.001.028</t>
  </si>
  <si>
    <t>'4703001028</t>
  </si>
  <si>
    <t>4703001028</t>
  </si>
  <si>
    <t>BOLSA AUXILIO</t>
  </si>
  <si>
    <t>Salários+Encargos</t>
  </si>
  <si>
    <t>4.7.03.001.013</t>
  </si>
  <si>
    <t>'4703001013</t>
  </si>
  <si>
    <t>4703001013</t>
  </si>
  <si>
    <t>BONUS</t>
  </si>
  <si>
    <t>Bônus e premiações</t>
  </si>
  <si>
    <t>2.1.07.001.006</t>
  </si>
  <si>
    <t>'2107001006</t>
  </si>
  <si>
    <t>2107001006</t>
  </si>
  <si>
    <t>BONUS A PAGAR</t>
  </si>
  <si>
    <t>Bônus a pagar</t>
  </si>
  <si>
    <t>3.1.01.006.003</t>
  </si>
  <si>
    <t>'3101006003</t>
  </si>
  <si>
    <t>3101006003</t>
  </si>
  <si>
    <t>BPO + SOFTWARE</t>
  </si>
  <si>
    <t>1.2.01.002.004</t>
  </si>
  <si>
    <t>'1201002004</t>
  </si>
  <si>
    <t>1201002004</t>
  </si>
  <si>
    <t>BPS TECNOLOGIA DE SEGURANCA LTDA.</t>
  </si>
  <si>
    <t>1.2.01.002.010</t>
  </si>
  <si>
    <t>'1201002010</t>
  </si>
  <si>
    <t>1201002010</t>
  </si>
  <si>
    <t>BRASIL RISK GERENCIAMENTO DE RISCOS LTDA</t>
  </si>
  <si>
    <t>2.2.01.012.010</t>
  </si>
  <si>
    <t>'2201012010</t>
  </si>
  <si>
    <t>2201012010</t>
  </si>
  <si>
    <t>2.1.01.003.006</t>
  </si>
  <si>
    <t>'2101003006</t>
  </si>
  <si>
    <t>2101003006</t>
  </si>
  <si>
    <t>BRDE- BANCO REG DE DESENV. EXTREMO SUL</t>
  </si>
  <si>
    <t>4.7.03.015.003</t>
  </si>
  <si>
    <t>'4703015003</t>
  </si>
  <si>
    <t>4703015003</t>
  </si>
  <si>
    <t>BRINDES E DOACOES</t>
  </si>
  <si>
    <t>Gifts and Commissions</t>
  </si>
  <si>
    <t>4.7.03.001.017</t>
  </si>
  <si>
    <t>'4703001017</t>
  </si>
  <si>
    <t>BRINDES PARA COLABORADORES</t>
  </si>
  <si>
    <t>Eventos Internos / Endomarketing</t>
  </si>
  <si>
    <t>1.2.01.002.016</t>
  </si>
  <si>
    <t>'1201002016</t>
  </si>
  <si>
    <t>1201002016</t>
  </si>
  <si>
    <t>BSOFT</t>
  </si>
  <si>
    <t>BU Allocation</t>
  </si>
  <si>
    <t>'BU Allocation</t>
  </si>
  <si>
    <t>1.2.01.002.012</t>
  </si>
  <si>
    <t>'1201002012</t>
  </si>
  <si>
    <t>1201002012</t>
  </si>
  <si>
    <t>BUONNY</t>
  </si>
  <si>
    <t>2.2.01.012.012</t>
  </si>
  <si>
    <t>'2201012012</t>
  </si>
  <si>
    <t>2201012012</t>
  </si>
  <si>
    <t>BUONNY PROJETOS E SERVICOS DE RISCOS SEC</t>
  </si>
  <si>
    <t>2.1.07.005.001</t>
  </si>
  <si>
    <t>'2107005001</t>
  </si>
  <si>
    <t>2107005001</t>
  </si>
  <si>
    <t>c</t>
  </si>
  <si>
    <t>Salarios e encargos a pagar</t>
  </si>
  <si>
    <t>4.7.03.003.005</t>
  </si>
  <si>
    <t>'4703003005</t>
  </si>
  <si>
    <t>4703003005</t>
  </si>
  <si>
    <t>CAMPANHAS PROMOCIONAIS</t>
  </si>
  <si>
    <t>1.2.07.001.003.0004</t>
  </si>
  <si>
    <t>'12070010030004</t>
  </si>
  <si>
    <t>12070010030004</t>
  </si>
  <si>
    <t>CARTEIRA CLIENTES - ALOC. AGIO BPS</t>
  </si>
  <si>
    <t>1.2.07.001.003.9999</t>
  </si>
  <si>
    <t>'12070010039999</t>
  </si>
  <si>
    <t>12070010039999</t>
  </si>
  <si>
    <t>CARTEIRA DE CLIENTES</t>
  </si>
  <si>
    <t>1.1.04.024.003</t>
  </si>
  <si>
    <t>'1104024003</t>
  </si>
  <si>
    <t>1104024003</t>
  </si>
  <si>
    <t>CBS ATIVA</t>
  </si>
  <si>
    <t>2.1.05.005.003</t>
  </si>
  <si>
    <t>'2105005003</t>
  </si>
  <si>
    <t>2105005003</t>
  </si>
  <si>
    <t>CBS PASSIVA</t>
  </si>
  <si>
    <t>3.1.01.005.008</t>
  </si>
  <si>
    <t>'3101005008</t>
  </si>
  <si>
    <t>3101005008</t>
  </si>
  <si>
    <t>CFTV</t>
  </si>
  <si>
    <t>1.1.01.002.030</t>
  </si>
  <si>
    <t>'1101002030</t>
  </si>
  <si>
    <t>1101002030</t>
  </si>
  <si>
    <t>CIELO</t>
  </si>
  <si>
    <t>1.1.02.001.001</t>
  </si>
  <si>
    <t>'1102001001</t>
  </si>
  <si>
    <t>1102001001</t>
  </si>
  <si>
    <t>CLIENTES DIVERSOS</t>
  </si>
  <si>
    <t>1.1.02.001.001.0002</t>
  </si>
  <si>
    <t>'11020010010002</t>
  </si>
  <si>
    <t>11020010010002</t>
  </si>
  <si>
    <t>3.1.01.006.005</t>
  </si>
  <si>
    <t>'3101006005</t>
  </si>
  <si>
    <t>3101006005</t>
  </si>
  <si>
    <t>CLOUD / INFRA DE TECNOLOGIA</t>
  </si>
  <si>
    <t>3.1.01.006.005.0003</t>
  </si>
  <si>
    <t>'31010060050003</t>
  </si>
  <si>
    <t>31010060050003</t>
  </si>
  <si>
    <t>1.1.04.021.003</t>
  </si>
  <si>
    <t>'1104021003</t>
  </si>
  <si>
    <t>1104021003</t>
  </si>
  <si>
    <t>COFINS A COMPENSAR</t>
  </si>
  <si>
    <t>2.1.05.001.001</t>
  </si>
  <si>
    <t>'2105001001</t>
  </si>
  <si>
    <t>2105001001</t>
  </si>
  <si>
    <t>COFINS A RECOLHER</t>
  </si>
  <si>
    <t>Tributos a pagar</t>
  </si>
  <si>
    <t>1.1.04.023.004</t>
  </si>
  <si>
    <t>'1104023004</t>
  </si>
  <si>
    <t>1104023004</t>
  </si>
  <si>
    <t>COFINS A RECUPERAR</t>
  </si>
  <si>
    <t>4703011008</t>
  </si>
  <si>
    <t>'4703011008</t>
  </si>
  <si>
    <t>COMBUSTIVEIS - GERADOR</t>
  </si>
  <si>
    <t>4.7.03.013.001</t>
  </si>
  <si>
    <t>'4703013001</t>
  </si>
  <si>
    <t>4703013001</t>
  </si>
  <si>
    <t>COMBUSTIVEIS E LUBRIFICANTES</t>
  </si>
  <si>
    <t>4.7.03.001.014</t>
  </si>
  <si>
    <t>'4703001014</t>
  </si>
  <si>
    <t>4703001014</t>
  </si>
  <si>
    <t>COMISSOES</t>
  </si>
  <si>
    <t>2.1.07.001.007</t>
  </si>
  <si>
    <t>'2107001007</t>
  </si>
  <si>
    <t>2107001007</t>
  </si>
  <si>
    <t>COMISSOES A PAGAR</t>
  </si>
  <si>
    <t>4.7.03.002.007</t>
  </si>
  <si>
    <t>'4703002007</t>
  </si>
  <si>
    <t>4703002007</t>
  </si>
  <si>
    <t>COMISSOES E CORRETAGENS</t>
  </si>
  <si>
    <t>Custo Variável</t>
  </si>
  <si>
    <t>4.7.02.001.098</t>
  </si>
  <si>
    <t>'4702001098</t>
  </si>
  <si>
    <t>4702001098</t>
  </si>
  <si>
    <t>COMPARTILHAMENTO DE COMUNICACAO COM PROVEDORES DE TECNOLOGIA</t>
  </si>
  <si>
    <t>Softwares</t>
  </si>
  <si>
    <t>Compartilhamento</t>
  </si>
  <si>
    <t>4.7.09.001.099</t>
  </si>
  <si>
    <t>'4709001099</t>
  </si>
  <si>
    <t>4709001099</t>
  </si>
  <si>
    <t>COMPARTILHAMENTO DE CONTRIBUICOES, IMPOS</t>
  </si>
  <si>
    <t>Holding - Cost Sharing</t>
  </si>
  <si>
    <t>4.7.09.001.098</t>
  </si>
  <si>
    <t>'4709001098</t>
  </si>
  <si>
    <t>4709001098</t>
  </si>
  <si>
    <t>4.7.03.009.099</t>
  </si>
  <si>
    <t>'4703009099</t>
  </si>
  <si>
    <t>4703009099</t>
  </si>
  <si>
    <t>COMPARTILHAMENTO DE DEPRECIACOES E AMORT</t>
  </si>
  <si>
    <t>4.7.03.002.098</t>
  </si>
  <si>
    <t>'4703002098</t>
  </si>
  <si>
    <t>4703002098</t>
  </si>
  <si>
    <t>COMPARTILHAMENTO DE DESPESA</t>
  </si>
  <si>
    <t>4.7.03.002.099</t>
  </si>
  <si>
    <t>'4703002099</t>
  </si>
  <si>
    <t>4703002099</t>
  </si>
  <si>
    <t>COMPARTILHAMENTO DE DESPESAS</t>
  </si>
  <si>
    <t>4.7.03.003.099</t>
  </si>
  <si>
    <t>'4703003099</t>
  </si>
  <si>
    <t>4703003099</t>
  </si>
  <si>
    <t>4.7.03.004.099</t>
  </si>
  <si>
    <t>'4703004099</t>
  </si>
  <si>
    <t>4703004099</t>
  </si>
  <si>
    <t>4.7.03.005.099</t>
  </si>
  <si>
    <t>'4703005099</t>
  </si>
  <si>
    <t>4703005099</t>
  </si>
  <si>
    <t>4.7.03.015.099</t>
  </si>
  <si>
    <t>'4703015099</t>
  </si>
  <si>
    <t>4703015099</t>
  </si>
  <si>
    <t>4.7.03.005.098</t>
  </si>
  <si>
    <t>'4703005098</t>
  </si>
  <si>
    <t>4703005098</t>
  </si>
  <si>
    <t>4.7.03.015.098</t>
  </si>
  <si>
    <t>'4703015098</t>
  </si>
  <si>
    <t>4703015098</t>
  </si>
  <si>
    <t>4.7.03.001.098</t>
  </si>
  <si>
    <t>'4703001098</t>
  </si>
  <si>
    <t>4703001098</t>
  </si>
  <si>
    <t>COMPARTILHAMENTO DE DESPESAS - GASTO PESSOAL (Credora)</t>
  </si>
  <si>
    <t>4.7.03.003.098</t>
  </si>
  <si>
    <t>'4703003098</t>
  </si>
  <si>
    <t>4703003098</t>
  </si>
  <si>
    <t>COMPARTILHAMENTO DE DESPESAS - MARKETING (Credora)</t>
  </si>
  <si>
    <t>4.7.03.004.098</t>
  </si>
  <si>
    <t>'4703004098</t>
  </si>
  <si>
    <t>4703004098</t>
  </si>
  <si>
    <t>COMPARTILHAMENTO DE DESPESAS - TECNOLOGIA (Credora)</t>
  </si>
  <si>
    <t>Telecomunication / Technology expenses</t>
  </si>
  <si>
    <t>4.7.03.001.099</t>
  </si>
  <si>
    <t>'4703001099</t>
  </si>
  <si>
    <t>4703001099</t>
  </si>
  <si>
    <t>COMPARTILHAMENTO DE DESPESAS COM PESSOAL</t>
  </si>
  <si>
    <t>4.7.02.001.099</t>
  </si>
  <si>
    <t>'4702001099</t>
  </si>
  <si>
    <t>4702001099</t>
  </si>
  <si>
    <t>COMPARTILHAMENTO DE DESPESAS COM PROVEDOR</t>
  </si>
  <si>
    <t>4.7.03.013.099</t>
  </si>
  <si>
    <t>'4703013099</t>
  </si>
  <si>
    <t>4703013099</t>
  </si>
  <si>
    <t>COMPARTILHAMENTO DE DESPESAS COM VEICULO</t>
  </si>
  <si>
    <t>4.7.03.013.098</t>
  </si>
  <si>
    <t>'4703013098</t>
  </si>
  <si>
    <t>4703013098</t>
  </si>
  <si>
    <t>4.7.03.007.099</t>
  </si>
  <si>
    <t>'4703007099</t>
  </si>
  <si>
    <t>4703007099</t>
  </si>
  <si>
    <t>COMPARTILHAMENTO DE DESPESAS EM LOCACOES</t>
  </si>
  <si>
    <t>4.7.03.007.098</t>
  </si>
  <si>
    <t>'4703007098</t>
  </si>
  <si>
    <t>4703007098</t>
  </si>
  <si>
    <t>4.7.03.011.099</t>
  </si>
  <si>
    <t>'4703011099</t>
  </si>
  <si>
    <t>4703011099</t>
  </si>
  <si>
    <t>COMPARTILHAMENTO DE UTILIDADES E SERVICO</t>
  </si>
  <si>
    <t>4.7.03.011.098</t>
  </si>
  <si>
    <t>'4703011098</t>
  </si>
  <si>
    <t>4703011098</t>
  </si>
  <si>
    <t>4.7.02.001.001</t>
  </si>
  <si>
    <t>'4702001001</t>
  </si>
  <si>
    <t>4702001001</t>
  </si>
  <si>
    <t>COMUNICACAO AUTOTRAC</t>
  </si>
  <si>
    <t>Telecommunication</t>
  </si>
  <si>
    <t>4.7.02.001.002</t>
  </si>
  <si>
    <t>'4702001002</t>
  </si>
  <si>
    <t>4702001002</t>
  </si>
  <si>
    <t>COMUNICACAO SASCAR</t>
  </si>
  <si>
    <t>4.7.03.007.007</t>
  </si>
  <si>
    <t>'4703007007</t>
  </si>
  <si>
    <t>4703007007</t>
  </si>
  <si>
    <t>CONDOMINIOS</t>
  </si>
  <si>
    <t>1.1.01.002.019</t>
  </si>
  <si>
    <t>'1101002019</t>
  </si>
  <si>
    <t>1101002019</t>
  </si>
  <si>
    <t>CONTA DIGITAL ASAAS</t>
  </si>
  <si>
    <t>1.1.01.002.020</t>
  </si>
  <si>
    <t>'1101002020</t>
  </si>
  <si>
    <t>1101002020</t>
  </si>
  <si>
    <t>CONTA DIGITAL SUPERLOGICA</t>
  </si>
  <si>
    <t>5.1.01.001.003.0005</t>
  </si>
  <si>
    <t>'51010010030005</t>
  </si>
  <si>
    <t>51010010030005</t>
  </si>
  <si>
    <t>CONTRIB SOCIAL DIF AGIO RENTABILIDADE FU</t>
  </si>
  <si>
    <t>Deferred Tax</t>
  </si>
  <si>
    <t>IR/CSLL</t>
  </si>
  <si>
    <t>5.1.01.001.089</t>
  </si>
  <si>
    <t>'5101001089</t>
  </si>
  <si>
    <t>5101001089</t>
  </si>
  <si>
    <t>CONTRIB SOCIAL DIF AGIO RENTABILIDADE FUTURA</t>
  </si>
  <si>
    <t>5.1.01.001.003.0003</t>
  </si>
  <si>
    <t>'51010010030003</t>
  </si>
  <si>
    <t>51010010030003</t>
  </si>
  <si>
    <t>CONTRIB SOCIAL DIF AMT AGIO (NAO DEDUT)</t>
  </si>
  <si>
    <t>5.1.01.001.003.0007</t>
  </si>
  <si>
    <t>'51010010030007</t>
  </si>
  <si>
    <t>51010010030007</t>
  </si>
  <si>
    <t>CONTRIB SOCIAL DIF AVP</t>
  </si>
  <si>
    <t>5.1.01.001.003.0004</t>
  </si>
  <si>
    <t>'51010010030004</t>
  </si>
  <si>
    <t>51010010030004</t>
  </si>
  <si>
    <t>CONTRIB SOCIAL DIF PROVISOES</t>
  </si>
  <si>
    <t>5.1.01.001.092</t>
  </si>
  <si>
    <t>'5101001092</t>
  </si>
  <si>
    <t>5101001092</t>
  </si>
  <si>
    <t>CONTRIB SOCIAL DIF PROVISÕES</t>
  </si>
  <si>
    <t>5.1.01.001.090</t>
  </si>
  <si>
    <t>'5101001090</t>
  </si>
  <si>
    <t>5101001090</t>
  </si>
  <si>
    <t>5.1.01.001.105</t>
  </si>
  <si>
    <t>'5101001105</t>
  </si>
  <si>
    <t>5101001105</t>
  </si>
  <si>
    <t>5.1.01.001.101</t>
  </si>
  <si>
    <t>'5101001101</t>
  </si>
  <si>
    <t>5101001101</t>
  </si>
  <si>
    <t>5.1.01.001.095</t>
  </si>
  <si>
    <t>'5101001095</t>
  </si>
  <si>
    <t>5101001095</t>
  </si>
  <si>
    <t>5.1.01.001.107</t>
  </si>
  <si>
    <t>'5101001107</t>
  </si>
  <si>
    <t>5101001107</t>
  </si>
  <si>
    <t>5.1.01.001.111</t>
  </si>
  <si>
    <t>'5101001111</t>
  </si>
  <si>
    <t>5101001111</t>
  </si>
  <si>
    <t>2.1.07.003.006</t>
  </si>
  <si>
    <t>'2107003006</t>
  </si>
  <si>
    <t>2107003006</t>
  </si>
  <si>
    <t>CONTRIBUICAO ASSISTENCIAL</t>
  </si>
  <si>
    <t>2.1.07.003.004</t>
  </si>
  <si>
    <t>'2107003004</t>
  </si>
  <si>
    <t>2107003004</t>
  </si>
  <si>
    <t>CONTRIBUICAO PREVIDENCIARIA A RECOLHER</t>
  </si>
  <si>
    <t>2.1.07.003.003</t>
  </si>
  <si>
    <t>'2107003003</t>
  </si>
  <si>
    <t>2107003003</t>
  </si>
  <si>
    <t>CONTRIBUICAO SINDICAL A RECOLHER</t>
  </si>
  <si>
    <t>5.1.01.001.001</t>
  </si>
  <si>
    <t>'5101001001</t>
  </si>
  <si>
    <t>5101001001</t>
  </si>
  <si>
    <t>CONTRIBUICAO SOCIAL CORRENTE</t>
  </si>
  <si>
    <t>Income Tax</t>
  </si>
  <si>
    <t>5.1.01.001.098</t>
  </si>
  <si>
    <t>'5101001098</t>
  </si>
  <si>
    <t>5101001098</t>
  </si>
  <si>
    <t>CONTRIBUICAO SOCIAL DIF AMT AGIO ACOES</t>
  </si>
  <si>
    <t>51010010030002</t>
  </si>
  <si>
    <t>'51010010030002</t>
  </si>
  <si>
    <t>5.1.01.001.108</t>
  </si>
  <si>
    <t>'5101001108</t>
  </si>
  <si>
    <t>5101001108</t>
  </si>
  <si>
    <t>5.1.01.001.003.0002</t>
  </si>
  <si>
    <t>5.1.01.001.099</t>
  </si>
  <si>
    <t>'5101001099</t>
  </si>
  <si>
    <t>5101001099</t>
  </si>
  <si>
    <t>CONTRIBUICAO SOCIAL DIF AMT AGIO CASH</t>
  </si>
  <si>
    <t>5.1.01.001.003.0001</t>
  </si>
  <si>
    <t>'51010010030001</t>
  </si>
  <si>
    <t>51010010030001</t>
  </si>
  <si>
    <t>5.1.01.001.003</t>
  </si>
  <si>
    <t>'5101001003</t>
  </si>
  <si>
    <t>5101001003</t>
  </si>
  <si>
    <t>CONTRIBUICAO SOCIAL DIFERIDA</t>
  </si>
  <si>
    <t>2.1.09.004.001</t>
  </si>
  <si>
    <t>'2109004001</t>
  </si>
  <si>
    <t>2109004001</t>
  </si>
  <si>
    <t>2.2.01.014.005</t>
  </si>
  <si>
    <t>'2201014005</t>
  </si>
  <si>
    <t>2201014005</t>
  </si>
  <si>
    <t>CONTRIBUICAO SOCIAL DIFERIDA AGIO RENT. FUTURA</t>
  </si>
  <si>
    <t>2.1.05.003.001</t>
  </si>
  <si>
    <t>'2105003001</t>
  </si>
  <si>
    <t>2105003001</t>
  </si>
  <si>
    <t>CONTRIBUICOES RETIDAS A RECOLHER</t>
  </si>
  <si>
    <t>4.7.03.011.004</t>
  </si>
  <si>
    <t>'4703011004</t>
  </si>
  <si>
    <t>4703011004</t>
  </si>
  <si>
    <t>CORREIOS</t>
  </si>
  <si>
    <t>1.1.04.021.005</t>
  </si>
  <si>
    <t>'1104021005</t>
  </si>
  <si>
    <t>1104021005</t>
  </si>
  <si>
    <t>CSLL A COMPENSAR</t>
  </si>
  <si>
    <t>Tributos a recuperar</t>
  </si>
  <si>
    <t>2.1.05.001.007</t>
  </si>
  <si>
    <t>'2105001007</t>
  </si>
  <si>
    <t>2105001007</t>
  </si>
  <si>
    <t>CSLL A RECOLHER</t>
  </si>
  <si>
    <t>Imposto de Renda e Contribuição Social a pagar</t>
  </si>
  <si>
    <t>1.1.04.023.002</t>
  </si>
  <si>
    <t>'1104023002</t>
  </si>
  <si>
    <t>1104023002</t>
  </si>
  <si>
    <t>CSLL A RECUPERAR</t>
  </si>
  <si>
    <t>1.2.02.001.002</t>
  </si>
  <si>
    <t>'1202001002</t>
  </si>
  <si>
    <t>1202001002</t>
  </si>
  <si>
    <t>CSLL DIFERIDO</t>
  </si>
  <si>
    <t>4.7.03.015.009</t>
  </si>
  <si>
    <t>'4703015009</t>
  </si>
  <si>
    <t>4703015009</t>
  </si>
  <si>
    <t>CUSTAS PROCESSUAIS</t>
  </si>
  <si>
    <t>4.7.02.001.005</t>
  </si>
  <si>
    <t>'4702001005</t>
  </si>
  <si>
    <t>4702001005</t>
  </si>
  <si>
    <t>CUSTO FORNECEDOR CADASTRO</t>
  </si>
  <si>
    <t>3.1.01.007.003.0003</t>
  </si>
  <si>
    <t>'31010070030003</t>
  </si>
  <si>
    <t>31010070030003</t>
  </si>
  <si>
    <t>CUSTOMIZACAO</t>
  </si>
  <si>
    <t>3.1.01.007.003</t>
  </si>
  <si>
    <t>'3101007003</t>
  </si>
  <si>
    <t>3101007003</t>
  </si>
  <si>
    <t>4.7.01.001.001</t>
  </si>
  <si>
    <t>'4701001001</t>
  </si>
  <si>
    <t>4701001001</t>
  </si>
  <si>
    <t>CUSTOS DOS PRODUTOS VENDIDOS</t>
  </si>
  <si>
    <t>1.2.01.002.038</t>
  </si>
  <si>
    <t>'1201002038</t>
  </si>
  <si>
    <t>1201002038</t>
  </si>
  <si>
    <t>DATAMEX</t>
  </si>
  <si>
    <t>4.7.03.001.003</t>
  </si>
  <si>
    <t>'4703001003</t>
  </si>
  <si>
    <t>4703001003</t>
  </si>
  <si>
    <t>DECIMO TERCEIRO SALARIO</t>
  </si>
  <si>
    <t>4.7.03.009.001</t>
  </si>
  <si>
    <t>'4703009001</t>
  </si>
  <si>
    <t>4703009001</t>
  </si>
  <si>
    <t>DEPRECIACOES</t>
  </si>
  <si>
    <t>4.7.03.009.003</t>
  </si>
  <si>
    <t>'4703009003</t>
  </si>
  <si>
    <t>4703009003</t>
  </si>
  <si>
    <t>DEPRECIACOES LEASING - NAO DEDUTIVEL</t>
  </si>
  <si>
    <t>4.7.10.002.001</t>
  </si>
  <si>
    <t>'4710002001</t>
  </si>
  <si>
    <t>4710002001</t>
  </si>
  <si>
    <t>DESCONTOS CONCEDIDOS</t>
  </si>
  <si>
    <t>4.7.10.001.001</t>
  </si>
  <si>
    <t>'4710001001</t>
  </si>
  <si>
    <t>4710001001</t>
  </si>
  <si>
    <t>DESCONTOS OBTIDOS</t>
  </si>
  <si>
    <t>4711001006</t>
  </si>
  <si>
    <t>'4711001006</t>
  </si>
  <si>
    <t>DESMOBILIZACAO</t>
  </si>
  <si>
    <t>4.7.10.002.009</t>
  </si>
  <si>
    <t>'4710002009</t>
  </si>
  <si>
    <t>4710002009</t>
  </si>
  <si>
    <t>DESPESA FINANCEIRA – AQUISICOES</t>
  </si>
  <si>
    <t>4.7.10.002.014</t>
  </si>
  <si>
    <t>'4710002014</t>
  </si>
  <si>
    <t>4710002014</t>
  </si>
  <si>
    <t>DESPESA FINANCEIRA COM A.V.P</t>
  </si>
  <si>
    <t>4.7.10.002.002</t>
  </si>
  <si>
    <t>'4710002002</t>
  </si>
  <si>
    <t>4710002002</t>
  </si>
  <si>
    <t>DESPESAS BANCARIAS DIVERSAS</t>
  </si>
  <si>
    <t>4.7.03.015.021</t>
  </si>
  <si>
    <t>'4703015021</t>
  </si>
  <si>
    <t>4703015021</t>
  </si>
  <si>
    <t>DESPESAS COM ACOES TRABALHISTAS/JUDICIAIS</t>
  </si>
  <si>
    <t>4.7.03.015.007</t>
  </si>
  <si>
    <t>'4703015007</t>
  </si>
  <si>
    <t>4703015007</t>
  </si>
  <si>
    <t>DESPESAS COM CARTORIO</t>
  </si>
  <si>
    <t>4.7.10.002.011</t>
  </si>
  <si>
    <t>'4710002011</t>
  </si>
  <si>
    <t>4710002011</t>
  </si>
  <si>
    <t>DESPESAS COM FIANCA</t>
  </si>
  <si>
    <t>4.7.11.001.009</t>
  </si>
  <si>
    <t>'4711001009</t>
  </si>
  <si>
    <t>4711001009</t>
  </si>
  <si>
    <t>DESPESAS COM MULTAS CONTRATUAIS</t>
  </si>
  <si>
    <t>4.7.11.001.012</t>
  </si>
  <si>
    <t>'4711001012</t>
  </si>
  <si>
    <t>4711001012</t>
  </si>
  <si>
    <t>DESPESAS COM OBSOLESCENCIA DE ESTOQUES</t>
  </si>
  <si>
    <t>4.7.03.017.001</t>
  </si>
  <si>
    <t>'4703017001</t>
  </si>
  <si>
    <t>4703017001</t>
  </si>
  <si>
    <t>DESPESAS COM PECLD</t>
  </si>
  <si>
    <t>Bad Debts Provision</t>
  </si>
  <si>
    <t>PCLD</t>
  </si>
  <si>
    <t>4703015013</t>
  </si>
  <si>
    <t>'4703015013</t>
  </si>
  <si>
    <t>DESPESAS COM PROCESSOS JUDICIAIS</t>
  </si>
  <si>
    <t>Third Party Services</t>
  </si>
  <si>
    <t>4.7.03.015.013</t>
  </si>
  <si>
    <t>4.7.03.015.008</t>
  </si>
  <si>
    <t>'4703015008</t>
  </si>
  <si>
    <t>4703015008</t>
  </si>
  <si>
    <t>DESPESAS DIVERSAS</t>
  </si>
  <si>
    <t>4.7.08.001.001</t>
  </si>
  <si>
    <t>'4708001001</t>
  </si>
  <si>
    <t>4708001001</t>
  </si>
  <si>
    <t>DESPESAS INDEDUTIVEIS</t>
  </si>
  <si>
    <t>1.2.01.002.043</t>
  </si>
  <si>
    <t>'1201002043</t>
  </si>
  <si>
    <t>1201002043</t>
  </si>
  <si>
    <t>DIGITALCOMM SOLUCOES EM SISTEMAS DE INFO</t>
  </si>
  <si>
    <t>2.1.09.003.001</t>
  </si>
  <si>
    <t>'2109003001</t>
  </si>
  <si>
    <t>2109003001</t>
  </si>
  <si>
    <t>DIVIDENDOS A PAGAR</t>
  </si>
  <si>
    <t>2.1.09.003.006</t>
  </si>
  <si>
    <t>'2109003006</t>
  </si>
  <si>
    <t>2109003006</t>
  </si>
  <si>
    <t>DIVIDENDOS RECEBIDOS ANTECIPADOS</t>
  </si>
  <si>
    <t>1.2.05.003.009</t>
  </si>
  <si>
    <t>'1205003009</t>
  </si>
  <si>
    <t>1205003009</t>
  </si>
  <si>
    <t>EDIFICACOES</t>
  </si>
  <si>
    <t>1.2.01.002.017</t>
  </si>
  <si>
    <t>'1201002017</t>
  </si>
  <si>
    <t>1201002017</t>
  </si>
  <si>
    <t>E-FRETE</t>
  </si>
  <si>
    <t>4.7.03.002.097</t>
  </si>
  <si>
    <t>'4703002097</t>
  </si>
  <si>
    <t>4703002097</t>
  </si>
  <si>
    <t>ELIMINACAO DESPESAS INTERCOMPANY</t>
  </si>
  <si>
    <t>Intercompany</t>
  </si>
  <si>
    <t>3.1.01.007.006.0004</t>
  </si>
  <si>
    <t>'31010070060004</t>
  </si>
  <si>
    <t>31010070060004</t>
  </si>
  <si>
    <t>ELIMINACAO RECEITA INTERCOMPANY</t>
  </si>
  <si>
    <t>3.1.01.007.099</t>
  </si>
  <si>
    <t>'3101007099</t>
  </si>
  <si>
    <t>3101007099</t>
  </si>
  <si>
    <t>2.1.07.001.005</t>
  </si>
  <si>
    <t>'2107001005</t>
  </si>
  <si>
    <t>2107001005</t>
  </si>
  <si>
    <t>EMPRESTIMO CONSIGNADO</t>
  </si>
  <si>
    <t>4.7.10.002.010</t>
  </si>
  <si>
    <t>'4710002010</t>
  </si>
  <si>
    <t>4710002010</t>
  </si>
  <si>
    <t>ENCARGOS S/ ARREND MERCANTIL - NAO DEDUT</t>
  </si>
  <si>
    <t>4.7.10.002.003</t>
  </si>
  <si>
    <t>'4710002003</t>
  </si>
  <si>
    <t>4710002003</t>
  </si>
  <si>
    <t>ENCARGOS SOBRE EMPRESTIMOS E FINANCIAMEN</t>
  </si>
  <si>
    <t>4.7.03.011.002</t>
  </si>
  <si>
    <t>'4703011002</t>
  </si>
  <si>
    <t>4703011002</t>
  </si>
  <si>
    <t>ENERGIA ELETRICA</t>
  </si>
  <si>
    <t>4.7.03.015.006</t>
  </si>
  <si>
    <t>'4703015006</t>
  </si>
  <si>
    <t>4703015006</t>
  </si>
  <si>
    <t>ENTIDADES E ASSOCIACOES</t>
  </si>
  <si>
    <t>1.2.05.003.002</t>
  </si>
  <si>
    <t>'1205003002</t>
  </si>
  <si>
    <t>1205003002</t>
  </si>
  <si>
    <t>EQUIPAMENTOS DE INFORMATICA</t>
  </si>
  <si>
    <t>Equipamentos</t>
  </si>
  <si>
    <t>4.7.11.001.005</t>
  </si>
  <si>
    <t>'4711001005</t>
  </si>
  <si>
    <t>4711001005</t>
  </si>
  <si>
    <t>EQUIVALENCIA PATRIMONIAL NEGATIVA</t>
  </si>
  <si>
    <t>Equivalencia Patrimonial</t>
  </si>
  <si>
    <t>Equivalência Patrimonial</t>
  </si>
  <si>
    <t>4.7.11.001.004</t>
  </si>
  <si>
    <t>'4711001004</t>
  </si>
  <si>
    <t>4711001004</t>
  </si>
  <si>
    <t>EQUIVALENCIA PATRIMONIAL POSITIVA</t>
  </si>
  <si>
    <t>3.1.01.005.009</t>
  </si>
  <si>
    <t>'3101005009</t>
  </si>
  <si>
    <t>3101005009</t>
  </si>
  <si>
    <t>ERP ONIBUS</t>
  </si>
  <si>
    <t>4.7.03.013.004</t>
  </si>
  <si>
    <t>'4703013004</t>
  </si>
  <si>
    <t>4703013004</t>
  </si>
  <si>
    <t>ESTACIONAMENTOS - FROTA</t>
  </si>
  <si>
    <t>4.7.03.005.007</t>
  </si>
  <si>
    <t>'4703005007</t>
  </si>
  <si>
    <t>4703005007</t>
  </si>
  <si>
    <t>ESTACIONAMENTOS - VIAGENS</t>
  </si>
  <si>
    <t>Travels</t>
  </si>
  <si>
    <t>1.1.03.001.005</t>
  </si>
  <si>
    <t>'1103001005</t>
  </si>
  <si>
    <t>1103001005</t>
  </si>
  <si>
    <t>ESTOQUE EM COMODATO</t>
  </si>
  <si>
    <t>1.1.03.001.002</t>
  </si>
  <si>
    <t>'1103001002</t>
  </si>
  <si>
    <t>1103001002</t>
  </si>
  <si>
    <t>ESTOQUE EM PODER DE TERCEIROS</t>
  </si>
  <si>
    <t>1.1.03.001.003</t>
  </si>
  <si>
    <t>'1103001003</t>
  </si>
  <si>
    <t>1103001003</t>
  </si>
  <si>
    <t>ESTOQUE PARA COMODATO</t>
  </si>
  <si>
    <t>4.7.03.003.009</t>
  </si>
  <si>
    <t>'4703003009</t>
  </si>
  <si>
    <t>4703003009</t>
  </si>
  <si>
    <t>EVENTOS INTERNOS</t>
  </si>
  <si>
    <t>4.7.03.003.006</t>
  </si>
  <si>
    <t>'4703003006</t>
  </si>
  <si>
    <t>4703003006</t>
  </si>
  <si>
    <t>FEIRAS E EVENTOS</t>
  </si>
  <si>
    <t>4.7.03.001.004</t>
  </si>
  <si>
    <t>'4703001004</t>
  </si>
  <si>
    <t>4703001004</t>
  </si>
  <si>
    <t>FERIAS</t>
  </si>
  <si>
    <t>Férias</t>
  </si>
  <si>
    <t>4.7.03.001.007</t>
  </si>
  <si>
    <t>'4703001007</t>
  </si>
  <si>
    <t>4703001007</t>
  </si>
  <si>
    <t>FGTS</t>
  </si>
  <si>
    <t>2.1.07.003.002</t>
  </si>
  <si>
    <t>'2107003002</t>
  </si>
  <si>
    <t>2107003002</t>
  </si>
  <si>
    <t>FGTS A RECOLHER</t>
  </si>
  <si>
    <t>3.1.01.005.014.0003</t>
  </si>
  <si>
    <t>'31010050140003</t>
  </si>
  <si>
    <t>31010050140003</t>
  </si>
  <si>
    <t>FINTECH</t>
  </si>
  <si>
    <t>2.1.03.003.001</t>
  </si>
  <si>
    <t>'2103003001</t>
  </si>
  <si>
    <t>2103003001</t>
  </si>
  <si>
    <t>FORNECEDORES DIVERSOS</t>
  </si>
  <si>
    <t>Fornecedores</t>
  </si>
  <si>
    <t>1.2.01.002.018</t>
  </si>
  <si>
    <t>'1201002018</t>
  </si>
  <si>
    <t>1201002018</t>
  </si>
  <si>
    <t>FUSION SOFTWARE E SERVICOS S/A</t>
  </si>
  <si>
    <t>2.1.09.099.030</t>
  </si>
  <si>
    <t>'2109099030</t>
  </si>
  <si>
    <t>2109099030</t>
  </si>
  <si>
    <t>FUSION SOFTWARES E SERVICOS S.A.</t>
  </si>
  <si>
    <t>3.2.01.001.002</t>
  </si>
  <si>
    <t>'3201001002</t>
  </si>
  <si>
    <t>3201001002</t>
  </si>
  <si>
    <t>GANHO/PERDA COM INVESTIMENTO</t>
  </si>
  <si>
    <t>2.1.09.099.038</t>
  </si>
  <si>
    <t>'2109099038</t>
  </si>
  <si>
    <t>2109099038</t>
  </si>
  <si>
    <t>GASOLA SERVICOS DE INTERNET S.A.</t>
  </si>
  <si>
    <t>4.7.03.004.007</t>
  </si>
  <si>
    <t>'4703004007</t>
  </si>
  <si>
    <t>4703004007</t>
  </si>
  <si>
    <t>GASTOS COM NUVEM</t>
  </si>
  <si>
    <t>Cloud</t>
  </si>
  <si>
    <t>2.1.09.099.037</t>
  </si>
  <si>
    <t>'2109099037</t>
  </si>
  <si>
    <t>2109099037</t>
  </si>
  <si>
    <t>GBM LOGISTICA - DIVIDA CP</t>
  </si>
  <si>
    <t>4.7.03.001.011</t>
  </si>
  <si>
    <t>'4703001011</t>
  </si>
  <si>
    <t>4703001011</t>
  </si>
  <si>
    <t>GRATIFICACOES</t>
  </si>
  <si>
    <t>1.2.03.001.072</t>
  </si>
  <si>
    <t>'1203001072</t>
  </si>
  <si>
    <t>1203001072</t>
  </si>
  <si>
    <t>HIVELOG SOLUCOES EM TECNOLOGIA  - AGIO</t>
  </si>
  <si>
    <t>1.2.01.002.029</t>
  </si>
  <si>
    <t>'1201002029</t>
  </si>
  <si>
    <t>1201002029</t>
  </si>
  <si>
    <t>HIVELOG SOLUCOES EM TECNOLOGIA DA INFOR.</t>
  </si>
  <si>
    <t>2.2.01.012.029</t>
  </si>
  <si>
    <t>'2201012029</t>
  </si>
  <si>
    <t>2201012029</t>
  </si>
  <si>
    <t>'Holding - Cost Sharing</t>
  </si>
  <si>
    <t>4.7.03.002.005</t>
  </si>
  <si>
    <t>'4703002005</t>
  </si>
  <si>
    <t>4703002005</t>
  </si>
  <si>
    <t>HONORARIOS CONTABEIS</t>
  </si>
  <si>
    <t>Terceiros</t>
  </si>
  <si>
    <t>4.7.03.001.005</t>
  </si>
  <si>
    <t>'4703001005</t>
  </si>
  <si>
    <t>4703001005</t>
  </si>
  <si>
    <t>HORAS EXTRAS</t>
  </si>
  <si>
    <t>Hora Extra</t>
  </si>
  <si>
    <t>4.7.03.005.005</t>
  </si>
  <si>
    <t>'4703005005</t>
  </si>
  <si>
    <t>4703005005</t>
  </si>
  <si>
    <t>HOSPEDAGEM</t>
  </si>
  <si>
    <t>1.1.04.024.002</t>
  </si>
  <si>
    <t>'1104024002</t>
  </si>
  <si>
    <t>1104024002</t>
  </si>
  <si>
    <t>IBS ESTADUAL ATIVA</t>
  </si>
  <si>
    <t>2.1.05.005.002</t>
  </si>
  <si>
    <t>'2105005002</t>
  </si>
  <si>
    <t>2105005002</t>
  </si>
  <si>
    <t>IBS ESTADUAL PASSIVA</t>
  </si>
  <si>
    <t>2.1.05.001.011</t>
  </si>
  <si>
    <t>'2105001011</t>
  </si>
  <si>
    <t>2105001011</t>
  </si>
  <si>
    <t>ICMS A RECOLHER</t>
  </si>
  <si>
    <t>1.1.04.023.010</t>
  </si>
  <si>
    <t>'1104023010</t>
  </si>
  <si>
    <t>1104023010</t>
  </si>
  <si>
    <t>ICMS A RECUPERAR</t>
  </si>
  <si>
    <t>4703015011</t>
  </si>
  <si>
    <t>'4703015011</t>
  </si>
  <si>
    <t>IMOBILIZACAO DE BENS INTANGIVEIS</t>
  </si>
  <si>
    <t>3.1.01.007.001</t>
  </si>
  <si>
    <t>'3101007001</t>
  </si>
  <si>
    <t>3101007001</t>
  </si>
  <si>
    <t>IMPLANTACAO</t>
  </si>
  <si>
    <t>5.1.01.001.002</t>
  </si>
  <si>
    <t>'5101001002</t>
  </si>
  <si>
    <t>5101001002</t>
  </si>
  <si>
    <t>IMPOSTO DE RENDA CORRENTE</t>
  </si>
  <si>
    <t>5.1.01.001.004.0005</t>
  </si>
  <si>
    <t>'51010010040005</t>
  </si>
  <si>
    <t>51010010040005</t>
  </si>
  <si>
    <t>IMPOSTO DE RENDA DIF AMORT  AGIO RENTABI</t>
  </si>
  <si>
    <t>5.1.01.001.088</t>
  </si>
  <si>
    <t>'5101001088</t>
  </si>
  <si>
    <t>5101001088</t>
  </si>
  <si>
    <t>IMPOSTO DE RENDA DIF AMORT  AGIO RENTABILIDADE FUTURA</t>
  </si>
  <si>
    <t>5.1.01.001.004.0003</t>
  </si>
  <si>
    <t>'51010010040003</t>
  </si>
  <si>
    <t>51010010040003</t>
  </si>
  <si>
    <t>IMPOSTO DE RENDA DIF AMT AGIO (NAO DEDU)</t>
  </si>
  <si>
    <t>5.1.01.001.094</t>
  </si>
  <si>
    <t>'5101001094</t>
  </si>
  <si>
    <t>5101001094</t>
  </si>
  <si>
    <t>IMPOSTO DE RENDA DIF AVP</t>
  </si>
  <si>
    <t>5.1.01.001.004.0007</t>
  </si>
  <si>
    <t>'51010010040007</t>
  </si>
  <si>
    <t>51010010040007</t>
  </si>
  <si>
    <t>5.1.01.001.004.0004</t>
  </si>
  <si>
    <t>'51010010040004</t>
  </si>
  <si>
    <t>51010010040004</t>
  </si>
  <si>
    <t>IMPOSTO DE RENDA DIF PROVISOES</t>
  </si>
  <si>
    <t>5.1.01.001.093</t>
  </si>
  <si>
    <t>'5101001093</t>
  </si>
  <si>
    <t>5101001093</t>
  </si>
  <si>
    <t>IMPOSTO DE RENDA DIF PROVISÕES</t>
  </si>
  <si>
    <t>5.1.01.001.091</t>
  </si>
  <si>
    <t>'5101001091</t>
  </si>
  <si>
    <t>5101001091</t>
  </si>
  <si>
    <t>5.1.01.001.104</t>
  </si>
  <si>
    <t>'5101001104</t>
  </si>
  <si>
    <t>5101001104</t>
  </si>
  <si>
    <t>5.1.01.001.100</t>
  </si>
  <si>
    <t>'5101001100</t>
  </si>
  <si>
    <t>5101001100</t>
  </si>
  <si>
    <t>5.1.01.001.106</t>
  </si>
  <si>
    <t>'5101001106</t>
  </si>
  <si>
    <t>5101001106</t>
  </si>
  <si>
    <t>5.1.01.001.110</t>
  </si>
  <si>
    <t>'5101001110</t>
  </si>
  <si>
    <t>5101001110</t>
  </si>
  <si>
    <t>5.1.01.001.004</t>
  </si>
  <si>
    <t>'5101001004</t>
  </si>
  <si>
    <t>5101001004</t>
  </si>
  <si>
    <t>IMPOSTO DE RENDA DIFERIDO</t>
  </si>
  <si>
    <t>2.1.09.004.002</t>
  </si>
  <si>
    <t>'2109004002</t>
  </si>
  <si>
    <t>2109004002</t>
  </si>
  <si>
    <t>2.2.01.014.006</t>
  </si>
  <si>
    <t>'2201014006</t>
  </si>
  <si>
    <t>2201014006</t>
  </si>
  <si>
    <t>IMPOSTO DE RENDA DIFERIDO AGIO RENT. FUTURA</t>
  </si>
  <si>
    <t>5.1.01.001.096</t>
  </si>
  <si>
    <t>'5101001096</t>
  </si>
  <si>
    <t>5101001096</t>
  </si>
  <si>
    <t>IMPOSTO DE RENDA DIFERIDO AMT AGIO ACOES</t>
  </si>
  <si>
    <t>51010010040002</t>
  </si>
  <si>
    <t>'51010010040002</t>
  </si>
  <si>
    <t>5.1.01.001.109</t>
  </si>
  <si>
    <t>'5101001109</t>
  </si>
  <si>
    <t>5101001109</t>
  </si>
  <si>
    <t>5.1.01.001.004.0002</t>
  </si>
  <si>
    <t>5.1.01.001.097</t>
  </si>
  <si>
    <t>'5101001097</t>
  </si>
  <si>
    <t>5101001097</t>
  </si>
  <si>
    <t>IMPOSTO DE RENDA DIFERIDO AMT AGIO CASH</t>
  </si>
  <si>
    <t>51010010040001</t>
  </si>
  <si>
    <t>'51010010040001</t>
  </si>
  <si>
    <t>5.1.01.001.004.0001</t>
  </si>
  <si>
    <t>4.7.09.001.001</t>
  </si>
  <si>
    <t>'4709001001</t>
  </si>
  <si>
    <t>4709001001</t>
  </si>
  <si>
    <t>IMPOSTOS E TAXAS DIVERSAS</t>
  </si>
  <si>
    <t>4.7.03.015.026</t>
  </si>
  <si>
    <t>'4703015026</t>
  </si>
  <si>
    <t>4703015026</t>
  </si>
  <si>
    <t>INDENIZAÇÃO SINISTROS</t>
  </si>
  <si>
    <t>4.7.03.001.008</t>
  </si>
  <si>
    <t>'4703001008</t>
  </si>
  <si>
    <t>4703001008</t>
  </si>
  <si>
    <t>INDENIZACOES E AVISO PREVIO</t>
  </si>
  <si>
    <t>Indenizações</t>
  </si>
  <si>
    <t>4.7.03.001.006</t>
  </si>
  <si>
    <t>'4703001006</t>
  </si>
  <si>
    <t>4703001006</t>
  </si>
  <si>
    <t>INSS</t>
  </si>
  <si>
    <t>2.1.07.003.001</t>
  </si>
  <si>
    <t>'2107003001</t>
  </si>
  <si>
    <t>2107003001</t>
  </si>
  <si>
    <t>INSS A RECOLHER</t>
  </si>
  <si>
    <t>1.1.04.023.009</t>
  </si>
  <si>
    <t>'1104023009</t>
  </si>
  <si>
    <t>1104023009</t>
  </si>
  <si>
    <t>INSS A RECUPERAR</t>
  </si>
  <si>
    <t>2.1.05.003.002</t>
  </si>
  <si>
    <t>'2105003002</t>
  </si>
  <si>
    <t>2105003002</t>
  </si>
  <si>
    <t>INSS RETIDO A RECOLHER</t>
  </si>
  <si>
    <t>1.2.05.003.003</t>
  </si>
  <si>
    <t>'1205003003</t>
  </si>
  <si>
    <t>1205003003</t>
  </si>
  <si>
    <t>INSTALACOES</t>
  </si>
  <si>
    <t>3.1.01.005.013.0003</t>
  </si>
  <si>
    <t>'31010050130003</t>
  </si>
  <si>
    <t>31010050130003</t>
  </si>
  <si>
    <t>INTERMEDIACAO DE NEGOCIOS</t>
  </si>
  <si>
    <t>2.1.05.001.012</t>
  </si>
  <si>
    <t>'2105001012</t>
  </si>
  <si>
    <t>2105001012</t>
  </si>
  <si>
    <t>IOF A RECOLHER</t>
  </si>
  <si>
    <t>4.7.10.002.007</t>
  </si>
  <si>
    <t>'4710002007</t>
  </si>
  <si>
    <t>4710002007</t>
  </si>
  <si>
    <t>IOF SOBRE OPERACOES FINANCEIRAS</t>
  </si>
  <si>
    <t>2.2.01.012.017</t>
  </si>
  <si>
    <t>'2201012017</t>
  </si>
  <si>
    <t>2201012017</t>
  </si>
  <si>
    <t>IPC ADMINISTRACAO S/A (E-FRETE)</t>
  </si>
  <si>
    <t>4.7.09.001.002</t>
  </si>
  <si>
    <t>'4709001002</t>
  </si>
  <si>
    <t>4709001002</t>
  </si>
  <si>
    <t>IPTU</t>
  </si>
  <si>
    <t>1.1.10.002.002</t>
  </si>
  <si>
    <t>'1110002002</t>
  </si>
  <si>
    <t>1110002002</t>
  </si>
  <si>
    <t>IPTU A APROPRIAR</t>
  </si>
  <si>
    <t>4703013006</t>
  </si>
  <si>
    <t>'4703013006</t>
  </si>
  <si>
    <t>IPVA</t>
  </si>
  <si>
    <t>1.1.04.021.004</t>
  </si>
  <si>
    <t>'1104021004</t>
  </si>
  <si>
    <t>1104021004</t>
  </si>
  <si>
    <t>IRPJ A COMPENSAR</t>
  </si>
  <si>
    <t>2.1.05.001.006</t>
  </si>
  <si>
    <t>'2105001006</t>
  </si>
  <si>
    <t>2105001006</t>
  </si>
  <si>
    <t>IRPJ A RECOLHER</t>
  </si>
  <si>
    <t>2.1.05.001.002</t>
  </si>
  <si>
    <t>'2105001002</t>
  </si>
  <si>
    <t>2105001002</t>
  </si>
  <si>
    <t>IRRF A RECOLHER</t>
  </si>
  <si>
    <t>1.1.04.023.005</t>
  </si>
  <si>
    <t>'1104023005</t>
  </si>
  <si>
    <t>1104023005</t>
  </si>
  <si>
    <t>IRRF A RECUPERAR</t>
  </si>
  <si>
    <t>2.1.07.003.005</t>
  </si>
  <si>
    <t>'2107003005</t>
  </si>
  <si>
    <t>2107003005</t>
  </si>
  <si>
    <t>IRRF S/SALARIO A RECOLHER</t>
  </si>
  <si>
    <t>1.1.04.021.008</t>
  </si>
  <si>
    <t>'1104021008</t>
  </si>
  <si>
    <t>1104021008</t>
  </si>
  <si>
    <t>IRRF SOBRE APLICACOES</t>
  </si>
  <si>
    <t>1.1.04.021.007</t>
  </si>
  <si>
    <t>'1104021007</t>
  </si>
  <si>
    <t>1104021007</t>
  </si>
  <si>
    <t>ISS A COMPENSAR</t>
  </si>
  <si>
    <t>2.1.05.001.004</t>
  </si>
  <si>
    <t>'2105001004</t>
  </si>
  <si>
    <t>2105001004</t>
  </si>
  <si>
    <t>ISS A RECOLHER</t>
  </si>
  <si>
    <t>1.1.04.023.006</t>
  </si>
  <si>
    <t>'1104023006</t>
  </si>
  <si>
    <t>1104023006</t>
  </si>
  <si>
    <t>ISS A RECUPERAR</t>
  </si>
  <si>
    <t>2.1.05.003.003</t>
  </si>
  <si>
    <t>'2105003003</t>
  </si>
  <si>
    <t>2105003003</t>
  </si>
  <si>
    <t>ISS RETIDO A RECOLHER</t>
  </si>
  <si>
    <t>1.1.01.002.043</t>
  </si>
  <si>
    <t>'1101002043</t>
  </si>
  <si>
    <t>1101002043</t>
  </si>
  <si>
    <t>ITAU REDE AG 3894 CC 103569170</t>
  </si>
  <si>
    <t>4.7.10.001.003</t>
  </si>
  <si>
    <t>'4710001003</t>
  </si>
  <si>
    <t>4710001003</t>
  </si>
  <si>
    <t>JUROS RECEBIDOS</t>
  </si>
  <si>
    <t>2.2.01.012.036</t>
  </si>
  <si>
    <t>'2201012036</t>
  </si>
  <si>
    <t>2201012036</t>
  </si>
  <si>
    <t>KMM</t>
  </si>
  <si>
    <t>1.2.01.002.031</t>
  </si>
  <si>
    <t>'1201002031</t>
  </si>
  <si>
    <t>1201002031</t>
  </si>
  <si>
    <t>KMM FILIAL (ATUA SISTEMAS)</t>
  </si>
  <si>
    <t>1.2.01.002.035</t>
  </si>
  <si>
    <t>'1201002035</t>
  </si>
  <si>
    <t>1201002035</t>
  </si>
  <si>
    <t>KMM OTIMIZY SISTEMAS INTELIGENTES LTDA</t>
  </si>
  <si>
    <t>1.2.01.002.037</t>
  </si>
  <si>
    <t>'1201002037</t>
  </si>
  <si>
    <t>1201002037</t>
  </si>
  <si>
    <t>KMM QUALP PORTAL DE INTERNET LTDA.</t>
  </si>
  <si>
    <t>1.2.03.001.069</t>
  </si>
  <si>
    <t>'1203001069</t>
  </si>
  <si>
    <t>1203001069</t>
  </si>
  <si>
    <t>KMM SOLUCOES TECNOL -AFAC</t>
  </si>
  <si>
    <t>1.2.01.002.036</t>
  </si>
  <si>
    <t>'1201002036</t>
  </si>
  <si>
    <t>1201002036</t>
  </si>
  <si>
    <t>KMM SOLUCOES TECNOLOGICAS S.A.</t>
  </si>
  <si>
    <t>4.7.03.001.018</t>
  </si>
  <si>
    <t>'4703001018</t>
  </si>
  <si>
    <t>4703001018</t>
  </si>
  <si>
    <t>LANCHES, REFEICOES, COPA E COZINHA</t>
  </si>
  <si>
    <t>4.7.03.015.020</t>
  </si>
  <si>
    <t>'4703015020</t>
  </si>
  <si>
    <t>4703015020</t>
  </si>
  <si>
    <t>4.7.03.004.001</t>
  </si>
  <si>
    <t>'4703004001</t>
  </si>
  <si>
    <t>4703004001</t>
  </si>
  <si>
    <t>LICENCA DE SOFTWARE</t>
  </si>
  <si>
    <t>Tecnologia</t>
  </si>
  <si>
    <t>4.7.03.004.008</t>
  </si>
  <si>
    <t>'4703004008</t>
  </si>
  <si>
    <t>4703004008</t>
  </si>
  <si>
    <t>LICENCA OU SERVICO CYBER</t>
  </si>
  <si>
    <t>4.7.03.004.002</t>
  </si>
  <si>
    <t>'4703004002</t>
  </si>
  <si>
    <t>4703004002</t>
  </si>
  <si>
    <t>LINKS DE COMUNICACAO</t>
  </si>
  <si>
    <t>Telecomunição</t>
  </si>
  <si>
    <t>4.7.03.004.004</t>
  </si>
  <si>
    <t>'4703004004</t>
  </si>
  <si>
    <t>4703004004</t>
  </si>
  <si>
    <t>LOCACAO DE EQUIPAMENTO DE TI</t>
  </si>
  <si>
    <t>4.7.03.005.004</t>
  </si>
  <si>
    <t>'4703005004</t>
  </si>
  <si>
    <t>4703005004</t>
  </si>
  <si>
    <t>LOCACAO DE VEICULOS</t>
  </si>
  <si>
    <t>2.1.04.004.001</t>
  </si>
  <si>
    <t>'2104004001</t>
  </si>
  <si>
    <t>2104004001</t>
  </si>
  <si>
    <t>LOCACAO IMOVEIS - IFRS 16</t>
  </si>
  <si>
    <t>Passivo de arrendamento</t>
  </si>
  <si>
    <t>4.7.03.002.010</t>
  </si>
  <si>
    <t>'4703002010</t>
  </si>
  <si>
    <t>4703002010</t>
  </si>
  <si>
    <t>LOCACAO/ MENSALIDADE SOFTWARE</t>
  </si>
  <si>
    <t>2.1.09.099.035</t>
  </si>
  <si>
    <t>'2109099035</t>
  </si>
  <si>
    <t>2109099035</t>
  </si>
  <si>
    <t>LOG.ONE TECNOLOGIA DA INFORMAÇÃO LTDA.</t>
  </si>
  <si>
    <t>3.1.01.005.006.0003</t>
  </si>
  <si>
    <t>'31010050060003</t>
  </si>
  <si>
    <t>31010050060003</t>
  </si>
  <si>
    <t>LOGISTICS</t>
  </si>
  <si>
    <t>1.2.01.002.049</t>
  </si>
  <si>
    <t>'1201002049</t>
  </si>
  <si>
    <t>1201002049</t>
  </si>
  <si>
    <t>LOGONE TEC. DA INF.LTDA</t>
  </si>
  <si>
    <t>1.2.01.002.024</t>
  </si>
  <si>
    <t>'1201002024</t>
  </si>
  <si>
    <t>1201002024</t>
  </si>
  <si>
    <t>MAG EDITORA E PROMOTORA DE EVENTOS</t>
  </si>
  <si>
    <t>4.7.03.013.002</t>
  </si>
  <si>
    <t>'4703013002</t>
  </si>
  <si>
    <t>4703013002</t>
  </si>
  <si>
    <t>MANUTENCAO DE VEICULOS</t>
  </si>
  <si>
    <t>3.1.01.006.004.0003</t>
  </si>
  <si>
    <t>'31010060040003</t>
  </si>
  <si>
    <t>31010060040003</t>
  </si>
  <si>
    <t>MAO DE OBRA BPO</t>
  </si>
  <si>
    <t>1.2.05.003.004</t>
  </si>
  <si>
    <t>'1205003004</t>
  </si>
  <si>
    <t>1205003004</t>
  </si>
  <si>
    <t>MAQUINAS, APARELHOS E EQUIPAMENTOS</t>
  </si>
  <si>
    <t>1.2.07.001.005</t>
  </si>
  <si>
    <t>'1207001005</t>
  </si>
  <si>
    <t>1207001005</t>
  </si>
  <si>
    <t>MARCAS E PATENTES</t>
  </si>
  <si>
    <t>4.7.03.003.008</t>
  </si>
  <si>
    <t>'4703003008</t>
  </si>
  <si>
    <t>4703003008</t>
  </si>
  <si>
    <t>MARKETING/COMUNICACAO INTERNO</t>
  </si>
  <si>
    <t>3.1.01.005.011</t>
  </si>
  <si>
    <t>'3101005011</t>
  </si>
  <si>
    <t>3101005011</t>
  </si>
  <si>
    <t>MARKETPLACE</t>
  </si>
  <si>
    <t>4.7.01.001.002</t>
  </si>
  <si>
    <t>'4701001002</t>
  </si>
  <si>
    <t>4701001002</t>
  </si>
  <si>
    <t>MATERIAIS DE INSTALAÇÃO E CONSUMO</t>
  </si>
  <si>
    <t>4.7.03.007.003</t>
  </si>
  <si>
    <t>'4703007003</t>
  </si>
  <si>
    <t>4703007003</t>
  </si>
  <si>
    <t>MATERIAL DE CONSERVACAO E LIMPEZA</t>
  </si>
  <si>
    <t>4.7.03.015.001</t>
  </si>
  <si>
    <t>'4703015001</t>
  </si>
  <si>
    <t>4703015001</t>
  </si>
  <si>
    <t>MATERIAL DE EXPEDIENTE</t>
  </si>
  <si>
    <t>4.7.03.015.012</t>
  </si>
  <si>
    <t>'4703015012</t>
  </si>
  <si>
    <t>4703015012</t>
  </si>
  <si>
    <t>MATERIAL DE INFORMATICA</t>
  </si>
  <si>
    <t>4.7.03.001.026</t>
  </si>
  <si>
    <t>'4703001026</t>
  </si>
  <si>
    <t>4703001026</t>
  </si>
  <si>
    <t>MEDICINA OCUPACIONAL</t>
  </si>
  <si>
    <t>1.1.01.002.028</t>
  </si>
  <si>
    <t>'1101002028</t>
  </si>
  <si>
    <t>1101002028</t>
  </si>
  <si>
    <t>MERCADO PAGO</t>
  </si>
  <si>
    <t>1.1.03.001.001</t>
  </si>
  <si>
    <t>'1103001001</t>
  </si>
  <si>
    <t>1103001001</t>
  </si>
  <si>
    <t>MERCADORIAS PARA REVENDA</t>
  </si>
  <si>
    <t>4.7.03.003.004</t>
  </si>
  <si>
    <t>'4703003004</t>
  </si>
  <si>
    <t>4703003004</t>
  </si>
  <si>
    <t>MIDIAS DIGITAIS</t>
  </si>
  <si>
    <t>1.2.05.003.005</t>
  </si>
  <si>
    <t>'1205003005</t>
  </si>
  <si>
    <t>1205003005</t>
  </si>
  <si>
    <t>MOVEIS E UTENSILIOS</t>
  </si>
  <si>
    <t>4.7.03.015.010</t>
  </si>
  <si>
    <t>'4703015010</t>
  </si>
  <si>
    <t>4703015010</t>
  </si>
  <si>
    <t>MULTAS  DE VEICULOS</t>
  </si>
  <si>
    <t>4.7.03.015.022</t>
  </si>
  <si>
    <t>'4703015022</t>
  </si>
  <si>
    <t>4703015022</t>
  </si>
  <si>
    <t>MULTAS  INDEDUTIVEIS</t>
  </si>
  <si>
    <t>4.7.10.002.004</t>
  </si>
  <si>
    <t>'4710002004</t>
  </si>
  <si>
    <t>4710002004</t>
  </si>
  <si>
    <t>MULTAS E JUROS PAGOS OU INCORRIDOS</t>
  </si>
  <si>
    <t>4.7.08.001.002</t>
  </si>
  <si>
    <t>'4708001002</t>
  </si>
  <si>
    <t>4708001002</t>
  </si>
  <si>
    <t>MULTAS INDEDUTIVES</t>
  </si>
  <si>
    <t>1.2.01.002.021</t>
  </si>
  <si>
    <t>'1201002021</t>
  </si>
  <si>
    <t>1201002021</t>
  </si>
  <si>
    <t>MULTISOFTWARE</t>
  </si>
  <si>
    <t>2.2.01.012.021</t>
  </si>
  <si>
    <t>'2201012021</t>
  </si>
  <si>
    <t>2201012021</t>
  </si>
  <si>
    <t>1.2.03.001.011.0005</t>
  </si>
  <si>
    <t>'12030010110005</t>
  </si>
  <si>
    <t>12030010110005</t>
  </si>
  <si>
    <t>NSTECH FS - AFAC</t>
  </si>
  <si>
    <t>1.2.01.002.044</t>
  </si>
  <si>
    <t>'1201002044</t>
  </si>
  <si>
    <t>1201002044</t>
  </si>
  <si>
    <t>NSTECH GR INDAIATUBA</t>
  </si>
  <si>
    <t>2.2.01.012.007</t>
  </si>
  <si>
    <t>'2201012007</t>
  </si>
  <si>
    <t>2201012007</t>
  </si>
  <si>
    <t>NSTECH GR LTDA</t>
  </si>
  <si>
    <t>Contas a pagar em combinação de negócios</t>
  </si>
  <si>
    <t>1.2.01.002.007</t>
  </si>
  <si>
    <t>'1201002007</t>
  </si>
  <si>
    <t>1201002007</t>
  </si>
  <si>
    <t>1.2.01.002.040</t>
  </si>
  <si>
    <t>'1201002040</t>
  </si>
  <si>
    <t>1201002040</t>
  </si>
  <si>
    <t>ONISYS NA ESTRADA SOFTWARE LTDA</t>
  </si>
  <si>
    <t>1.2.01.002.013</t>
  </si>
  <si>
    <t>'1201002013</t>
  </si>
  <si>
    <t>1201002013</t>
  </si>
  <si>
    <t>OPEN TECH SISTEMAS DE GERENCIAMENTO DE R</t>
  </si>
  <si>
    <t>2.1.09.099.004</t>
  </si>
  <si>
    <t>'2109099004</t>
  </si>
  <si>
    <t>2109099004</t>
  </si>
  <si>
    <t>OPENTECH PARTICIPACOES S.A.</t>
  </si>
  <si>
    <t>2.1.09.003.002</t>
  </si>
  <si>
    <t>'2109003002</t>
  </si>
  <si>
    <t>2109003002</t>
  </si>
  <si>
    <t>OUTRAS CONTAS A PAGAR</t>
  </si>
  <si>
    <t>1.1.10.002.003</t>
  </si>
  <si>
    <t>'1110002003</t>
  </si>
  <si>
    <t>1110002003</t>
  </si>
  <si>
    <t>OUTRAS DESPESAS A APROPRIAR</t>
  </si>
  <si>
    <t>Despesas antecipadas</t>
  </si>
  <si>
    <t>4.7.11.001.001</t>
  </si>
  <si>
    <t>'4711001001</t>
  </si>
  <si>
    <t>4711001001</t>
  </si>
  <si>
    <t>OUTRAS RECEITAS E DESPESAS NAO OPERACION</t>
  </si>
  <si>
    <t>1.1.04.015.006</t>
  </si>
  <si>
    <t>'1104015006</t>
  </si>
  <si>
    <t>1104015006</t>
  </si>
  <si>
    <t>OUTROS ADIANTAMENTOS A FUNCIONARIOS</t>
  </si>
  <si>
    <t>4.7.03.001.025</t>
  </si>
  <si>
    <t>'4703001025</t>
  </si>
  <si>
    <t>4703001025</t>
  </si>
  <si>
    <t>OUTROS BENEFICIOS A COLABORADORES</t>
  </si>
  <si>
    <t>4.7.03.005.009</t>
  </si>
  <si>
    <t>'4703005009</t>
  </si>
  <si>
    <t>4703005009</t>
  </si>
  <si>
    <t>OUTROS GASTOS COM VIAGENS</t>
  </si>
  <si>
    <t>2.1.07.001.004</t>
  </si>
  <si>
    <t>'2107001004</t>
  </si>
  <si>
    <t>2107001004</t>
  </si>
  <si>
    <t>OUTROS VALORES A PAGAR OU REPASSAR</t>
  </si>
  <si>
    <t>1.1.04.003.001</t>
  </si>
  <si>
    <t>'1104003001</t>
  </si>
  <si>
    <t>1104003001</t>
  </si>
  <si>
    <t>OUTROS VALORES A RECEBER</t>
  </si>
  <si>
    <t>2.1.05.004.001</t>
  </si>
  <si>
    <t>'2105004001</t>
  </si>
  <si>
    <t>2105004001</t>
  </si>
  <si>
    <t>PARCELAMENTOS DE TRIBUTOS FEDERAIS</t>
  </si>
  <si>
    <t>2.2.01.013.001</t>
  </si>
  <si>
    <t>'2201013001</t>
  </si>
  <si>
    <t>2201013001</t>
  </si>
  <si>
    <t>4.7.03.005.001</t>
  </si>
  <si>
    <t>'4703005001</t>
  </si>
  <si>
    <t>4703005001</t>
  </si>
  <si>
    <t>PASSAGENS</t>
  </si>
  <si>
    <t>4.7.03.013.005</t>
  </si>
  <si>
    <t>'4703013005</t>
  </si>
  <si>
    <t>4703013005</t>
  </si>
  <si>
    <t>PEDAGIOS - FROTA</t>
  </si>
  <si>
    <t>4.7.03.005.006</t>
  </si>
  <si>
    <t>'4703005006</t>
  </si>
  <si>
    <t>4703005006</t>
  </si>
  <si>
    <t>PEDAGIOS - VIAGENS</t>
  </si>
  <si>
    <t>2.1.07.001.003</t>
  </si>
  <si>
    <t>'2107001003</t>
  </si>
  <si>
    <t>2107001003</t>
  </si>
  <si>
    <t>PENSAO ALIMENTICIA A REPASSAR</t>
  </si>
  <si>
    <t>4.7.03.017.002</t>
  </si>
  <si>
    <t>'4703017002</t>
  </si>
  <si>
    <t>4703017002</t>
  </si>
  <si>
    <t>PERDA EFETIVA</t>
  </si>
  <si>
    <t>1.1.04.021.002</t>
  </si>
  <si>
    <t>'1104021002</t>
  </si>
  <si>
    <t>1104021002</t>
  </si>
  <si>
    <t>PIS A COMPENSAR</t>
  </si>
  <si>
    <t>2.1.05.001.005</t>
  </si>
  <si>
    <t>'2105001005</t>
  </si>
  <si>
    <t>2105001005</t>
  </si>
  <si>
    <t>PIS A RECOLHER</t>
  </si>
  <si>
    <t>1.1.04.023.003</t>
  </si>
  <si>
    <t>'1104023003</t>
  </si>
  <si>
    <t>1104023003</t>
  </si>
  <si>
    <t>PIS A RECUPERAR</t>
  </si>
  <si>
    <t>4.7.03.001.022</t>
  </si>
  <si>
    <t>'4703001022</t>
  </si>
  <si>
    <t>4703001022</t>
  </si>
  <si>
    <t>PLR - PARTICIPACAO DOS LUCROS E RESULTAD</t>
  </si>
  <si>
    <t>1.1.10.002.001</t>
  </si>
  <si>
    <t>'1110002001</t>
  </si>
  <si>
    <t>1110002001</t>
  </si>
  <si>
    <t>PREMIOS DE SEGUROS A APROPRIAR</t>
  </si>
  <si>
    <t>4.7.03.002.012</t>
  </si>
  <si>
    <t>'4703002012</t>
  </si>
  <si>
    <t>4703002012</t>
  </si>
  <si>
    <t>PRESTACAO DE SERVICO - PF</t>
  </si>
  <si>
    <t>4.7.03.002.013</t>
  </si>
  <si>
    <t>'4703002013</t>
  </si>
  <si>
    <t>4703002013</t>
  </si>
  <si>
    <t>PRESTACAO DE SERVICO - PJ</t>
  </si>
  <si>
    <t>3.1.01.005.015.0003</t>
  </si>
  <si>
    <t>'31010050150003</t>
  </si>
  <si>
    <t>31010050150003</t>
  </si>
  <si>
    <t>PREVENCAO DE ACIDENTES</t>
  </si>
  <si>
    <t>4.7.03.001.002</t>
  </si>
  <si>
    <t>'4703001002</t>
  </si>
  <si>
    <t>4703001002</t>
  </si>
  <si>
    <t>PRO LABORE</t>
  </si>
  <si>
    <t>1.2.05.003.007</t>
  </si>
  <si>
    <t>'1205003007</t>
  </si>
  <si>
    <t>1205003007</t>
  </si>
  <si>
    <t>PROJETOS EM ANDAMENTO</t>
  </si>
  <si>
    <t>Software</t>
  </si>
  <si>
    <t>4.7.03.003.001</t>
  </si>
  <si>
    <t>'4703003001</t>
  </si>
  <si>
    <t>4703003001</t>
  </si>
  <si>
    <t>PROPAGANDA E DIVULGACAO</t>
  </si>
  <si>
    <t>2.1.07.005.004</t>
  </si>
  <si>
    <t>'2107005004</t>
  </si>
  <si>
    <t>2107005004</t>
  </si>
  <si>
    <t>PROVISAO 13 SALARIO</t>
  </si>
  <si>
    <t>1.1.02.001.099</t>
  </si>
  <si>
    <t>'1102001099</t>
  </si>
  <si>
    <t>1102001099</t>
  </si>
  <si>
    <t>PROVISAO CLIENTES</t>
  </si>
  <si>
    <t>1.1.02.001.001.0001</t>
  </si>
  <si>
    <t>'11020010010001</t>
  </si>
  <si>
    <t>11020010010001</t>
  </si>
  <si>
    <t>4.7.03.015.024</t>
  </si>
  <si>
    <t>'4703015024</t>
  </si>
  <si>
    <t>4703015024</t>
  </si>
  <si>
    <t>PROVISAO CONTINGENCIAS ADMINISTRATIVAS</t>
  </si>
  <si>
    <t>4.7.03.015.016</t>
  </si>
  <si>
    <t>'4703015016</t>
  </si>
  <si>
    <t>4703015016</t>
  </si>
  <si>
    <t>PROVISÃO CONTINGÊNCIAS CIVEIS</t>
  </si>
  <si>
    <t>4.7.03.015.014</t>
  </si>
  <si>
    <t>'4703015014</t>
  </si>
  <si>
    <t>4703015014</t>
  </si>
  <si>
    <t>PROVISÃO CONTINGÊNCIAS TRABALHISTAS</t>
  </si>
  <si>
    <t>4.7.03.015.018</t>
  </si>
  <si>
    <t>'4703015018</t>
  </si>
  <si>
    <t>4703015018</t>
  </si>
  <si>
    <t>PROVISÃO CONTINGÊNCIAS TRIBUTÁRIA</t>
  </si>
  <si>
    <t>4.7.03.001.029</t>
  </si>
  <si>
    <t>'4703001029</t>
  </si>
  <si>
    <t>4703001029</t>
  </si>
  <si>
    <t>PROVISÃO DE 13° SALARIOS</t>
  </si>
  <si>
    <t>4.7.03.001.032</t>
  </si>
  <si>
    <t>'4703001032</t>
  </si>
  <si>
    <t>4703001032</t>
  </si>
  <si>
    <t>PROVISÃO DE FÉRIAS</t>
  </si>
  <si>
    <t>4.7.03.001.031</t>
  </si>
  <si>
    <t>'4703001031</t>
  </si>
  <si>
    <t>4703001031</t>
  </si>
  <si>
    <t>PROVISÃO DE FGTS S/ 13° SALARIOS</t>
  </si>
  <si>
    <t>4.7.03.001.034</t>
  </si>
  <si>
    <t>'4703001034</t>
  </si>
  <si>
    <t>4703001034</t>
  </si>
  <si>
    <t>PROVISÃO DE FGTS S/ FÉRIAS</t>
  </si>
  <si>
    <t>2.1.03.003.002</t>
  </si>
  <si>
    <t>'2103003002</t>
  </si>
  <si>
    <t>2103003002</t>
  </si>
  <si>
    <t>PROVISAO DE FORNECEDORES</t>
  </si>
  <si>
    <t>4.7.03.001.030</t>
  </si>
  <si>
    <t>'4703001030</t>
  </si>
  <si>
    <t>4703001030</t>
  </si>
  <si>
    <t>PROVISÃO DE INSS S/ 13° SALARIOS</t>
  </si>
  <si>
    <t>4.7.03.001.033</t>
  </si>
  <si>
    <t>'4703001033</t>
  </si>
  <si>
    <t>4703001033</t>
  </si>
  <si>
    <t>PROVISÃO DE INSS S/ FÉRIAS</t>
  </si>
  <si>
    <t>3.1.01.005.001.0001</t>
  </si>
  <si>
    <t>'31010050010001</t>
  </si>
  <si>
    <t>31010050010001</t>
  </si>
  <si>
    <t>PROVISAO DE RECEITA BACKGROUND CHECK</t>
  </si>
  <si>
    <t>3.1.01.006.005.0001</t>
  </si>
  <si>
    <t>'31010060050001</t>
  </si>
  <si>
    <t>31010060050001</t>
  </si>
  <si>
    <t>PROVISAO DE RECEITA CLOUD / INFRA DE TEC</t>
  </si>
  <si>
    <t>3.1.01.005.006.0001</t>
  </si>
  <si>
    <t>'31010050060001</t>
  </si>
  <si>
    <t>31010050060001</t>
  </si>
  <si>
    <t>PROVISAO DE RECEITA LOGISTICS</t>
  </si>
  <si>
    <t>3.1.01.006.004.0001</t>
  </si>
  <si>
    <t>'31010060040001</t>
  </si>
  <si>
    <t>31010060040001</t>
  </si>
  <si>
    <t>PROVISAO DE RECEITA MAO DE OBRA BPO</t>
  </si>
  <si>
    <t>3.1.01.005.096</t>
  </si>
  <si>
    <t>'3101005096</t>
  </si>
  <si>
    <t>3101005096</t>
  </si>
  <si>
    <t>PROVISÃO DE RECEITA MARKETPLACE</t>
  </si>
  <si>
    <t>3.1.01.005.015.0001</t>
  </si>
  <si>
    <t>'31010050150001</t>
  </si>
  <si>
    <t>31010050150001</t>
  </si>
  <si>
    <t>PROVISAO DE RECEITA PREV. DE ACIDENTES</t>
  </si>
  <si>
    <t>3.1.01.005.004.0001</t>
  </si>
  <si>
    <t>'31010050040001</t>
  </si>
  <si>
    <t>31010050040001</t>
  </si>
  <si>
    <t>PROVISAO DE RECEITA RISK MONITORING</t>
  </si>
  <si>
    <t>3.1.01.005.099</t>
  </si>
  <si>
    <t>'3101005099</t>
  </si>
  <si>
    <t>3101005099</t>
  </si>
  <si>
    <t>PROVISAO DE RECEITA SOFTWARE</t>
  </si>
  <si>
    <t>3.1.01.005.002.0001</t>
  </si>
  <si>
    <t>'31010050020001</t>
  </si>
  <si>
    <t>31010050020001</t>
  </si>
  <si>
    <t>3.1.01.006.099</t>
  </si>
  <si>
    <t>'3101006099</t>
  </si>
  <si>
    <t>3101006099</t>
  </si>
  <si>
    <t>PROVISAO DE RECEITA SOFTWARE SAAS</t>
  </si>
  <si>
    <t>3.1.01.006.001.0001</t>
  </si>
  <si>
    <t>'31010060010001</t>
  </si>
  <si>
    <t>31010060010001</t>
  </si>
  <si>
    <t>3.1.01.005.005.0001</t>
  </si>
  <si>
    <t>'31010050050001</t>
  </si>
  <si>
    <t>31010050050001</t>
  </si>
  <si>
    <t>PROVISAO DE RECEITA TELEMATICS</t>
  </si>
  <si>
    <t>3.1.01.005.012.0001</t>
  </si>
  <si>
    <t>'31010050120001</t>
  </si>
  <si>
    <t>31010050120001</t>
  </si>
  <si>
    <t>PROVISAO DE RECEITA TMS/DMS</t>
  </si>
  <si>
    <t>3.1.01.005.017.0001</t>
  </si>
  <si>
    <t>'31010050170001</t>
  </si>
  <si>
    <t>31010050170001</t>
  </si>
  <si>
    <t>PROVISAO DE RECEITA TREINAMENTO,FEIRAS E</t>
  </si>
  <si>
    <t>4.7.03.001.035</t>
  </si>
  <si>
    <t>'4703001035</t>
  </si>
  <si>
    <t>4703001035</t>
  </si>
  <si>
    <t>PROVISAO DISSIDIO</t>
  </si>
  <si>
    <t>2.1.07.005.006</t>
  </si>
  <si>
    <t>'2107005006</t>
  </si>
  <si>
    <t>2107005006</t>
  </si>
  <si>
    <t>PROVISAO FGTS 13 SALARIO</t>
  </si>
  <si>
    <t>2.1.07.005.003</t>
  </si>
  <si>
    <t>'2107005003</t>
  </si>
  <si>
    <t>2107005003</t>
  </si>
  <si>
    <t>PROVISAO FGTS FERIAS</t>
  </si>
  <si>
    <t>2.1.07.005.005</t>
  </si>
  <si>
    <t>'2107005005</t>
  </si>
  <si>
    <t>2107005005</t>
  </si>
  <si>
    <t>PROVISAO INSS 13 SALARIO</t>
  </si>
  <si>
    <t>2.1.07.005.002</t>
  </si>
  <si>
    <t>'2107005002</t>
  </si>
  <si>
    <t>2107005002</t>
  </si>
  <si>
    <t>PROVISAO INSS FERIAS</t>
  </si>
  <si>
    <t>4.7.03.005.003</t>
  </si>
  <si>
    <t>'4703005003</t>
  </si>
  <si>
    <t>4703005003</t>
  </si>
  <si>
    <t>QUILOMETRAGEM</t>
  </si>
  <si>
    <t>4.7.02.001.003</t>
  </si>
  <si>
    <t>'4702001003</t>
  </si>
  <si>
    <t>4702001003</t>
  </si>
  <si>
    <t>RASTREAMENTO VEICULAR</t>
  </si>
  <si>
    <t>3.1.01.005.018.0003</t>
  </si>
  <si>
    <t>'31010050180003</t>
  </si>
  <si>
    <t>31010050180003</t>
  </si>
  <si>
    <t>RECEITA COM MIDIAS</t>
  </si>
  <si>
    <t>4.7.10.001.005</t>
  </si>
  <si>
    <t>'4710001005</t>
  </si>
  <si>
    <t>4710001005</t>
  </si>
  <si>
    <t>RECEITA DE ATUALIZACAO MONETARIA</t>
  </si>
  <si>
    <t>3.1.01.005.017.0003</t>
  </si>
  <si>
    <t>'31010050170003</t>
  </si>
  <si>
    <t>31010050170003</t>
  </si>
  <si>
    <t>RECEITA DE TREINAMENTO, FEIRAS E EVENTOS</t>
  </si>
  <si>
    <t>2.1.09.002.001</t>
  </si>
  <si>
    <t>'2109002001</t>
  </si>
  <si>
    <t>2109002001</t>
  </si>
  <si>
    <t>RECEITA DIFERIDA</t>
  </si>
  <si>
    <t>4.7.11.001.010</t>
  </si>
  <si>
    <t>'4711001010</t>
  </si>
  <si>
    <t>4711001010</t>
  </si>
  <si>
    <t>RECEITA QUEBRA DE CONTRATO</t>
  </si>
  <si>
    <t>4.7.10.001.002</t>
  </si>
  <si>
    <t>'4710001002</t>
  </si>
  <si>
    <t>4710001002</t>
  </si>
  <si>
    <t>RECEITAS DE APLICACAO FINANCEIRAS</t>
  </si>
  <si>
    <t>4.7.03.002.008</t>
  </si>
  <si>
    <t>'4703002008</t>
  </si>
  <si>
    <t>4703002008</t>
  </si>
  <si>
    <t>RECRUTAMENTO E SELECAO</t>
  </si>
  <si>
    <t>4.7.11.001.008</t>
  </si>
  <si>
    <t>'4711001008</t>
  </si>
  <si>
    <t>4711001008</t>
  </si>
  <si>
    <t>RECUPERACAO DE DESPESAS</t>
  </si>
  <si>
    <t>4.7.11.001.011</t>
  </si>
  <si>
    <t>'4711001011</t>
  </si>
  <si>
    <t>4711001011</t>
  </si>
  <si>
    <t>4.7.03.005.002</t>
  </si>
  <si>
    <t>'4703005002</t>
  </si>
  <si>
    <t>4703005002</t>
  </si>
  <si>
    <t>REFEICOES</t>
  </si>
  <si>
    <t>2.1.07.001.002</t>
  </si>
  <si>
    <t>'2107001002</t>
  </si>
  <si>
    <t>2107001002</t>
  </si>
  <si>
    <t>RESCICOES A PAGAR</t>
  </si>
  <si>
    <t>3.1.03.005.009</t>
  </si>
  <si>
    <t>'3103005009</t>
  </si>
  <si>
    <t>3103005009</t>
  </si>
  <si>
    <t>REVERSAO DE IMPOSTOS</t>
  </si>
  <si>
    <t>4703015002</t>
  </si>
  <si>
    <t>'4703015002</t>
  </si>
  <si>
    <t>REVISTAS E PUBLICACOES</t>
  </si>
  <si>
    <t>4.7.03.015.002</t>
  </si>
  <si>
    <t>3.1.01.005.004</t>
  </si>
  <si>
    <t>'3101005004</t>
  </si>
  <si>
    <t>3101005004</t>
  </si>
  <si>
    <t>RISK MONITORING</t>
  </si>
  <si>
    <t>3.1.01.005.004.0003</t>
  </si>
  <si>
    <t>'31010050040003</t>
  </si>
  <si>
    <t>31010050040003</t>
  </si>
  <si>
    <t>2.1.09.099.039</t>
  </si>
  <si>
    <t>'2109099039</t>
  </si>
  <si>
    <t>2109099039</t>
  </si>
  <si>
    <t>RUNTEC INFORMATICA LTDA</t>
  </si>
  <si>
    <t>4.7.03.001.001</t>
  </si>
  <si>
    <t>'4703001001</t>
  </si>
  <si>
    <t>4703001001</t>
  </si>
  <si>
    <t>SALARIOS E ORDENADOS</t>
  </si>
  <si>
    <t>2.1.07.001.001</t>
  </si>
  <si>
    <t>'2107001001</t>
  </si>
  <si>
    <t>2107001001</t>
  </si>
  <si>
    <t>SALARIOS, PRO-LABORE E ORDENADOS A PAGAR</t>
  </si>
  <si>
    <t>1.1.04.023.012</t>
  </si>
  <si>
    <t>'1104023012</t>
  </si>
  <si>
    <t>1104023012</t>
  </si>
  <si>
    <t>SALDO NEGATIVO DE CSLL</t>
  </si>
  <si>
    <t>1.1.04.023.011</t>
  </si>
  <si>
    <t>'1104023011</t>
  </si>
  <si>
    <t>1104023011</t>
  </si>
  <si>
    <t>SALDO NEGATIVO DE IRPJ</t>
  </si>
  <si>
    <t>4.7.03.007.005</t>
  </si>
  <si>
    <t>'4703007005</t>
  </si>
  <si>
    <t>4703007005</t>
  </si>
  <si>
    <t>SEGURANCA E VIGILANCIA</t>
  </si>
  <si>
    <t>4.7.03.002.014</t>
  </si>
  <si>
    <t>'4703002014</t>
  </si>
  <si>
    <t>4703002014</t>
  </si>
  <si>
    <t>SEGURO OPERACIONAL</t>
  </si>
  <si>
    <t>4703013007</t>
  </si>
  <si>
    <t>'4703013007</t>
  </si>
  <si>
    <t>SEGURO VEICULAR</t>
  </si>
  <si>
    <t>4.7.03.013.007</t>
  </si>
  <si>
    <t>4.7.03.004.006</t>
  </si>
  <si>
    <t>'4703004006</t>
  </si>
  <si>
    <t>4703004006</t>
  </si>
  <si>
    <t>SEGUROS CYBER SECURITY</t>
  </si>
  <si>
    <t>4.7.03.007.004</t>
  </si>
  <si>
    <t>'4703007004</t>
  </si>
  <si>
    <t>4703007004</t>
  </si>
  <si>
    <t>SEGUROS DE BENS IMOVEIS</t>
  </si>
  <si>
    <t>4.7.03.001.010</t>
  </si>
  <si>
    <t>'4703001010</t>
  </si>
  <si>
    <t>4703001010</t>
  </si>
  <si>
    <t>SEGUROS DE RESPONSABILIDADE CIVIL</t>
  </si>
  <si>
    <t>4.7.03.001.009</t>
  </si>
  <si>
    <t>'4703001009</t>
  </si>
  <si>
    <t>4703001009</t>
  </si>
  <si>
    <t>SEGUROS DE VIDA EM GRUPO</t>
  </si>
  <si>
    <t>4.7.03.004.005</t>
  </si>
  <si>
    <t>'4703004005</t>
  </si>
  <si>
    <t>4703004005</t>
  </si>
  <si>
    <t>SEGUROS EQUIPAMENTOS DE INFORMATICA</t>
  </si>
  <si>
    <t>4702001004</t>
  </si>
  <si>
    <t>'4702001004</t>
  </si>
  <si>
    <t>SERV GERENCIAMENTO E MONITORAMENTO</t>
  </si>
  <si>
    <t>4.7.03.002.002</t>
  </si>
  <si>
    <t>'4703002002</t>
  </si>
  <si>
    <t>4703002002</t>
  </si>
  <si>
    <t>SERVICOS DE AUDITORIA</t>
  </si>
  <si>
    <t>4703002011</t>
  </si>
  <si>
    <t>'4703002011</t>
  </si>
  <si>
    <t>SERVICOS DE COBRANCA</t>
  </si>
  <si>
    <t>4.7.03.002.011</t>
  </si>
  <si>
    <t>4.7.03.007.002</t>
  </si>
  <si>
    <t>'4703007002</t>
  </si>
  <si>
    <t>4703007002</t>
  </si>
  <si>
    <t>SERVICOS DE CONSERV.DE MANUT.EM BENS LOC</t>
  </si>
  <si>
    <t>4.7.03.002.001</t>
  </si>
  <si>
    <t>'4703002001</t>
  </si>
  <si>
    <t>4703002001</t>
  </si>
  <si>
    <t>SERVICOS DE CONSULTORIA</t>
  </si>
  <si>
    <t>4.7.03.007.006</t>
  </si>
  <si>
    <t>'4703007006</t>
  </si>
  <si>
    <t>4703007006</t>
  </si>
  <si>
    <t>SERVICOS DE LIMPEZA E CONSERVACAO</t>
  </si>
  <si>
    <t>4.7.03.002.006</t>
  </si>
  <si>
    <t>'4703002006</t>
  </si>
  <si>
    <t>4703002006</t>
  </si>
  <si>
    <t>SERVICOS DE PRONTA RESP. E ACOMP. VELADO</t>
  </si>
  <si>
    <t>4.7.03.005.008</t>
  </si>
  <si>
    <t>'4703005008</t>
  </si>
  <si>
    <t>4703005008</t>
  </si>
  <si>
    <t>SERVICOS DE TAXI</t>
  </si>
  <si>
    <t>4.7.03.002.009</t>
  </si>
  <si>
    <t>'4703002009</t>
  </si>
  <si>
    <t>4703002009</t>
  </si>
  <si>
    <t>SERVICOS DE TERCEIROS</t>
  </si>
  <si>
    <t>4.7.03.002.003</t>
  </si>
  <si>
    <t>'4703002003</t>
  </si>
  <si>
    <t>4703002003</t>
  </si>
  <si>
    <t>SERVICOS JURIDICOS</t>
  </si>
  <si>
    <t>4.7.03.002.004</t>
  </si>
  <si>
    <t>'4703002004</t>
  </si>
  <si>
    <t>4703002004</t>
  </si>
  <si>
    <t>SERVICOS MANUTENCAO TI</t>
  </si>
  <si>
    <t>Shared Services</t>
  </si>
  <si>
    <t>'Shared Services</t>
  </si>
  <si>
    <t>1.2.01.002.050</t>
  </si>
  <si>
    <t>'1201002050</t>
  </si>
  <si>
    <t>1201002050</t>
  </si>
  <si>
    <t>SIGNA CONSULT. E SIST. LTDA.</t>
  </si>
  <si>
    <t>2.1.09.099.034</t>
  </si>
  <si>
    <t>'2109099034</t>
  </si>
  <si>
    <t>2109099034</t>
  </si>
  <si>
    <t>SIGNA CONSULTORIA E SISTEMAS</t>
  </si>
  <si>
    <t>2.1.09.099.009</t>
  </si>
  <si>
    <t>'2109099009</t>
  </si>
  <si>
    <t>2109099009</t>
  </si>
  <si>
    <t>SIMETRIAS INFORMATICA LTDA.</t>
  </si>
  <si>
    <t>2.1.09.099.010</t>
  </si>
  <si>
    <t>'2109099010</t>
  </si>
  <si>
    <t>2109099010</t>
  </si>
  <si>
    <t>SIMETRIAS SERVICOS DE PROCESSAMENTO DE D</t>
  </si>
  <si>
    <t>3.1.01.005.002</t>
  </si>
  <si>
    <t>'3101005002</t>
  </si>
  <si>
    <t>3101005002</t>
  </si>
  <si>
    <t>SOFTWARE</t>
  </si>
  <si>
    <t>3.1.01.005.002.0003</t>
  </si>
  <si>
    <t>'31010050020003</t>
  </si>
  <si>
    <t>31010050020003</t>
  </si>
  <si>
    <t>1.2.07.001.006</t>
  </si>
  <si>
    <t>'1207001006</t>
  </si>
  <si>
    <t>1207001006</t>
  </si>
  <si>
    <t>SOFTWARE EM ANDAMENTO</t>
  </si>
  <si>
    <t>3.1.01.006.002</t>
  </si>
  <si>
    <t>'3101006002</t>
  </si>
  <si>
    <t>3101006002</t>
  </si>
  <si>
    <t>SOFTWARE ON PREMISE</t>
  </si>
  <si>
    <t>3.1.01.006.002.0003</t>
  </si>
  <si>
    <t>'31010060020003</t>
  </si>
  <si>
    <t>31010060020003</t>
  </si>
  <si>
    <t>3.1.01.006.001</t>
  </si>
  <si>
    <t>'3101006001</t>
  </si>
  <si>
    <t>3101006001</t>
  </si>
  <si>
    <t>SOFTWARE SAAS</t>
  </si>
  <si>
    <t>3.1.01.006.001.0003</t>
  </si>
  <si>
    <t>'31010060010003</t>
  </si>
  <si>
    <t>31010060010003</t>
  </si>
  <si>
    <t>1.2.07.001.077</t>
  </si>
  <si>
    <t>'1207001077</t>
  </si>
  <si>
    <t>1207001077</t>
  </si>
  <si>
    <t>SOFTWARES - ALOC. AGIO AUTUMN</t>
  </si>
  <si>
    <t>1.2.07.001.078</t>
  </si>
  <si>
    <t>'1207001078</t>
  </si>
  <si>
    <t>1207001078</t>
  </si>
  <si>
    <t>SOFTWARES - ALOC. AGIO AVACON</t>
  </si>
  <si>
    <t>1.2.07.001.001</t>
  </si>
  <si>
    <t>'1207001001</t>
  </si>
  <si>
    <t>1207001001</t>
  </si>
  <si>
    <t>SOFTWARES - PROJETOS INTERNOS</t>
  </si>
  <si>
    <t>1.2.07.001.001.0099</t>
  </si>
  <si>
    <t>'12070010010099</t>
  </si>
  <si>
    <t>12070010010099</t>
  </si>
  <si>
    <t>1.2.07.001.002</t>
  </si>
  <si>
    <t>'1207001002</t>
  </si>
  <si>
    <t>1207001002</t>
  </si>
  <si>
    <t>SOFTWARES - TERCEIROS</t>
  </si>
  <si>
    <t>3.1.01.007.005.0003</t>
  </si>
  <si>
    <t>'31010070050003</t>
  </si>
  <si>
    <t>31010070050003</t>
  </si>
  <si>
    <t>SUPORTE / SUSTENTACAO</t>
  </si>
  <si>
    <t>1.2.01.003.004</t>
  </si>
  <si>
    <t>'1201003004</t>
  </si>
  <si>
    <t>1201003004</t>
  </si>
  <si>
    <t>SWAP A RECEBER</t>
  </si>
  <si>
    <t>4710002008</t>
  </si>
  <si>
    <t>'4710002008</t>
  </si>
  <si>
    <t>TAXA FEE - EMPRESTIMOS</t>
  </si>
  <si>
    <t>1.2.03.001.068</t>
  </si>
  <si>
    <t>'1203001068</t>
  </si>
  <si>
    <t>1203001068</t>
  </si>
  <si>
    <t>TECCHAPECO - AFAC</t>
  </si>
  <si>
    <t>4.7.03.004.003</t>
  </si>
  <si>
    <t>'4703004003</t>
  </si>
  <si>
    <t>4703004003</t>
  </si>
  <si>
    <t>TELECOMUNICACAO</t>
  </si>
  <si>
    <t>3.1.01.005.005.0003</t>
  </si>
  <si>
    <t>'31010050050003</t>
  </si>
  <si>
    <t>31010050050003</t>
  </si>
  <si>
    <t>TELEMATICS</t>
  </si>
  <si>
    <t>4.7.09.001.003</t>
  </si>
  <si>
    <t>'4709001003</t>
  </si>
  <si>
    <t>4709001003</t>
  </si>
  <si>
    <t>TFE</t>
  </si>
  <si>
    <t>1.1.01.003.007</t>
  </si>
  <si>
    <t>'1101003007</t>
  </si>
  <si>
    <t>1101003007</t>
  </si>
  <si>
    <t>TITULO DE CAPITALIZACAO</t>
  </si>
  <si>
    <t>3.1.01.005.012</t>
  </si>
  <si>
    <t>'3101005012</t>
  </si>
  <si>
    <t>3101005012</t>
  </si>
  <si>
    <t>TMS/DMS</t>
  </si>
  <si>
    <t>3.1.01.005.012.0003</t>
  </si>
  <si>
    <t>'31010050120003</t>
  </si>
  <si>
    <t>31010050120003</t>
  </si>
  <si>
    <t>1.2.01.002.026</t>
  </si>
  <si>
    <t>'1201002026</t>
  </si>
  <si>
    <t>1201002026</t>
  </si>
  <si>
    <t>TRAFEGUS SISTEMAS</t>
  </si>
  <si>
    <t>1.1.03.001.004</t>
  </si>
  <si>
    <t>'1103001004</t>
  </si>
  <si>
    <t>1103001004</t>
  </si>
  <si>
    <t>TRANSITORIA DE ESTOQUE</t>
  </si>
  <si>
    <t>1.1.01.002.029</t>
  </si>
  <si>
    <t>'1101002029</t>
  </si>
  <si>
    <t>1101002029</t>
  </si>
  <si>
    <t>TRANSPOCRED</t>
  </si>
  <si>
    <t>4.7.03.001.019</t>
  </si>
  <si>
    <t>'4703001019</t>
  </si>
  <si>
    <t>4703001019</t>
  </si>
  <si>
    <t>TRANSPORTES DE EMPREGADOS</t>
  </si>
  <si>
    <t>4.7.03.001.015</t>
  </si>
  <si>
    <t>'4703001015</t>
  </si>
  <si>
    <t>4703001015</t>
  </si>
  <si>
    <t>TREINAMENTO</t>
  </si>
  <si>
    <t>3.1.01.007.004</t>
  </si>
  <si>
    <t>'3101007004</t>
  </si>
  <si>
    <t>3101007004</t>
  </si>
  <si>
    <t>1.2.01.002.033</t>
  </si>
  <si>
    <t>'1201002033</t>
  </si>
  <si>
    <t>1201002033</t>
  </si>
  <si>
    <t>TRIZY</t>
  </si>
  <si>
    <t>1.2.03.001.030.0007</t>
  </si>
  <si>
    <t>'12030010300007</t>
  </si>
  <si>
    <t>12030010300007</t>
  </si>
  <si>
    <t>TRIZY - AFAC</t>
  </si>
  <si>
    <t>4.7.03.001.020</t>
  </si>
  <si>
    <t>'4703001020</t>
  </si>
  <si>
    <t>4703001020</t>
  </si>
  <si>
    <t>UNIFORMES E E.P.I</t>
  </si>
  <si>
    <t>4.7.10.002.006</t>
  </si>
  <si>
    <t>'4710002006</t>
  </si>
  <si>
    <t>4710002006</t>
  </si>
  <si>
    <t>VARIACAO MONETARIA PASSIVA</t>
  </si>
  <si>
    <t>4.7.10.001.004</t>
  </si>
  <si>
    <t>'4710001004</t>
  </si>
  <si>
    <t>4710001004</t>
  </si>
  <si>
    <t>VARIACOES CAMBIAIS ATIVAS</t>
  </si>
  <si>
    <t>4710002005</t>
  </si>
  <si>
    <t>'4710002005</t>
  </si>
  <si>
    <t>VARIACOES CAMBIAIS PASSIVAS</t>
  </si>
  <si>
    <t>4.7.10.002.005</t>
  </si>
  <si>
    <t>1.2.05.003.006</t>
  </si>
  <si>
    <t>'1205003006</t>
  </si>
  <si>
    <t>1205003006</t>
  </si>
  <si>
    <t>VEICULOS</t>
  </si>
  <si>
    <t>4.7.11.001.002</t>
  </si>
  <si>
    <t>'4711001002</t>
  </si>
  <si>
    <t>4711001002</t>
  </si>
  <si>
    <t>VENDA DE ATIVO IMOBILIZADO</t>
  </si>
  <si>
    <t>3.1.04.001.001</t>
  </si>
  <si>
    <t>'3104001001</t>
  </si>
  <si>
    <t>3104001001</t>
  </si>
  <si>
    <t>VENDA DE MERCADORIAS</t>
  </si>
  <si>
    <t>5.1.01.001.003.0008</t>
  </si>
  <si>
    <t>'51010010030008</t>
  </si>
  <si>
    <t>51010010030008</t>
  </si>
  <si>
    <t>CONTRIB SOCIAL S/PREJUIZO FISCAL</t>
  </si>
  <si>
    <t>5.1.01.001.004.0008</t>
  </si>
  <si>
    <t>'51010010040008</t>
  </si>
  <si>
    <t>51010010040008</t>
  </si>
  <si>
    <t>IMPOSTO DE RENDA S/PREJUIZO FISCAL</t>
  </si>
  <si>
    <t>4.7.11.001.013</t>
  </si>
  <si>
    <t>'4711001013</t>
  </si>
  <si>
    <t>4711001013</t>
  </si>
  <si>
    <t>BONIFICAÇÃO OU BRINDE</t>
  </si>
  <si>
    <t>3.1.01.005.002.0004</t>
  </si>
  <si>
    <t>'31010050020004</t>
  </si>
  <si>
    <t>31010050020004</t>
  </si>
  <si>
    <t>(-) RECEITA DIFERIDA SOFTWARE</t>
  </si>
  <si>
    <t>3.1.01.005.003</t>
  </si>
  <si>
    <t>'3101005003</t>
  </si>
  <si>
    <t>3101005003</t>
  </si>
  <si>
    <t>3.1.01.005.015</t>
  </si>
  <si>
    <t>'3101005015</t>
  </si>
  <si>
    <t>3101005015</t>
  </si>
  <si>
    <t>3.1.01.005.017.0002</t>
  </si>
  <si>
    <t>'31010050170002</t>
  </si>
  <si>
    <t>31010050170002</t>
  </si>
  <si>
    <t>(-) REV. PROV. REC. TREINAMENTO,FEIRAS E</t>
  </si>
  <si>
    <t>3.1.01.006.002.0004</t>
  </si>
  <si>
    <t>'31010060020004</t>
  </si>
  <si>
    <t>31010060020004</t>
  </si>
  <si>
    <t>(-) RECEITA DIFERIDA SOFTWARE ON PREMISE</t>
  </si>
  <si>
    <t>3.1.01.006.004</t>
  </si>
  <si>
    <t>'3101006004</t>
  </si>
  <si>
    <t>3101006004</t>
  </si>
  <si>
    <t>(-) RECEITA DIFERIDA SOFTWARE SAAS</t>
  </si>
  <si>
    <t>3.1.01.006.098</t>
  </si>
  <si>
    <t>'3101006098</t>
  </si>
  <si>
    <t>3101006098</t>
  </si>
  <si>
    <t>3.1.01.007.005</t>
  </si>
  <si>
    <t>'3101007005</t>
  </si>
  <si>
    <t>3101007005</t>
  </si>
  <si>
    <t>(-) RECEITA DIFERIDA IMPLANTACAO</t>
  </si>
  <si>
    <t>3.1.03.005.099</t>
  </si>
  <si>
    <t>'3103005099</t>
  </si>
  <si>
    <t>3103005099</t>
  </si>
  <si>
    <t>(-) IMPOSTOS SOBRE RECEITA DIFERIDA</t>
  </si>
  <si>
    <t>3.1.01.005.012.0004</t>
  </si>
  <si>
    <t>'31010050120004</t>
  </si>
  <si>
    <t>31010050120004</t>
  </si>
  <si>
    <t>4.7.10.002.012</t>
  </si>
  <si>
    <t>'4710002012</t>
  </si>
  <si>
    <t>4710002012</t>
  </si>
  <si>
    <t>RESULTADO NEGATIVO DERIVATIVO SWAP</t>
  </si>
  <si>
    <t>3.1.01.005.014.0004</t>
  </si>
  <si>
    <t>'31010050140004</t>
  </si>
  <si>
    <t>31010050140004</t>
  </si>
  <si>
    <t>(-) RECEITA DIFERIDA FINTECH</t>
  </si>
  <si>
    <t>3.1.01.005.008.0001</t>
  </si>
  <si>
    <t>'31010050080001</t>
  </si>
  <si>
    <t>31010050080001</t>
  </si>
  <si>
    <t>PROVISÃO DE RECEITA CFTV</t>
  </si>
  <si>
    <t>3.1.01.005.008.0002</t>
  </si>
  <si>
    <t>'31010050080002</t>
  </si>
  <si>
    <t>31010050080002</t>
  </si>
  <si>
    <t>(-) REVERSÃO DE RECEITA CFTV</t>
  </si>
  <si>
    <t>4.7.03.013.006</t>
  </si>
  <si>
    <t>3.1.01.005.016.0002</t>
  </si>
  <si>
    <t>(-) REV. PROV. REC. LOCACAO MAO DE OBRA</t>
  </si>
  <si>
    <t>3.1.01.005.008.0003</t>
  </si>
  <si>
    <t>3.1.01.005.014.0001</t>
  </si>
  <si>
    <t>PROVISAO DE RECEITA FINTECH</t>
  </si>
  <si>
    <t>3.1.01.005.012.0002</t>
  </si>
  <si>
    <t>3.1.01.005.016</t>
  </si>
  <si>
    <t>3.1.01.005.014.0002</t>
  </si>
  <si>
    <t>(-) REV. PROV. REC. FINTECH</t>
  </si>
  <si>
    <t>4.7.03.002.017</t>
  </si>
  <si>
    <t>3.1.01.007.006.0002</t>
  </si>
  <si>
    <t>SERVICOS DE CONSULTORIAS EM TECNOLOGIA</t>
  </si>
  <si>
    <t>(-) REV. PROV. REC. OUTRAS RECEITAS</t>
  </si>
  <si>
    <t>4.7.10.002.015</t>
  </si>
  <si>
    <t>ATUALIZAÇÃO IPCA</t>
  </si>
  <si>
    <t>4.7.03.015.017</t>
  </si>
  <si>
    <t xml:space="preserve">(-) REVERSAO DE PROVISOES CIVEIS </t>
  </si>
  <si>
    <t>4.7.10.001.007</t>
  </si>
  <si>
    <t>RESULTADO POSITIVO DERIVATIVO SWAP</t>
  </si>
  <si>
    <t>4.7.03.015.019</t>
  </si>
  <si>
    <t>(-) REVERSAO DE PROVISOES TRIBUTARIA</t>
  </si>
  <si>
    <t>3.1.01.005.004.0004</t>
  </si>
  <si>
    <t xml:space="preserve">(-) RECEITA DIFERIDA RISK MONITORING </t>
  </si>
  <si>
    <t>5.1.01.001.112</t>
  </si>
  <si>
    <t>CONTRIBUIÇÃO SOCIAL DIFERIDO S/PROVISÕES CONTNG CIVEIS</t>
  </si>
  <si>
    <t>5.1.01.001.114</t>
  </si>
  <si>
    <t>5.1.01.001.116</t>
  </si>
  <si>
    <t>IMPOSTO DE RENDA DIFERIDO S/PROVISÕES BONUS</t>
  </si>
  <si>
    <t>5.1.01.001.117</t>
  </si>
  <si>
    <t>IMPOSTO DE RENDA DIFERIDO S/PROVISÕES CONTNG CIVEIS</t>
  </si>
  <si>
    <t>5.1.01.001.119</t>
  </si>
  <si>
    <t>5.1.01.001.120</t>
  </si>
  <si>
    <t>CONTRIBUIÇÃO SOCIAL DIFERIDO S/DIF TEMPORARIAS CAPEX</t>
  </si>
  <si>
    <t>5.1.01.001.121</t>
  </si>
  <si>
    <t>IMPOSTO DE RENDA DIFERIDO S/DIF TEMPORARIAS CAPEX</t>
  </si>
  <si>
    <t>5.1.01.001.004.0010</t>
  </si>
  <si>
    <t>CONTRIBUIÇÃO SOCIAL DIFERIDO PROVISÕES FORNECEDORES</t>
  </si>
  <si>
    <t>4.7.10.001.008</t>
  </si>
  <si>
    <t>RECEITA - ANTECIPAÇÃO CREDENCIADO</t>
  </si>
  <si>
    <t>5.1.01.001.003.0010</t>
  </si>
  <si>
    <t>CONTRIBUIÇÃO SOCIAL DIFERIDO S/PROVISÕES BONUS</t>
  </si>
  <si>
    <t>5.1.01.001.113</t>
  </si>
  <si>
    <t>5.1.01.001.003.0011</t>
  </si>
  <si>
    <t>5.1.01.001.122</t>
  </si>
  <si>
    <t>5.1.01.001.125</t>
  </si>
  <si>
    <t>5.1.01.001.123</t>
  </si>
  <si>
    <t>5.1.01.001.003.0015</t>
  </si>
  <si>
    <t>5.1.01.001.004.0016</t>
  </si>
  <si>
    <t>IMPOSTO DE RENDA DIF PROVISÕES  FORNECEDORES</t>
  </si>
  <si>
    <t>5.1.01.001.004.0011</t>
  </si>
  <si>
    <t>5.1.01.001.118</t>
  </si>
  <si>
    <t>5.1.01.001.124</t>
  </si>
  <si>
    <t>5.1.01.001.004.0013</t>
  </si>
  <si>
    <t>5.1.01.001.003.0013</t>
  </si>
  <si>
    <t>5.1.01.001.004.0012</t>
  </si>
  <si>
    <t>IMPOSTO DE RENDA DIFERIDO S/PROVISÕES CONTNG TRIBUTARIAS</t>
  </si>
  <si>
    <t>5.1.01.001.003.0012</t>
  </si>
  <si>
    <t>CONTRIBUIÇÃO SOCIAL DIFERIDO S/PROVISÕES CONTNG TRIBUTARIAS</t>
  </si>
  <si>
    <t>5.1.01.001.102</t>
  </si>
  <si>
    <t>5.1.01.001.003.0009</t>
  </si>
  <si>
    <t>CONTRIBUIÇÃO SOCIAL DIFERIDO S/PROVISÕES CONTNG ADMINIST</t>
  </si>
  <si>
    <t>5.1.01.001.004.0009</t>
  </si>
  <si>
    <t>IMPOSTO DE RENDA DIFERIDO S/PROVISÕES CONTNG ADMINISTRATIVAS</t>
  </si>
  <si>
    <t>4.7.03.001.096</t>
  </si>
  <si>
    <t>4.7.03.001.097</t>
  </si>
  <si>
    <t>PROVISAO DE BONUS</t>
  </si>
  <si>
    <t>(-) REVERSAO DE BONUS</t>
  </si>
  <si>
    <t>3.1.03.005.010</t>
  </si>
  <si>
    <t>(-) IVA (LOG RISK)</t>
  </si>
  <si>
    <t>IVA</t>
  </si>
  <si>
    <t>REVERSAO DE PROVISAO DE CONTINGENCIA TRABALHISTA</t>
  </si>
  <si>
    <t>(NT-PIS/COFINS) ANTECIPAÇÃO RECEITA (-)</t>
  </si>
  <si>
    <t>4.7.03.004.009</t>
  </si>
  <si>
    <t>GASTOS COM IA</t>
  </si>
  <si>
    <t>ANTECIPAÇÃO DE RECEITA (NT-PIS/COFINS)</t>
  </si>
  <si>
    <t>4.7.03.001.036</t>
  </si>
  <si>
    <t>REMUNERAÇÃO BASEADA EM AÇÕES</t>
  </si>
  <si>
    <t>Comissões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</si>
</sst>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6E8DFF-3B20-49CB-BD3E-7FB599A6D1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B827-A2B7-42BE-B86F-19DD993B7A8F}">
  <dimension ref="A1:I636"/>
  <sheetViews>
    <sheetView showGridLines="0" tabSelected="1" topLeftCell="A607" zoomScale="85" zoomScaleNormal="85" workbookViewId="0">
      <selection activeCell="E632" sqref="E632"/>
    </sheetView>
  </sheetViews>
  <sheetFormatPr defaultRowHeight="15" x14ac:dyDescent="0.25"/>
  <cols>
    <col min="1" max="1" width="20.7109375" bestFit="1" customWidth="1"/>
    <col min="2" max="2" width="26.28515625" bestFit="1" customWidth="1"/>
    <col min="3" max="3" width="24.7109375" bestFit="1" customWidth="1"/>
    <col min="4" max="4" width="69.5703125" bestFit="1" customWidth="1"/>
    <col min="5" max="5" width="25.85546875" bestFit="1" customWidth="1"/>
    <col min="6" max="7" width="44.28515625" bestFit="1" customWidth="1"/>
    <col min="8" max="8" width="11.7109375" bestFit="1" customWidth="1"/>
    <col min="9" max="9" width="5.42578125" bestFit="1" customWidth="1"/>
    <col min="12" max="12" width="1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>
        <f t="shared" ref="H2:H65" si="0">COUNTIF(A:A,A2)</f>
        <v>1</v>
      </c>
    </row>
    <row r="3" spans="1:9" ht="14.4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18</v>
      </c>
      <c r="H3">
        <f t="shared" si="0"/>
        <v>1</v>
      </c>
    </row>
    <row r="4" spans="1:9" ht="14.45" x14ac:dyDescent="0.25">
      <c r="A4" t="s">
        <v>19</v>
      </c>
      <c r="B4" t="s">
        <v>20</v>
      </c>
      <c r="C4" t="s">
        <v>21</v>
      </c>
      <c r="D4" t="s">
        <v>22</v>
      </c>
      <c r="E4" t="s">
        <v>13</v>
      </c>
      <c r="F4" t="s">
        <v>13</v>
      </c>
      <c r="G4" t="s">
        <v>13</v>
      </c>
      <c r="H4">
        <f t="shared" si="0"/>
        <v>1</v>
      </c>
    </row>
    <row r="5" spans="1:9" ht="14.45" x14ac:dyDescent="0.25">
      <c r="A5" t="s">
        <v>23</v>
      </c>
      <c r="B5" t="s">
        <v>24</v>
      </c>
      <c r="C5" t="s">
        <v>25</v>
      </c>
      <c r="D5" t="s">
        <v>26</v>
      </c>
      <c r="E5" t="s">
        <v>13</v>
      </c>
      <c r="F5" t="s">
        <v>13</v>
      </c>
      <c r="G5" t="s">
        <v>13</v>
      </c>
      <c r="H5">
        <f t="shared" si="0"/>
        <v>1</v>
      </c>
    </row>
    <row r="6" spans="1:9" ht="14.45" x14ac:dyDescent="0.25">
      <c r="A6" t="s">
        <v>27</v>
      </c>
      <c r="B6" t="s">
        <v>28</v>
      </c>
      <c r="C6" t="s">
        <v>29</v>
      </c>
      <c r="D6" t="s">
        <v>30</v>
      </c>
      <c r="E6" t="s">
        <v>13</v>
      </c>
      <c r="F6" t="s">
        <v>13</v>
      </c>
      <c r="G6" t="s">
        <v>13</v>
      </c>
      <c r="H6">
        <f t="shared" si="0"/>
        <v>1</v>
      </c>
    </row>
    <row r="7" spans="1:9" ht="14.45" x14ac:dyDescent="0.25">
      <c r="A7" t="s">
        <v>31</v>
      </c>
      <c r="B7" t="s">
        <v>32</v>
      </c>
      <c r="C7" t="s">
        <v>33</v>
      </c>
      <c r="D7" t="s">
        <v>34</v>
      </c>
      <c r="E7" t="s">
        <v>13</v>
      </c>
      <c r="F7" t="s">
        <v>13</v>
      </c>
      <c r="G7" t="s">
        <v>13</v>
      </c>
      <c r="H7">
        <f t="shared" si="0"/>
        <v>1</v>
      </c>
    </row>
    <row r="8" spans="1:9" ht="14.45" x14ac:dyDescent="0.25">
      <c r="A8" t="s">
        <v>35</v>
      </c>
      <c r="B8" t="s">
        <v>36</v>
      </c>
      <c r="C8" t="s">
        <v>37</v>
      </c>
      <c r="D8" t="s">
        <v>38</v>
      </c>
      <c r="E8" t="s">
        <v>13</v>
      </c>
      <c r="F8" t="s">
        <v>13</v>
      </c>
      <c r="G8" t="s">
        <v>13</v>
      </c>
      <c r="H8">
        <f t="shared" si="0"/>
        <v>1</v>
      </c>
    </row>
    <row r="9" spans="1:9" ht="14.45" x14ac:dyDescent="0.25">
      <c r="A9" t="s">
        <v>39</v>
      </c>
      <c r="B9" t="s">
        <v>40</v>
      </c>
      <c r="C9" t="s">
        <v>41</v>
      </c>
      <c r="D9" t="s">
        <v>42</v>
      </c>
      <c r="E9" t="s">
        <v>13</v>
      </c>
      <c r="F9" t="s">
        <v>13</v>
      </c>
      <c r="G9" t="s">
        <v>13</v>
      </c>
      <c r="H9">
        <f t="shared" si="0"/>
        <v>1</v>
      </c>
    </row>
    <row r="10" spans="1:9" ht="14.45" x14ac:dyDescent="0.25">
      <c r="A10" t="s">
        <v>43</v>
      </c>
      <c r="B10" t="s">
        <v>44</v>
      </c>
      <c r="C10" t="s">
        <v>45</v>
      </c>
      <c r="D10" t="s">
        <v>46</v>
      </c>
      <c r="E10" t="s">
        <v>13</v>
      </c>
      <c r="F10" t="s">
        <v>13</v>
      </c>
      <c r="G10" t="s">
        <v>13</v>
      </c>
      <c r="H10">
        <f t="shared" si="0"/>
        <v>1</v>
      </c>
    </row>
    <row r="11" spans="1:9" ht="14.45" x14ac:dyDescent="0.25">
      <c r="A11" t="s">
        <v>47</v>
      </c>
      <c r="B11" t="s">
        <v>48</v>
      </c>
      <c r="C11" t="s">
        <v>49</v>
      </c>
      <c r="D11" t="s">
        <v>50</v>
      </c>
      <c r="E11" t="s">
        <v>13</v>
      </c>
      <c r="F11" t="s">
        <v>13</v>
      </c>
      <c r="G11" t="s">
        <v>13</v>
      </c>
      <c r="H11">
        <f t="shared" si="0"/>
        <v>1</v>
      </c>
    </row>
    <row r="12" spans="1:9" ht="14.45" x14ac:dyDescent="0.25">
      <c r="A12" t="s">
        <v>51</v>
      </c>
      <c r="B12" t="s">
        <v>52</v>
      </c>
      <c r="C12" t="s">
        <v>53</v>
      </c>
      <c r="D12" t="s">
        <v>54</v>
      </c>
      <c r="E12" t="s">
        <v>13</v>
      </c>
      <c r="F12" t="s">
        <v>13</v>
      </c>
      <c r="G12" t="s">
        <v>13</v>
      </c>
      <c r="H12">
        <f t="shared" si="0"/>
        <v>1</v>
      </c>
    </row>
    <row r="13" spans="1:9" ht="14.45" x14ac:dyDescent="0.25">
      <c r="A13" t="s">
        <v>55</v>
      </c>
      <c r="B13" t="s">
        <v>56</v>
      </c>
      <c r="C13" t="s">
        <v>57</v>
      </c>
      <c r="D13" t="s">
        <v>58</v>
      </c>
      <c r="E13" t="s">
        <v>13</v>
      </c>
      <c r="F13" t="s">
        <v>13</v>
      </c>
      <c r="G13" t="s">
        <v>13</v>
      </c>
      <c r="H13">
        <f t="shared" si="0"/>
        <v>1</v>
      </c>
    </row>
    <row r="14" spans="1:9" ht="14.45" x14ac:dyDescent="0.25">
      <c r="A14" t="s">
        <v>59</v>
      </c>
      <c r="B14" t="s">
        <v>60</v>
      </c>
      <c r="C14" t="s">
        <v>61</v>
      </c>
      <c r="D14" t="s">
        <v>62</v>
      </c>
      <c r="E14" t="s">
        <v>13</v>
      </c>
      <c r="F14" t="s">
        <v>13</v>
      </c>
      <c r="G14" t="s">
        <v>13</v>
      </c>
      <c r="H14">
        <f t="shared" si="0"/>
        <v>1</v>
      </c>
    </row>
    <row r="15" spans="1:9" ht="14.45" x14ac:dyDescent="0.25">
      <c r="A15" t="s">
        <v>63</v>
      </c>
      <c r="B15" t="s">
        <v>64</v>
      </c>
      <c r="C15" t="s">
        <v>65</v>
      </c>
      <c r="D15" t="s">
        <v>66</v>
      </c>
      <c r="E15" t="s">
        <v>13</v>
      </c>
      <c r="F15" t="s">
        <v>13</v>
      </c>
      <c r="G15" t="s">
        <v>13</v>
      </c>
      <c r="H15">
        <f t="shared" si="0"/>
        <v>1</v>
      </c>
    </row>
    <row r="16" spans="1:9" ht="14.45" x14ac:dyDescent="0.25">
      <c r="A16" t="s">
        <v>67</v>
      </c>
      <c r="B16" t="s">
        <v>68</v>
      </c>
      <c r="C16" t="s">
        <v>69</v>
      </c>
      <c r="D16" t="s">
        <v>70</v>
      </c>
      <c r="E16" t="s">
        <v>13</v>
      </c>
      <c r="F16" t="s">
        <v>13</v>
      </c>
      <c r="G16" t="s">
        <v>13</v>
      </c>
      <c r="H16">
        <f t="shared" si="0"/>
        <v>1</v>
      </c>
    </row>
    <row r="17" spans="1:9" ht="14.45" x14ac:dyDescent="0.25">
      <c r="A17" t="s">
        <v>71</v>
      </c>
      <c r="B17" t="s">
        <v>72</v>
      </c>
      <c r="C17" t="s">
        <v>73</v>
      </c>
      <c r="D17" t="s">
        <v>74</v>
      </c>
      <c r="E17" t="s">
        <v>13</v>
      </c>
      <c r="F17" t="s">
        <v>13</v>
      </c>
      <c r="G17" t="s">
        <v>13</v>
      </c>
      <c r="H17">
        <f t="shared" si="0"/>
        <v>1</v>
      </c>
    </row>
    <row r="18" spans="1:9" ht="14.45" x14ac:dyDescent="0.25">
      <c r="A18" t="s">
        <v>75</v>
      </c>
      <c r="B18" t="s">
        <v>76</v>
      </c>
      <c r="C18" t="s">
        <v>77</v>
      </c>
      <c r="D18" t="s">
        <v>78</v>
      </c>
      <c r="E18" t="s">
        <v>13</v>
      </c>
      <c r="F18" t="s">
        <v>13</v>
      </c>
      <c r="G18" t="s">
        <v>13</v>
      </c>
      <c r="H18">
        <f t="shared" si="0"/>
        <v>1</v>
      </c>
    </row>
    <row r="19" spans="1:9" ht="14.45" x14ac:dyDescent="0.25">
      <c r="A19" t="s">
        <v>79</v>
      </c>
      <c r="B19" t="s">
        <v>80</v>
      </c>
      <c r="C19" t="s">
        <v>81</v>
      </c>
      <c r="D19" t="s">
        <v>82</v>
      </c>
      <c r="E19" t="s">
        <v>13</v>
      </c>
      <c r="F19" t="s">
        <v>13</v>
      </c>
      <c r="G19" t="s">
        <v>13</v>
      </c>
      <c r="H19">
        <f t="shared" si="0"/>
        <v>1</v>
      </c>
    </row>
    <row r="20" spans="1:9" ht="14.45" x14ac:dyDescent="0.25">
      <c r="A20" t="s">
        <v>83</v>
      </c>
      <c r="B20" t="s">
        <v>84</v>
      </c>
      <c r="C20" t="s">
        <v>85</v>
      </c>
      <c r="D20" t="s">
        <v>86</v>
      </c>
      <c r="E20" t="s">
        <v>13</v>
      </c>
      <c r="F20" t="s">
        <v>87</v>
      </c>
      <c r="G20" t="s">
        <v>87</v>
      </c>
      <c r="H20">
        <f t="shared" si="0"/>
        <v>1</v>
      </c>
      <c r="I20">
        <v>1</v>
      </c>
    </row>
    <row r="21" spans="1:9" ht="14.45" x14ac:dyDescent="0.25">
      <c r="A21" t="s">
        <v>88</v>
      </c>
      <c r="B21" t="s">
        <v>89</v>
      </c>
      <c r="C21" t="s">
        <v>90</v>
      </c>
      <c r="D21" t="s">
        <v>91</v>
      </c>
      <c r="E21" t="s">
        <v>13</v>
      </c>
      <c r="F21" t="s">
        <v>13</v>
      </c>
      <c r="G21" t="s">
        <v>13</v>
      </c>
      <c r="H21">
        <f t="shared" si="0"/>
        <v>1</v>
      </c>
    </row>
    <row r="22" spans="1:9" ht="14.45" x14ac:dyDescent="0.25">
      <c r="A22" t="s">
        <v>92</v>
      </c>
      <c r="B22" t="s">
        <v>93</v>
      </c>
      <c r="C22" t="s">
        <v>94</v>
      </c>
      <c r="D22" t="s">
        <v>95</v>
      </c>
      <c r="E22" t="s">
        <v>13</v>
      </c>
      <c r="F22" t="s">
        <v>13</v>
      </c>
      <c r="G22" t="s">
        <v>13</v>
      </c>
      <c r="H22">
        <f t="shared" si="0"/>
        <v>1</v>
      </c>
    </row>
    <row r="23" spans="1:9" ht="14.45" x14ac:dyDescent="0.25">
      <c r="A23" t="s">
        <v>96</v>
      </c>
      <c r="B23" t="s">
        <v>97</v>
      </c>
      <c r="C23" t="s">
        <v>98</v>
      </c>
      <c r="D23" t="s">
        <v>99</v>
      </c>
      <c r="E23" t="s">
        <v>13</v>
      </c>
      <c r="F23" t="s">
        <v>13</v>
      </c>
      <c r="G23" t="s">
        <v>13</v>
      </c>
      <c r="H23">
        <f t="shared" si="0"/>
        <v>1</v>
      </c>
    </row>
    <row r="24" spans="1:9" ht="14.45" x14ac:dyDescent="0.25">
      <c r="A24" t="s">
        <v>100</v>
      </c>
      <c r="B24" t="s">
        <v>101</v>
      </c>
      <c r="C24" t="s">
        <v>102</v>
      </c>
      <c r="D24" t="s">
        <v>103</v>
      </c>
      <c r="E24" t="s">
        <v>13</v>
      </c>
      <c r="F24" t="s">
        <v>13</v>
      </c>
      <c r="G24" t="s">
        <v>13</v>
      </c>
      <c r="H24">
        <f t="shared" si="0"/>
        <v>1</v>
      </c>
    </row>
    <row r="25" spans="1:9" ht="14.45" x14ac:dyDescent="0.25">
      <c r="A25" t="s">
        <v>104</v>
      </c>
      <c r="B25" t="s">
        <v>105</v>
      </c>
      <c r="C25" t="s">
        <v>106</v>
      </c>
      <c r="D25" t="s">
        <v>107</v>
      </c>
      <c r="E25" t="s">
        <v>13</v>
      </c>
      <c r="F25" t="s">
        <v>13</v>
      </c>
      <c r="G25" t="s">
        <v>13</v>
      </c>
      <c r="H25">
        <f t="shared" si="0"/>
        <v>1</v>
      </c>
    </row>
    <row r="26" spans="1:9" ht="14.45" x14ac:dyDescent="0.25">
      <c r="A26" t="s">
        <v>108</v>
      </c>
      <c r="B26" t="s">
        <v>109</v>
      </c>
      <c r="C26" t="s">
        <v>110</v>
      </c>
      <c r="D26" t="s">
        <v>111</v>
      </c>
      <c r="E26" t="s">
        <v>13</v>
      </c>
      <c r="F26" t="s">
        <v>13</v>
      </c>
      <c r="G26" t="s">
        <v>13</v>
      </c>
      <c r="H26">
        <f t="shared" si="0"/>
        <v>1</v>
      </c>
    </row>
    <row r="27" spans="1:9" ht="14.45" x14ac:dyDescent="0.25">
      <c r="A27" t="s">
        <v>112</v>
      </c>
      <c r="B27" t="s">
        <v>113</v>
      </c>
      <c r="C27" t="s">
        <v>114</v>
      </c>
      <c r="D27" t="s">
        <v>115</v>
      </c>
      <c r="E27" t="s">
        <v>13</v>
      </c>
      <c r="F27" t="s">
        <v>13</v>
      </c>
      <c r="G27" t="s">
        <v>13</v>
      </c>
      <c r="H27">
        <f t="shared" si="0"/>
        <v>1</v>
      </c>
    </row>
    <row r="28" spans="1:9" ht="14.45" x14ac:dyDescent="0.25">
      <c r="A28" t="s">
        <v>116</v>
      </c>
      <c r="B28" t="s">
        <v>117</v>
      </c>
      <c r="C28" t="s">
        <v>118</v>
      </c>
      <c r="D28" t="s">
        <v>119</v>
      </c>
      <c r="E28" t="s">
        <v>13</v>
      </c>
      <c r="F28" t="s">
        <v>13</v>
      </c>
      <c r="G28" t="s">
        <v>13</v>
      </c>
      <c r="H28">
        <f t="shared" si="0"/>
        <v>1</v>
      </c>
    </row>
    <row r="29" spans="1:9" ht="14.45" x14ac:dyDescent="0.25">
      <c r="A29" t="s">
        <v>120</v>
      </c>
      <c r="B29" t="s">
        <v>121</v>
      </c>
      <c r="C29" t="s">
        <v>122</v>
      </c>
      <c r="D29" t="s">
        <v>123</v>
      </c>
      <c r="E29" t="s">
        <v>13</v>
      </c>
      <c r="F29" t="s">
        <v>13</v>
      </c>
      <c r="G29" t="s">
        <v>13</v>
      </c>
      <c r="H29">
        <f t="shared" si="0"/>
        <v>1</v>
      </c>
    </row>
    <row r="30" spans="1:9" ht="14.45" x14ac:dyDescent="0.25">
      <c r="A30" t="s">
        <v>124</v>
      </c>
      <c r="B30" t="s">
        <v>125</v>
      </c>
      <c r="C30" t="s">
        <v>126</v>
      </c>
      <c r="D30" t="s">
        <v>127</v>
      </c>
      <c r="E30" t="s">
        <v>13</v>
      </c>
      <c r="F30" t="s">
        <v>13</v>
      </c>
      <c r="G30" t="s">
        <v>13</v>
      </c>
      <c r="H30">
        <f t="shared" si="0"/>
        <v>1</v>
      </c>
    </row>
    <row r="31" spans="1:9" ht="14.4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</v>
      </c>
      <c r="F31" t="s">
        <v>13</v>
      </c>
      <c r="G31" t="s">
        <v>13</v>
      </c>
      <c r="H31">
        <f t="shared" si="0"/>
        <v>1</v>
      </c>
    </row>
    <row r="32" spans="1:9" ht="14.4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</v>
      </c>
      <c r="F32" t="s">
        <v>13</v>
      </c>
      <c r="G32" t="s">
        <v>13</v>
      </c>
      <c r="H32">
        <f t="shared" si="0"/>
        <v>1</v>
      </c>
    </row>
    <row r="33" spans="1:9" ht="14.45" x14ac:dyDescent="0.25">
      <c r="A33" t="s">
        <v>136</v>
      </c>
      <c r="B33" t="s">
        <v>137</v>
      </c>
      <c r="C33" t="s">
        <v>138</v>
      </c>
      <c r="D33" t="s">
        <v>139</v>
      </c>
      <c r="E33" t="s">
        <v>13</v>
      </c>
      <c r="F33" t="s">
        <v>13</v>
      </c>
      <c r="G33" t="s">
        <v>13</v>
      </c>
      <c r="H33">
        <f t="shared" si="0"/>
        <v>1</v>
      </c>
    </row>
    <row r="34" spans="1:9" ht="14.45" x14ac:dyDescent="0.25">
      <c r="A34" t="s">
        <v>140</v>
      </c>
      <c r="B34" t="s">
        <v>141</v>
      </c>
      <c r="C34" t="s">
        <v>142</v>
      </c>
      <c r="D34" t="s">
        <v>143</v>
      </c>
      <c r="E34" t="s">
        <v>13</v>
      </c>
      <c r="F34" t="s">
        <v>13</v>
      </c>
      <c r="G34" t="s">
        <v>13</v>
      </c>
      <c r="H34">
        <f t="shared" si="0"/>
        <v>1</v>
      </c>
    </row>
    <row r="35" spans="1:9" ht="14.45" x14ac:dyDescent="0.25">
      <c r="A35" t="s">
        <v>144</v>
      </c>
      <c r="B35" t="s">
        <v>145</v>
      </c>
      <c r="C35" t="s">
        <v>146</v>
      </c>
      <c r="D35" t="s">
        <v>143</v>
      </c>
      <c r="E35" t="s">
        <v>13</v>
      </c>
      <c r="F35" t="s">
        <v>13</v>
      </c>
      <c r="G35" t="s">
        <v>13</v>
      </c>
      <c r="H35">
        <f t="shared" si="0"/>
        <v>1</v>
      </c>
    </row>
    <row r="36" spans="1:9" ht="14.45" x14ac:dyDescent="0.25">
      <c r="A36" t="s">
        <v>147</v>
      </c>
      <c r="B36" t="s">
        <v>148</v>
      </c>
      <c r="C36" t="s">
        <v>149</v>
      </c>
      <c r="D36" t="s">
        <v>150</v>
      </c>
      <c r="E36" t="s">
        <v>13</v>
      </c>
      <c r="F36" t="s">
        <v>13</v>
      </c>
      <c r="G36" t="s">
        <v>13</v>
      </c>
      <c r="H36">
        <f t="shared" si="0"/>
        <v>1</v>
      </c>
    </row>
    <row r="37" spans="1:9" ht="14.4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  <c r="F37" t="s">
        <v>156</v>
      </c>
      <c r="G37" t="s">
        <v>154</v>
      </c>
      <c r="H37">
        <f t="shared" si="0"/>
        <v>1</v>
      </c>
      <c r="I37">
        <v>1</v>
      </c>
    </row>
    <row r="38" spans="1:9" ht="14.4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  <c r="F38" t="s">
        <v>156</v>
      </c>
      <c r="G38" t="s">
        <v>162</v>
      </c>
      <c r="H38">
        <f t="shared" si="0"/>
        <v>1</v>
      </c>
      <c r="I38">
        <v>1</v>
      </c>
    </row>
    <row r="39" spans="1:9" ht="14.45" x14ac:dyDescent="0.25">
      <c r="A39" t="s">
        <v>163</v>
      </c>
      <c r="B39" t="s">
        <v>164</v>
      </c>
      <c r="C39" t="s">
        <v>165</v>
      </c>
      <c r="D39" t="s">
        <v>166</v>
      </c>
      <c r="E39" t="s">
        <v>13</v>
      </c>
      <c r="F39" t="s">
        <v>13</v>
      </c>
      <c r="G39" t="s">
        <v>13</v>
      </c>
      <c r="H39">
        <f t="shared" si="0"/>
        <v>1</v>
      </c>
    </row>
    <row r="40" spans="1:9" ht="14.45" x14ac:dyDescent="0.25">
      <c r="A40" t="s">
        <v>167</v>
      </c>
      <c r="B40" t="s">
        <v>168</v>
      </c>
      <c r="C40" t="s">
        <v>169</v>
      </c>
      <c r="D40" t="s">
        <v>170</v>
      </c>
      <c r="E40" t="s">
        <v>13</v>
      </c>
      <c r="F40" t="s">
        <v>13</v>
      </c>
      <c r="G40" t="s">
        <v>13</v>
      </c>
      <c r="H40">
        <f t="shared" si="0"/>
        <v>1</v>
      </c>
    </row>
    <row r="41" spans="1:9" ht="14.45" x14ac:dyDescent="0.25">
      <c r="A41" t="s">
        <v>171</v>
      </c>
      <c r="B41" t="s">
        <v>172</v>
      </c>
      <c r="C41" t="s">
        <v>173</v>
      </c>
      <c r="D41" t="s">
        <v>174</v>
      </c>
      <c r="E41" t="s">
        <v>13</v>
      </c>
      <c r="F41" t="s">
        <v>13</v>
      </c>
      <c r="G41" t="s">
        <v>13</v>
      </c>
      <c r="H41">
        <f t="shared" si="0"/>
        <v>1</v>
      </c>
    </row>
    <row r="42" spans="1:9" ht="14.45" x14ac:dyDescent="0.25">
      <c r="A42" t="s">
        <v>175</v>
      </c>
      <c r="B42" t="s">
        <v>176</v>
      </c>
      <c r="C42" t="s">
        <v>177</v>
      </c>
      <c r="D42" t="s">
        <v>178</v>
      </c>
      <c r="E42" t="s">
        <v>13</v>
      </c>
      <c r="F42" t="s">
        <v>179</v>
      </c>
      <c r="G42" t="s">
        <v>179</v>
      </c>
      <c r="H42">
        <f t="shared" si="0"/>
        <v>1</v>
      </c>
      <c r="I42">
        <v>1</v>
      </c>
    </row>
    <row r="43" spans="1:9" ht="14.45" x14ac:dyDescent="0.25">
      <c r="A43" t="s">
        <v>180</v>
      </c>
      <c r="B43" t="s">
        <v>181</v>
      </c>
      <c r="C43" t="s">
        <v>182</v>
      </c>
      <c r="D43" t="s">
        <v>183</v>
      </c>
      <c r="E43" t="s">
        <v>13</v>
      </c>
      <c r="F43" t="s">
        <v>179</v>
      </c>
      <c r="G43" t="s">
        <v>179</v>
      </c>
      <c r="H43">
        <f t="shared" si="0"/>
        <v>1</v>
      </c>
      <c r="I43">
        <v>1</v>
      </c>
    </row>
    <row r="44" spans="1:9" ht="14.45" x14ac:dyDescent="0.25">
      <c r="A44" t="s">
        <v>184</v>
      </c>
      <c r="B44" t="s">
        <v>185</v>
      </c>
      <c r="C44" t="s">
        <v>186</v>
      </c>
      <c r="D44" t="s">
        <v>187</v>
      </c>
      <c r="E44" t="s">
        <v>13</v>
      </c>
      <c r="F44" t="s">
        <v>13</v>
      </c>
      <c r="G44" t="s">
        <v>13</v>
      </c>
      <c r="H44">
        <f t="shared" si="0"/>
        <v>1</v>
      </c>
    </row>
    <row r="45" spans="1:9" ht="14.45" x14ac:dyDescent="0.25">
      <c r="A45" t="s">
        <v>188</v>
      </c>
      <c r="B45" t="s">
        <v>189</v>
      </c>
      <c r="C45" t="s">
        <v>190</v>
      </c>
      <c r="D45" t="s">
        <v>191</v>
      </c>
      <c r="E45" t="s">
        <v>192</v>
      </c>
      <c r="F45" t="s">
        <v>156</v>
      </c>
      <c r="G45" t="s">
        <v>192</v>
      </c>
      <c r="H45">
        <f t="shared" si="0"/>
        <v>1</v>
      </c>
    </row>
    <row r="46" spans="1:9" ht="14.45" x14ac:dyDescent="0.25">
      <c r="A46" t="s">
        <v>193</v>
      </c>
      <c r="B46" t="s">
        <v>194</v>
      </c>
      <c r="C46" t="s">
        <v>195</v>
      </c>
      <c r="D46" t="s">
        <v>196</v>
      </c>
      <c r="E46" t="s">
        <v>192</v>
      </c>
      <c r="F46" t="s">
        <v>156</v>
      </c>
      <c r="G46" t="s">
        <v>192</v>
      </c>
      <c r="H46">
        <f t="shared" si="0"/>
        <v>1</v>
      </c>
      <c r="I46">
        <v>1</v>
      </c>
    </row>
    <row r="47" spans="1:9" ht="14.45" x14ac:dyDescent="0.25">
      <c r="A47" t="s">
        <v>197</v>
      </c>
      <c r="B47" t="s">
        <v>198</v>
      </c>
      <c r="C47" t="s">
        <v>199</v>
      </c>
      <c r="D47" t="s">
        <v>200</v>
      </c>
      <c r="E47" t="s">
        <v>201</v>
      </c>
      <c r="F47" t="s">
        <v>156</v>
      </c>
      <c r="G47" t="s">
        <v>201</v>
      </c>
      <c r="H47">
        <f t="shared" si="0"/>
        <v>1</v>
      </c>
    </row>
    <row r="48" spans="1:9" ht="14.45" x14ac:dyDescent="0.25">
      <c r="A48" t="s">
        <v>202</v>
      </c>
      <c r="B48" t="s">
        <v>203</v>
      </c>
      <c r="C48" t="s">
        <v>204</v>
      </c>
      <c r="D48" t="s">
        <v>205</v>
      </c>
      <c r="E48" t="s">
        <v>201</v>
      </c>
      <c r="F48" t="s">
        <v>156</v>
      </c>
      <c r="G48" t="s">
        <v>201</v>
      </c>
      <c r="H48">
        <f t="shared" si="0"/>
        <v>1</v>
      </c>
    </row>
    <row r="49" spans="1:9" ht="14.45" x14ac:dyDescent="0.25">
      <c r="A49" t="s">
        <v>206</v>
      </c>
      <c r="B49" t="s">
        <v>207</v>
      </c>
      <c r="C49" t="s">
        <v>208</v>
      </c>
      <c r="D49" t="s">
        <v>209</v>
      </c>
      <c r="E49" t="s">
        <v>161</v>
      </c>
      <c r="F49" t="s">
        <v>156</v>
      </c>
      <c r="G49" t="s">
        <v>162</v>
      </c>
      <c r="H49">
        <f t="shared" si="0"/>
        <v>1</v>
      </c>
      <c r="I49">
        <v>1</v>
      </c>
    </row>
    <row r="50" spans="1:9" ht="14.45" x14ac:dyDescent="0.25">
      <c r="A50" t="s">
        <v>210</v>
      </c>
      <c r="B50" t="s">
        <v>211</v>
      </c>
      <c r="C50" t="s">
        <v>212</v>
      </c>
      <c r="D50" t="s">
        <v>213</v>
      </c>
      <c r="E50" t="s">
        <v>214</v>
      </c>
      <c r="F50" t="s">
        <v>156</v>
      </c>
      <c r="G50" t="s">
        <v>213</v>
      </c>
      <c r="H50">
        <f t="shared" si="0"/>
        <v>1</v>
      </c>
      <c r="I50">
        <v>1</v>
      </c>
    </row>
    <row r="51" spans="1:9" ht="14.45" x14ac:dyDescent="0.25">
      <c r="A51" t="s">
        <v>215</v>
      </c>
      <c r="B51" t="s">
        <v>216</v>
      </c>
      <c r="C51" t="s">
        <v>217</v>
      </c>
      <c r="D51" t="s">
        <v>218</v>
      </c>
      <c r="E51" t="s">
        <v>219</v>
      </c>
      <c r="F51" t="s">
        <v>156</v>
      </c>
      <c r="G51" t="s">
        <v>218</v>
      </c>
      <c r="H51">
        <f t="shared" si="0"/>
        <v>1</v>
      </c>
      <c r="I51">
        <v>1</v>
      </c>
    </row>
    <row r="52" spans="1:9" ht="14.45" x14ac:dyDescent="0.25">
      <c r="A52" t="s">
        <v>220</v>
      </c>
      <c r="B52" t="s">
        <v>221</v>
      </c>
      <c r="C52" t="s">
        <v>222</v>
      </c>
      <c r="D52" t="s">
        <v>223</v>
      </c>
      <c r="E52" t="s">
        <v>224</v>
      </c>
      <c r="F52" t="s">
        <v>224</v>
      </c>
      <c r="G52" t="s">
        <v>224</v>
      </c>
      <c r="H52">
        <f t="shared" si="0"/>
        <v>1</v>
      </c>
      <c r="I52">
        <v>1</v>
      </c>
    </row>
    <row r="53" spans="1:9" ht="14.45" x14ac:dyDescent="0.25">
      <c r="A53" t="s">
        <v>225</v>
      </c>
      <c r="B53" t="s">
        <v>226</v>
      </c>
      <c r="C53" t="s">
        <v>227</v>
      </c>
      <c r="D53" t="s">
        <v>228</v>
      </c>
      <c r="E53" t="s">
        <v>219</v>
      </c>
      <c r="F53" t="s">
        <v>156</v>
      </c>
      <c r="G53" t="s">
        <v>229</v>
      </c>
      <c r="H53">
        <f t="shared" si="0"/>
        <v>1</v>
      </c>
      <c r="I53">
        <v>1</v>
      </c>
    </row>
    <row r="54" spans="1:9" ht="14.45" x14ac:dyDescent="0.25">
      <c r="A54" t="s">
        <v>230</v>
      </c>
      <c r="B54" t="s">
        <v>231</v>
      </c>
      <c r="C54" t="s">
        <v>232</v>
      </c>
      <c r="D54" t="s">
        <v>233</v>
      </c>
      <c r="E54" t="s">
        <v>13</v>
      </c>
      <c r="F54" t="s">
        <v>13</v>
      </c>
      <c r="G54" t="s">
        <v>13</v>
      </c>
      <c r="H54">
        <f t="shared" si="0"/>
        <v>1</v>
      </c>
    </row>
    <row r="55" spans="1:9" ht="14.45" x14ac:dyDescent="0.25">
      <c r="A55" t="s">
        <v>234</v>
      </c>
      <c r="B55" t="s">
        <v>235</v>
      </c>
      <c r="C55" t="s">
        <v>236</v>
      </c>
      <c r="D55" t="s">
        <v>237</v>
      </c>
      <c r="E55" t="s">
        <v>18</v>
      </c>
      <c r="F55" t="s">
        <v>18</v>
      </c>
      <c r="G55" t="s">
        <v>18</v>
      </c>
      <c r="H55">
        <f t="shared" si="0"/>
        <v>1</v>
      </c>
    </row>
    <row r="56" spans="1:9" ht="14.45" x14ac:dyDescent="0.25">
      <c r="A56" t="s">
        <v>238</v>
      </c>
      <c r="B56" t="s">
        <v>239</v>
      </c>
      <c r="C56" t="s">
        <v>240</v>
      </c>
      <c r="D56" t="s">
        <v>241</v>
      </c>
      <c r="E56" t="s">
        <v>18</v>
      </c>
      <c r="F56" t="s">
        <v>18</v>
      </c>
      <c r="G56" t="s">
        <v>18</v>
      </c>
      <c r="H56">
        <f t="shared" si="0"/>
        <v>1</v>
      </c>
    </row>
    <row r="57" spans="1:9" ht="14.45" x14ac:dyDescent="0.25">
      <c r="A57" t="s">
        <v>242</v>
      </c>
      <c r="B57" t="s">
        <v>243</v>
      </c>
      <c r="C57" t="s">
        <v>244</v>
      </c>
      <c r="D57" t="s">
        <v>245</v>
      </c>
      <c r="E57" t="s">
        <v>229</v>
      </c>
      <c r="F57" t="s">
        <v>246</v>
      </c>
      <c r="G57" t="s">
        <v>247</v>
      </c>
      <c r="H57">
        <f t="shared" si="0"/>
        <v>1</v>
      </c>
    </row>
    <row r="58" spans="1:9" ht="14.45" x14ac:dyDescent="0.25">
      <c r="A58" t="s">
        <v>248</v>
      </c>
      <c r="B58" t="s">
        <v>249</v>
      </c>
      <c r="C58" t="s">
        <v>250</v>
      </c>
      <c r="D58" t="s">
        <v>251</v>
      </c>
      <c r="E58" t="s">
        <v>18</v>
      </c>
      <c r="F58" t="s">
        <v>18</v>
      </c>
      <c r="G58" t="s">
        <v>18</v>
      </c>
      <c r="H58">
        <f t="shared" si="0"/>
        <v>1</v>
      </c>
      <c r="I58">
        <v>1</v>
      </c>
    </row>
    <row r="59" spans="1:9" ht="14.45" x14ac:dyDescent="0.25">
      <c r="A59" t="s">
        <v>252</v>
      </c>
      <c r="B59" t="s">
        <v>253</v>
      </c>
      <c r="C59" t="s">
        <v>254</v>
      </c>
      <c r="D59" t="s">
        <v>255</v>
      </c>
      <c r="E59" t="s">
        <v>18</v>
      </c>
      <c r="F59" t="s">
        <v>18</v>
      </c>
      <c r="G59" t="s">
        <v>18</v>
      </c>
      <c r="H59">
        <f t="shared" si="0"/>
        <v>1</v>
      </c>
      <c r="I59">
        <v>1</v>
      </c>
    </row>
    <row r="60" spans="1:9" ht="14.45" x14ac:dyDescent="0.25">
      <c r="A60" t="s">
        <v>256</v>
      </c>
      <c r="B60" t="s">
        <v>257</v>
      </c>
      <c r="C60" t="s">
        <v>258</v>
      </c>
      <c r="D60" t="s">
        <v>259</v>
      </c>
      <c r="E60" t="s">
        <v>18</v>
      </c>
      <c r="F60" t="s">
        <v>18</v>
      </c>
      <c r="G60" t="s">
        <v>18</v>
      </c>
      <c r="H60">
        <f t="shared" si="0"/>
        <v>1</v>
      </c>
      <c r="I60">
        <v>1</v>
      </c>
    </row>
    <row r="61" spans="1:9" ht="14.45" x14ac:dyDescent="0.25">
      <c r="A61" t="s">
        <v>260</v>
      </c>
      <c r="B61" t="s">
        <v>261</v>
      </c>
      <c r="C61" t="s">
        <v>262</v>
      </c>
      <c r="D61" t="s">
        <v>263</v>
      </c>
      <c r="E61" t="s">
        <v>18</v>
      </c>
      <c r="F61" t="s">
        <v>18</v>
      </c>
      <c r="G61" t="s">
        <v>18</v>
      </c>
      <c r="H61">
        <f t="shared" si="0"/>
        <v>1</v>
      </c>
      <c r="I61">
        <v>1</v>
      </c>
    </row>
    <row r="62" spans="1:9" ht="14.45" x14ac:dyDescent="0.25">
      <c r="A62" t="s">
        <v>264</v>
      </c>
      <c r="B62" t="s">
        <v>265</v>
      </c>
      <c r="C62" t="s">
        <v>266</v>
      </c>
      <c r="D62" t="s">
        <v>267</v>
      </c>
      <c r="E62" t="s">
        <v>18</v>
      </c>
      <c r="F62" t="s">
        <v>18</v>
      </c>
      <c r="G62" t="s">
        <v>18</v>
      </c>
      <c r="H62">
        <f t="shared" si="0"/>
        <v>1</v>
      </c>
    </row>
    <row r="63" spans="1:9" ht="14.45" x14ac:dyDescent="0.25">
      <c r="A63" t="s">
        <v>268</v>
      </c>
      <c r="B63" t="s">
        <v>269</v>
      </c>
      <c r="C63" t="s">
        <v>270</v>
      </c>
      <c r="D63" t="s">
        <v>271</v>
      </c>
      <c r="E63" t="s">
        <v>18</v>
      </c>
      <c r="F63" t="s">
        <v>18</v>
      </c>
      <c r="G63" t="s">
        <v>18</v>
      </c>
      <c r="H63">
        <f t="shared" si="0"/>
        <v>1</v>
      </c>
      <c r="I63">
        <v>1</v>
      </c>
    </row>
    <row r="64" spans="1:9" ht="14.45" x14ac:dyDescent="0.25">
      <c r="A64" t="s">
        <v>272</v>
      </c>
      <c r="B64" t="s">
        <v>273</v>
      </c>
      <c r="C64" t="s">
        <v>274</v>
      </c>
      <c r="D64" t="s">
        <v>275</v>
      </c>
      <c r="E64" t="s">
        <v>18</v>
      </c>
      <c r="F64" t="s">
        <v>18</v>
      </c>
      <c r="G64" t="s">
        <v>18</v>
      </c>
      <c r="H64">
        <f t="shared" si="0"/>
        <v>1</v>
      </c>
      <c r="I64">
        <v>1</v>
      </c>
    </row>
    <row r="65" spans="1:9" ht="14.45" x14ac:dyDescent="0.25">
      <c r="A65" t="s">
        <v>276</v>
      </c>
      <c r="B65" t="s">
        <v>277</v>
      </c>
      <c r="C65" t="s">
        <v>278</v>
      </c>
      <c r="D65" t="s">
        <v>279</v>
      </c>
      <c r="E65" t="s">
        <v>18</v>
      </c>
      <c r="F65" t="s">
        <v>18</v>
      </c>
      <c r="G65" t="s">
        <v>18</v>
      </c>
      <c r="H65">
        <f t="shared" si="0"/>
        <v>1</v>
      </c>
      <c r="I65">
        <v>1</v>
      </c>
    </row>
    <row r="66" spans="1:9" ht="14.45" x14ac:dyDescent="0.25">
      <c r="A66" t="s">
        <v>280</v>
      </c>
      <c r="B66" t="s">
        <v>281</v>
      </c>
      <c r="C66" t="s">
        <v>282</v>
      </c>
      <c r="D66" t="s">
        <v>283</v>
      </c>
      <c r="E66" t="s">
        <v>18</v>
      </c>
      <c r="F66" t="s">
        <v>18</v>
      </c>
      <c r="G66" t="s">
        <v>18</v>
      </c>
      <c r="H66">
        <f t="shared" ref="H66:H129" si="1">COUNTIF(A:A,A66)</f>
        <v>1</v>
      </c>
      <c r="I66">
        <v>1</v>
      </c>
    </row>
    <row r="67" spans="1:9" ht="14.45" x14ac:dyDescent="0.25">
      <c r="A67" t="s">
        <v>284</v>
      </c>
      <c r="B67" t="s">
        <v>285</v>
      </c>
      <c r="C67" t="s">
        <v>286</v>
      </c>
      <c r="D67" t="s">
        <v>287</v>
      </c>
      <c r="E67" t="s">
        <v>18</v>
      </c>
      <c r="F67" t="s">
        <v>18</v>
      </c>
      <c r="G67" t="s">
        <v>18</v>
      </c>
      <c r="H67">
        <f t="shared" si="1"/>
        <v>1</v>
      </c>
      <c r="I67">
        <v>1</v>
      </c>
    </row>
    <row r="68" spans="1:9" ht="14.45" x14ac:dyDescent="0.25">
      <c r="A68" t="s">
        <v>288</v>
      </c>
      <c r="B68" t="s">
        <v>289</v>
      </c>
      <c r="C68" t="s">
        <v>290</v>
      </c>
      <c r="D68" t="s">
        <v>287</v>
      </c>
      <c r="E68" t="s">
        <v>18</v>
      </c>
      <c r="F68" t="s">
        <v>18</v>
      </c>
      <c r="G68" t="s">
        <v>18</v>
      </c>
      <c r="H68">
        <f t="shared" si="1"/>
        <v>1</v>
      </c>
    </row>
    <row r="69" spans="1:9" ht="14.45" x14ac:dyDescent="0.25">
      <c r="A69" t="s">
        <v>291</v>
      </c>
      <c r="B69" t="s">
        <v>292</v>
      </c>
      <c r="C69" t="s">
        <v>293</v>
      </c>
      <c r="D69" t="s">
        <v>294</v>
      </c>
      <c r="E69" t="s">
        <v>18</v>
      </c>
      <c r="F69" t="s">
        <v>18</v>
      </c>
      <c r="G69" t="s">
        <v>18</v>
      </c>
      <c r="H69">
        <f t="shared" si="1"/>
        <v>1</v>
      </c>
      <c r="I69">
        <v>1</v>
      </c>
    </row>
    <row r="70" spans="1:9" ht="14.45" x14ac:dyDescent="0.25">
      <c r="A70" t="s">
        <v>295</v>
      </c>
      <c r="B70" t="s">
        <v>296</v>
      </c>
      <c r="C70" t="s">
        <v>297</v>
      </c>
      <c r="D70" t="s">
        <v>294</v>
      </c>
      <c r="E70" t="s">
        <v>18</v>
      </c>
      <c r="F70" t="s">
        <v>18</v>
      </c>
      <c r="G70" t="s">
        <v>18</v>
      </c>
      <c r="H70">
        <f t="shared" si="1"/>
        <v>1</v>
      </c>
    </row>
    <row r="71" spans="1:9" ht="14.45" x14ac:dyDescent="0.25">
      <c r="A71" t="s">
        <v>298</v>
      </c>
      <c r="B71" t="s">
        <v>299</v>
      </c>
      <c r="C71" t="s">
        <v>300</v>
      </c>
      <c r="D71" t="s">
        <v>301</v>
      </c>
      <c r="E71" t="s">
        <v>18</v>
      </c>
      <c r="F71" t="s">
        <v>18</v>
      </c>
      <c r="G71" t="s">
        <v>18</v>
      </c>
      <c r="H71">
        <f t="shared" si="1"/>
        <v>1</v>
      </c>
    </row>
    <row r="72" spans="1:9" ht="14.45" x14ac:dyDescent="0.25">
      <c r="A72" t="s">
        <v>302</v>
      </c>
      <c r="B72" t="s">
        <v>303</v>
      </c>
      <c r="C72" t="s">
        <v>304</v>
      </c>
      <c r="D72" t="s">
        <v>305</v>
      </c>
      <c r="E72" t="s">
        <v>18</v>
      </c>
      <c r="F72" t="s">
        <v>18</v>
      </c>
      <c r="G72" t="s">
        <v>18</v>
      </c>
      <c r="H72">
        <f t="shared" si="1"/>
        <v>1</v>
      </c>
      <c r="I72">
        <v>1</v>
      </c>
    </row>
    <row r="73" spans="1:9" ht="14.45" x14ac:dyDescent="0.25">
      <c r="A73" t="s">
        <v>306</v>
      </c>
      <c r="B73" t="s">
        <v>307</v>
      </c>
      <c r="C73" t="s">
        <v>308</v>
      </c>
      <c r="D73" t="s">
        <v>309</v>
      </c>
      <c r="E73" t="s">
        <v>229</v>
      </c>
      <c r="F73" t="s">
        <v>246</v>
      </c>
      <c r="G73" t="s">
        <v>247</v>
      </c>
      <c r="H73">
        <f t="shared" si="1"/>
        <v>1</v>
      </c>
    </row>
    <row r="74" spans="1:9" ht="14.45" x14ac:dyDescent="0.25">
      <c r="A74" t="s">
        <v>310</v>
      </c>
      <c r="B74" t="s">
        <v>311</v>
      </c>
      <c r="C74" t="s">
        <v>310</v>
      </c>
      <c r="D74" t="s">
        <v>312</v>
      </c>
      <c r="E74" t="s">
        <v>229</v>
      </c>
      <c r="F74" t="s">
        <v>246</v>
      </c>
      <c r="G74" t="s">
        <v>247</v>
      </c>
      <c r="H74">
        <f t="shared" si="1"/>
        <v>1</v>
      </c>
      <c r="I74">
        <v>1</v>
      </c>
    </row>
    <row r="75" spans="1:9" ht="14.45" x14ac:dyDescent="0.25">
      <c r="A75" t="s">
        <v>313</v>
      </c>
      <c r="B75" t="s">
        <v>314</v>
      </c>
      <c r="C75" t="s">
        <v>315</v>
      </c>
      <c r="D75" t="s">
        <v>316</v>
      </c>
      <c r="E75" t="s">
        <v>229</v>
      </c>
      <c r="F75" t="s">
        <v>246</v>
      </c>
      <c r="G75" t="s">
        <v>247</v>
      </c>
      <c r="H75">
        <f t="shared" si="1"/>
        <v>1</v>
      </c>
      <c r="I75">
        <v>1</v>
      </c>
    </row>
    <row r="76" spans="1:9" ht="14.45" x14ac:dyDescent="0.25">
      <c r="A76" t="s">
        <v>317</v>
      </c>
      <c r="B76" t="s">
        <v>318</v>
      </c>
      <c r="C76" t="s">
        <v>317</v>
      </c>
      <c r="D76" t="s">
        <v>319</v>
      </c>
      <c r="E76" t="s">
        <v>229</v>
      </c>
      <c r="F76" t="s">
        <v>246</v>
      </c>
      <c r="G76" t="s">
        <v>247</v>
      </c>
      <c r="H76">
        <f t="shared" si="1"/>
        <v>1</v>
      </c>
      <c r="I76">
        <v>1</v>
      </c>
    </row>
    <row r="77" spans="1:9" ht="14.45" x14ac:dyDescent="0.25">
      <c r="A77" t="s">
        <v>320</v>
      </c>
      <c r="B77" t="s">
        <v>321</v>
      </c>
      <c r="C77" t="s">
        <v>322</v>
      </c>
      <c r="D77" t="s">
        <v>323</v>
      </c>
      <c r="E77" t="s">
        <v>18</v>
      </c>
      <c r="F77" t="s">
        <v>18</v>
      </c>
      <c r="G77" t="s">
        <v>18</v>
      </c>
      <c r="H77">
        <f t="shared" si="1"/>
        <v>1</v>
      </c>
      <c r="I77">
        <v>1</v>
      </c>
    </row>
    <row r="78" spans="1:9" ht="14.45" x14ac:dyDescent="0.25">
      <c r="A78" t="s">
        <v>324</v>
      </c>
      <c r="B78" t="s">
        <v>325</v>
      </c>
      <c r="C78" t="s">
        <v>326</v>
      </c>
      <c r="D78" t="s">
        <v>327</v>
      </c>
      <c r="E78" t="s">
        <v>13</v>
      </c>
      <c r="F78" t="s">
        <v>13</v>
      </c>
      <c r="G78" t="s">
        <v>13</v>
      </c>
      <c r="H78">
        <f t="shared" si="1"/>
        <v>1</v>
      </c>
    </row>
    <row r="79" spans="1:9" ht="14.45" x14ac:dyDescent="0.25">
      <c r="A79" t="s">
        <v>328</v>
      </c>
      <c r="B79" t="s">
        <v>329</v>
      </c>
      <c r="C79" t="s">
        <v>330</v>
      </c>
      <c r="D79" t="s">
        <v>331</v>
      </c>
      <c r="E79" t="s">
        <v>332</v>
      </c>
      <c r="F79" t="s">
        <v>332</v>
      </c>
      <c r="G79" t="s">
        <v>332</v>
      </c>
      <c r="H79">
        <f t="shared" si="1"/>
        <v>1</v>
      </c>
    </row>
    <row r="80" spans="1:9" ht="14.45" x14ac:dyDescent="0.25">
      <c r="A80" t="s">
        <v>333</v>
      </c>
      <c r="B80" t="s">
        <v>334</v>
      </c>
      <c r="C80" t="s">
        <v>335</v>
      </c>
      <c r="D80" t="s">
        <v>336</v>
      </c>
      <c r="E80" t="s">
        <v>13</v>
      </c>
      <c r="F80" t="s">
        <v>337</v>
      </c>
      <c r="G80" t="s">
        <v>337</v>
      </c>
      <c r="H80">
        <f t="shared" si="1"/>
        <v>1</v>
      </c>
      <c r="I80">
        <v>1</v>
      </c>
    </row>
    <row r="81" spans="1:9" ht="14.45" x14ac:dyDescent="0.25">
      <c r="A81" t="s">
        <v>338</v>
      </c>
      <c r="B81" t="s">
        <v>339</v>
      </c>
      <c r="C81" t="s">
        <v>340</v>
      </c>
      <c r="D81" t="s">
        <v>341</v>
      </c>
      <c r="E81" t="s">
        <v>13</v>
      </c>
      <c r="F81" t="s">
        <v>13</v>
      </c>
      <c r="G81" t="s">
        <v>13</v>
      </c>
      <c r="H81">
        <f t="shared" si="1"/>
        <v>1</v>
      </c>
    </row>
    <row r="82" spans="1:9" ht="14.45" x14ac:dyDescent="0.25">
      <c r="A82" t="s">
        <v>342</v>
      </c>
      <c r="B82" t="s">
        <v>343</v>
      </c>
      <c r="C82" t="s">
        <v>344</v>
      </c>
      <c r="D82" t="s">
        <v>345</v>
      </c>
      <c r="E82" t="s">
        <v>13</v>
      </c>
      <c r="F82" t="s">
        <v>13</v>
      </c>
      <c r="G82" t="s">
        <v>13</v>
      </c>
      <c r="H82">
        <f t="shared" si="1"/>
        <v>1</v>
      </c>
      <c r="I82">
        <v>1</v>
      </c>
    </row>
    <row r="83" spans="1:9" ht="14.45" x14ac:dyDescent="0.25">
      <c r="A83" t="s">
        <v>346</v>
      </c>
      <c r="B83" t="s">
        <v>347</v>
      </c>
      <c r="C83" t="s">
        <v>348</v>
      </c>
      <c r="D83" t="s">
        <v>349</v>
      </c>
      <c r="E83" t="s">
        <v>332</v>
      </c>
      <c r="F83" t="s">
        <v>350</v>
      </c>
      <c r="G83" t="s">
        <v>350</v>
      </c>
      <c r="H83">
        <f t="shared" si="1"/>
        <v>1</v>
      </c>
      <c r="I83">
        <v>1</v>
      </c>
    </row>
    <row r="84" spans="1:9" ht="14.45" x14ac:dyDescent="0.25">
      <c r="A84" t="s">
        <v>351</v>
      </c>
      <c r="B84" t="s">
        <v>352</v>
      </c>
      <c r="C84" t="s">
        <v>353</v>
      </c>
      <c r="D84" t="s">
        <v>354</v>
      </c>
      <c r="E84" t="s">
        <v>13</v>
      </c>
      <c r="F84" t="s">
        <v>337</v>
      </c>
      <c r="G84" t="s">
        <v>337</v>
      </c>
      <c r="H84">
        <f t="shared" si="1"/>
        <v>1</v>
      </c>
      <c r="I84">
        <v>1</v>
      </c>
    </row>
    <row r="85" spans="1:9" ht="14.45" x14ac:dyDescent="0.25">
      <c r="A85" t="s">
        <v>355</v>
      </c>
      <c r="B85" t="s">
        <v>356</v>
      </c>
      <c r="C85" t="s">
        <v>357</v>
      </c>
      <c r="D85" t="s">
        <v>358</v>
      </c>
      <c r="E85" t="s">
        <v>13</v>
      </c>
      <c r="F85" t="s">
        <v>13</v>
      </c>
      <c r="G85" t="s">
        <v>13</v>
      </c>
      <c r="H85">
        <f t="shared" si="1"/>
        <v>1</v>
      </c>
      <c r="I85">
        <v>1</v>
      </c>
    </row>
    <row r="86" spans="1:9" ht="14.45" x14ac:dyDescent="0.25">
      <c r="A86" t="s">
        <v>359</v>
      </c>
      <c r="B86" t="s">
        <v>360</v>
      </c>
      <c r="C86" t="s">
        <v>361</v>
      </c>
      <c r="D86" t="s">
        <v>362</v>
      </c>
      <c r="E86" t="s">
        <v>13</v>
      </c>
      <c r="F86" t="s">
        <v>13</v>
      </c>
      <c r="G86" t="s">
        <v>13</v>
      </c>
      <c r="H86">
        <f t="shared" si="1"/>
        <v>1</v>
      </c>
    </row>
    <row r="87" spans="1:9" ht="14.45" x14ac:dyDescent="0.25">
      <c r="A87" t="s">
        <v>363</v>
      </c>
      <c r="B87" t="s">
        <v>364</v>
      </c>
      <c r="C87" t="s">
        <v>365</v>
      </c>
      <c r="D87" t="s">
        <v>366</v>
      </c>
      <c r="E87" t="s">
        <v>367</v>
      </c>
      <c r="F87" t="s">
        <v>246</v>
      </c>
      <c r="G87" t="s">
        <v>368</v>
      </c>
      <c r="H87">
        <f t="shared" si="1"/>
        <v>1</v>
      </c>
      <c r="I87">
        <v>1</v>
      </c>
    </row>
    <row r="88" spans="1:9" ht="14.45" x14ac:dyDescent="0.25">
      <c r="A88" t="s">
        <v>369</v>
      </c>
      <c r="B88" t="s">
        <v>370</v>
      </c>
      <c r="C88" t="s">
        <v>371</v>
      </c>
      <c r="D88" t="s">
        <v>372</v>
      </c>
      <c r="E88" t="s">
        <v>367</v>
      </c>
      <c r="F88" t="s">
        <v>246</v>
      </c>
      <c r="G88" t="s">
        <v>368</v>
      </c>
      <c r="H88">
        <f t="shared" si="1"/>
        <v>1</v>
      </c>
      <c r="I88">
        <v>1</v>
      </c>
    </row>
    <row r="89" spans="1:9" ht="14.45" x14ac:dyDescent="0.25">
      <c r="A89" t="s">
        <v>373</v>
      </c>
      <c r="B89" t="s">
        <v>374</v>
      </c>
      <c r="C89" t="s">
        <v>375</v>
      </c>
      <c r="D89" t="s">
        <v>376</v>
      </c>
      <c r="E89" t="s">
        <v>229</v>
      </c>
      <c r="F89" t="s">
        <v>377</v>
      </c>
      <c r="G89" t="s">
        <v>378</v>
      </c>
      <c r="H89">
        <f t="shared" si="1"/>
        <v>1</v>
      </c>
      <c r="I89">
        <v>1</v>
      </c>
    </row>
    <row r="90" spans="1:9" ht="14.45" x14ac:dyDescent="0.25">
      <c r="A90" t="s">
        <v>379</v>
      </c>
      <c r="B90" t="s">
        <v>380</v>
      </c>
      <c r="C90" t="s">
        <v>381</v>
      </c>
      <c r="D90" t="s">
        <v>382</v>
      </c>
      <c r="E90" t="s">
        <v>383</v>
      </c>
      <c r="F90" t="s">
        <v>384</v>
      </c>
      <c r="G90" t="s">
        <v>385</v>
      </c>
      <c r="H90">
        <f t="shared" si="1"/>
        <v>1</v>
      </c>
      <c r="I90">
        <v>1</v>
      </c>
    </row>
    <row r="91" spans="1:9" ht="14.45" x14ac:dyDescent="0.25">
      <c r="A91" t="s">
        <v>386</v>
      </c>
      <c r="B91" t="s">
        <v>387</v>
      </c>
      <c r="C91" t="s">
        <v>388</v>
      </c>
      <c r="D91" t="s">
        <v>389</v>
      </c>
      <c r="E91" t="s">
        <v>332</v>
      </c>
      <c r="F91" t="s">
        <v>332</v>
      </c>
      <c r="G91" t="s">
        <v>332</v>
      </c>
      <c r="H91">
        <f t="shared" si="1"/>
        <v>1</v>
      </c>
    </row>
    <row r="92" spans="1:9" ht="14.45" x14ac:dyDescent="0.25">
      <c r="A92" t="s">
        <v>390</v>
      </c>
      <c r="B92" t="s">
        <v>391</v>
      </c>
      <c r="C92" t="s">
        <v>392</v>
      </c>
      <c r="D92" t="s">
        <v>393</v>
      </c>
      <c r="E92" t="s">
        <v>394</v>
      </c>
      <c r="F92" t="s">
        <v>377</v>
      </c>
      <c r="G92" t="s">
        <v>378</v>
      </c>
      <c r="H92">
        <f t="shared" si="1"/>
        <v>1</v>
      </c>
      <c r="I92">
        <v>1</v>
      </c>
    </row>
    <row r="93" spans="1:9" ht="14.45" x14ac:dyDescent="0.25">
      <c r="A93" t="s">
        <v>395</v>
      </c>
      <c r="B93" t="s">
        <v>396</v>
      </c>
      <c r="C93" t="s">
        <v>397</v>
      </c>
      <c r="D93" t="s">
        <v>398</v>
      </c>
      <c r="E93" t="s">
        <v>229</v>
      </c>
      <c r="F93" t="s">
        <v>377</v>
      </c>
      <c r="G93" t="s">
        <v>378</v>
      </c>
      <c r="H93">
        <f t="shared" si="1"/>
        <v>1</v>
      </c>
      <c r="I93">
        <v>1</v>
      </c>
    </row>
    <row r="94" spans="1:9" ht="14.45" x14ac:dyDescent="0.25">
      <c r="A94" t="s">
        <v>399</v>
      </c>
      <c r="B94" t="s">
        <v>400</v>
      </c>
      <c r="C94" t="s">
        <v>401</v>
      </c>
      <c r="D94" t="s">
        <v>402</v>
      </c>
      <c r="E94" t="s">
        <v>394</v>
      </c>
      <c r="F94" t="s">
        <v>377</v>
      </c>
      <c r="G94" t="s">
        <v>403</v>
      </c>
      <c r="H94">
        <f t="shared" si="1"/>
        <v>1</v>
      </c>
      <c r="I94">
        <v>1</v>
      </c>
    </row>
    <row r="95" spans="1:9" ht="14.45" x14ac:dyDescent="0.25">
      <c r="A95" t="s">
        <v>404</v>
      </c>
      <c r="B95" t="s">
        <v>405</v>
      </c>
      <c r="C95" t="s">
        <v>406</v>
      </c>
      <c r="D95" t="s">
        <v>407</v>
      </c>
      <c r="E95" t="s">
        <v>408</v>
      </c>
      <c r="F95" t="s">
        <v>408</v>
      </c>
      <c r="G95" t="s">
        <v>408</v>
      </c>
      <c r="H95">
        <f t="shared" si="1"/>
        <v>1</v>
      </c>
      <c r="I95">
        <v>1</v>
      </c>
    </row>
    <row r="96" spans="1:9" ht="14.45" x14ac:dyDescent="0.25">
      <c r="A96" t="s">
        <v>409</v>
      </c>
      <c r="B96" t="s">
        <v>410</v>
      </c>
      <c r="C96" t="s">
        <v>411</v>
      </c>
      <c r="D96" t="s">
        <v>412</v>
      </c>
      <c r="E96" t="s">
        <v>408</v>
      </c>
      <c r="F96" t="s">
        <v>408</v>
      </c>
      <c r="G96" t="s">
        <v>408</v>
      </c>
      <c r="H96">
        <f t="shared" si="1"/>
        <v>1</v>
      </c>
      <c r="I96">
        <v>1</v>
      </c>
    </row>
    <row r="97" spans="1:9" ht="14.45" x14ac:dyDescent="0.25">
      <c r="A97" t="s">
        <v>413</v>
      </c>
      <c r="B97" t="s">
        <v>414</v>
      </c>
      <c r="C97" t="s">
        <v>415</v>
      </c>
      <c r="D97" t="s">
        <v>416</v>
      </c>
      <c r="E97" t="s">
        <v>408</v>
      </c>
      <c r="F97" t="s">
        <v>408</v>
      </c>
      <c r="G97" t="s">
        <v>417</v>
      </c>
      <c r="H97">
        <f t="shared" si="1"/>
        <v>1</v>
      </c>
      <c r="I97">
        <v>1</v>
      </c>
    </row>
    <row r="98" spans="1:9" ht="14.45" x14ac:dyDescent="0.25">
      <c r="A98" t="s">
        <v>418</v>
      </c>
      <c r="B98" t="s">
        <v>419</v>
      </c>
      <c r="C98" t="s">
        <v>420</v>
      </c>
      <c r="D98" t="s">
        <v>421</v>
      </c>
      <c r="E98" t="s">
        <v>422</v>
      </c>
      <c r="F98" t="s">
        <v>422</v>
      </c>
      <c r="G98" t="s">
        <v>422</v>
      </c>
      <c r="H98">
        <f t="shared" si="1"/>
        <v>1</v>
      </c>
      <c r="I98">
        <v>1</v>
      </c>
    </row>
    <row r="99" spans="1:9" ht="14.45" x14ac:dyDescent="0.25">
      <c r="A99" t="s">
        <v>423</v>
      </c>
      <c r="B99" t="s">
        <v>424</v>
      </c>
      <c r="C99" t="s">
        <v>425</v>
      </c>
      <c r="D99" t="s">
        <v>426</v>
      </c>
      <c r="E99" t="s">
        <v>422</v>
      </c>
      <c r="F99" t="s">
        <v>422</v>
      </c>
      <c r="G99" t="s">
        <v>422</v>
      </c>
      <c r="H99">
        <f t="shared" si="1"/>
        <v>1</v>
      </c>
      <c r="I99">
        <v>1</v>
      </c>
    </row>
    <row r="100" spans="1:9" ht="14.45" x14ac:dyDescent="0.25">
      <c r="A100" t="s">
        <v>427</v>
      </c>
      <c r="B100" t="s">
        <v>428</v>
      </c>
      <c r="C100" t="s">
        <v>429</v>
      </c>
      <c r="D100" t="s">
        <v>430</v>
      </c>
      <c r="E100" t="s">
        <v>422</v>
      </c>
      <c r="F100" t="s">
        <v>422</v>
      </c>
      <c r="G100" t="s">
        <v>422</v>
      </c>
      <c r="H100">
        <f t="shared" si="1"/>
        <v>1</v>
      </c>
      <c r="I100">
        <v>1</v>
      </c>
    </row>
    <row r="101" spans="1:9" ht="14.45" x14ac:dyDescent="0.25">
      <c r="A101" t="s">
        <v>431</v>
      </c>
      <c r="B101" t="s">
        <v>432</v>
      </c>
      <c r="C101" t="s">
        <v>433</v>
      </c>
      <c r="D101" t="s">
        <v>434</v>
      </c>
      <c r="E101" t="s">
        <v>422</v>
      </c>
      <c r="F101" t="s">
        <v>422</v>
      </c>
      <c r="G101" t="s">
        <v>422</v>
      </c>
      <c r="H101">
        <f t="shared" si="1"/>
        <v>1</v>
      </c>
      <c r="I101">
        <v>1</v>
      </c>
    </row>
    <row r="102" spans="1:9" ht="14.45" x14ac:dyDescent="0.25">
      <c r="A102" t="s">
        <v>435</v>
      </c>
      <c r="B102" t="s">
        <v>436</v>
      </c>
      <c r="C102" t="s">
        <v>437</v>
      </c>
      <c r="D102" t="s">
        <v>438</v>
      </c>
      <c r="E102" t="s">
        <v>383</v>
      </c>
      <c r="F102" t="s">
        <v>384</v>
      </c>
      <c r="G102" t="s">
        <v>385</v>
      </c>
      <c r="H102">
        <f t="shared" si="1"/>
        <v>1</v>
      </c>
      <c r="I102">
        <v>1</v>
      </c>
    </row>
    <row r="103" spans="1:9" ht="14.45" x14ac:dyDescent="0.25">
      <c r="A103">
        <v>4703001021</v>
      </c>
      <c r="B103" t="s">
        <v>436</v>
      </c>
      <c r="C103" t="s">
        <v>437</v>
      </c>
      <c r="D103" t="s">
        <v>438</v>
      </c>
      <c r="E103" t="s">
        <v>383</v>
      </c>
      <c r="F103" t="s">
        <v>384</v>
      </c>
      <c r="G103" t="s">
        <v>385</v>
      </c>
      <c r="H103">
        <f t="shared" si="1"/>
        <v>1</v>
      </c>
      <c r="I103">
        <v>1</v>
      </c>
    </row>
    <row r="104" spans="1:9" ht="14.45" x14ac:dyDescent="0.25">
      <c r="A104" t="s">
        <v>439</v>
      </c>
      <c r="B104" t="s">
        <v>440</v>
      </c>
      <c r="C104" t="s">
        <v>441</v>
      </c>
      <c r="D104" t="s">
        <v>442</v>
      </c>
      <c r="E104" t="s">
        <v>367</v>
      </c>
      <c r="F104" t="s">
        <v>246</v>
      </c>
      <c r="G104" t="s">
        <v>368</v>
      </c>
      <c r="H104">
        <f t="shared" si="1"/>
        <v>1</v>
      </c>
      <c r="I104">
        <v>1</v>
      </c>
    </row>
    <row r="105" spans="1:9" ht="14.45" x14ac:dyDescent="0.25">
      <c r="A105" t="s">
        <v>443</v>
      </c>
      <c r="B105" t="s">
        <v>444</v>
      </c>
      <c r="C105" t="s">
        <v>445</v>
      </c>
      <c r="D105" t="s">
        <v>446</v>
      </c>
      <c r="E105" t="s">
        <v>383</v>
      </c>
      <c r="F105" t="s">
        <v>384</v>
      </c>
      <c r="G105" t="s">
        <v>385</v>
      </c>
      <c r="H105">
        <f t="shared" si="1"/>
        <v>1</v>
      </c>
      <c r="I105">
        <v>1</v>
      </c>
    </row>
    <row r="106" spans="1:9" ht="14.45" x14ac:dyDescent="0.25">
      <c r="A106" t="s">
        <v>447</v>
      </c>
      <c r="B106" t="s">
        <v>448</v>
      </c>
      <c r="C106" t="s">
        <v>449</v>
      </c>
      <c r="D106" t="s">
        <v>450</v>
      </c>
      <c r="E106" t="s">
        <v>383</v>
      </c>
      <c r="F106" t="s">
        <v>384</v>
      </c>
      <c r="G106" t="s">
        <v>385</v>
      </c>
      <c r="H106">
        <f t="shared" si="1"/>
        <v>1</v>
      </c>
      <c r="I106">
        <v>1</v>
      </c>
    </row>
    <row r="107" spans="1:9" ht="14.45" x14ac:dyDescent="0.25">
      <c r="A107" t="s">
        <v>451</v>
      </c>
      <c r="B107" t="s">
        <v>452</v>
      </c>
      <c r="C107" t="s">
        <v>453</v>
      </c>
      <c r="D107" t="s">
        <v>454</v>
      </c>
      <c r="E107" t="s">
        <v>332</v>
      </c>
      <c r="F107" t="s">
        <v>332</v>
      </c>
      <c r="G107" t="s">
        <v>332</v>
      </c>
      <c r="H107">
        <f t="shared" si="1"/>
        <v>1</v>
      </c>
    </row>
    <row r="108" spans="1:9" ht="14.45" x14ac:dyDescent="0.25">
      <c r="A108" t="s">
        <v>455</v>
      </c>
      <c r="B108" t="s">
        <v>456</v>
      </c>
      <c r="C108" t="s">
        <v>457</v>
      </c>
      <c r="D108" t="s">
        <v>458</v>
      </c>
      <c r="E108" t="s">
        <v>13</v>
      </c>
      <c r="F108" t="s">
        <v>13</v>
      </c>
      <c r="G108" t="s">
        <v>13</v>
      </c>
      <c r="H108">
        <f t="shared" si="1"/>
        <v>1</v>
      </c>
    </row>
    <row r="109" spans="1:9" ht="14.45" x14ac:dyDescent="0.25">
      <c r="A109" t="s">
        <v>459</v>
      </c>
      <c r="B109" t="s">
        <v>460</v>
      </c>
      <c r="C109" t="s">
        <v>461</v>
      </c>
      <c r="D109" t="s">
        <v>458</v>
      </c>
      <c r="E109" t="s">
        <v>332</v>
      </c>
      <c r="F109" t="s">
        <v>332</v>
      </c>
      <c r="G109" t="s">
        <v>332</v>
      </c>
      <c r="H109">
        <f t="shared" si="1"/>
        <v>1</v>
      </c>
    </row>
    <row r="110" spans="1:9" ht="14.45" x14ac:dyDescent="0.25">
      <c r="A110" t="s">
        <v>462</v>
      </c>
      <c r="B110" t="s">
        <v>463</v>
      </c>
      <c r="C110" t="s">
        <v>464</v>
      </c>
      <c r="D110" t="s">
        <v>465</v>
      </c>
      <c r="E110" t="s">
        <v>332</v>
      </c>
      <c r="F110" t="s">
        <v>332</v>
      </c>
      <c r="G110" t="s">
        <v>332</v>
      </c>
      <c r="H110">
        <f t="shared" si="1"/>
        <v>1</v>
      </c>
    </row>
    <row r="111" spans="1:9" ht="14.45" x14ac:dyDescent="0.25">
      <c r="A111" t="s">
        <v>466</v>
      </c>
      <c r="B111" t="s">
        <v>467</v>
      </c>
      <c r="C111" t="s">
        <v>468</v>
      </c>
      <c r="D111" t="s">
        <v>469</v>
      </c>
      <c r="E111" t="s">
        <v>224</v>
      </c>
      <c r="F111" t="s">
        <v>224</v>
      </c>
      <c r="G111" t="s">
        <v>224</v>
      </c>
      <c r="H111">
        <f t="shared" si="1"/>
        <v>1</v>
      </c>
      <c r="I111">
        <v>1</v>
      </c>
    </row>
    <row r="112" spans="1:9" ht="14.45" x14ac:dyDescent="0.25">
      <c r="A112" t="s">
        <v>470</v>
      </c>
      <c r="B112" t="s">
        <v>471</v>
      </c>
      <c r="C112" t="s">
        <v>472</v>
      </c>
      <c r="D112" t="s">
        <v>473</v>
      </c>
      <c r="E112" t="s">
        <v>18</v>
      </c>
      <c r="F112" t="s">
        <v>18</v>
      </c>
      <c r="G112" t="s">
        <v>18</v>
      </c>
      <c r="H112">
        <f t="shared" si="1"/>
        <v>1</v>
      </c>
      <c r="I112">
        <v>1</v>
      </c>
    </row>
    <row r="113" spans="1:9" ht="14.45" x14ac:dyDescent="0.25">
      <c r="A113" t="s">
        <v>474</v>
      </c>
      <c r="B113" t="s">
        <v>475</v>
      </c>
      <c r="C113" t="s">
        <v>476</v>
      </c>
      <c r="D113" t="s">
        <v>477</v>
      </c>
      <c r="E113" t="s">
        <v>478</v>
      </c>
      <c r="F113" t="s">
        <v>377</v>
      </c>
      <c r="G113" t="s">
        <v>479</v>
      </c>
      <c r="H113">
        <f t="shared" si="1"/>
        <v>1</v>
      </c>
      <c r="I113">
        <v>1</v>
      </c>
    </row>
    <row r="114" spans="1:9" ht="14.45" x14ac:dyDescent="0.25">
      <c r="A114" t="s">
        <v>480</v>
      </c>
      <c r="B114" t="s">
        <v>481</v>
      </c>
      <c r="C114" t="s">
        <v>482</v>
      </c>
      <c r="D114" t="s">
        <v>483</v>
      </c>
      <c r="E114" t="s">
        <v>13</v>
      </c>
      <c r="F114" t="s">
        <v>13</v>
      </c>
      <c r="G114" t="s">
        <v>13</v>
      </c>
      <c r="H114">
        <f t="shared" si="1"/>
        <v>1</v>
      </c>
    </row>
    <row r="115" spans="1:9" ht="14.45" x14ac:dyDescent="0.25">
      <c r="A115" t="s">
        <v>484</v>
      </c>
      <c r="B115" t="s">
        <v>485</v>
      </c>
      <c r="C115" t="s">
        <v>486</v>
      </c>
      <c r="D115" t="s">
        <v>483</v>
      </c>
      <c r="E115" t="s">
        <v>13</v>
      </c>
      <c r="F115" t="s">
        <v>13</v>
      </c>
      <c r="G115" t="s">
        <v>13</v>
      </c>
      <c r="H115">
        <f t="shared" si="1"/>
        <v>1</v>
      </c>
    </row>
    <row r="116" spans="1:9" ht="14.45" x14ac:dyDescent="0.25">
      <c r="A116" t="s">
        <v>487</v>
      </c>
      <c r="B116" t="s">
        <v>488</v>
      </c>
      <c r="C116" t="s">
        <v>489</v>
      </c>
      <c r="D116" t="s">
        <v>490</v>
      </c>
      <c r="E116" t="s">
        <v>332</v>
      </c>
      <c r="F116" t="s">
        <v>332</v>
      </c>
      <c r="G116" t="s">
        <v>332</v>
      </c>
      <c r="H116">
        <f t="shared" si="1"/>
        <v>1</v>
      </c>
    </row>
    <row r="117" spans="1:9" ht="14.45" x14ac:dyDescent="0.25">
      <c r="A117" t="s">
        <v>491</v>
      </c>
      <c r="B117" t="s">
        <v>492</v>
      </c>
      <c r="C117" t="s">
        <v>493</v>
      </c>
      <c r="D117" t="s">
        <v>494</v>
      </c>
      <c r="E117" t="s">
        <v>13</v>
      </c>
      <c r="F117" t="s">
        <v>13</v>
      </c>
      <c r="G117" t="s">
        <v>13</v>
      </c>
      <c r="H117">
        <f t="shared" si="1"/>
        <v>1</v>
      </c>
    </row>
    <row r="118" spans="1:9" ht="14.45" x14ac:dyDescent="0.25">
      <c r="A118" t="s">
        <v>495</v>
      </c>
      <c r="B118" t="s">
        <v>496</v>
      </c>
      <c r="C118" t="s">
        <v>497</v>
      </c>
      <c r="D118" t="s">
        <v>498</v>
      </c>
      <c r="E118" t="s">
        <v>13</v>
      </c>
      <c r="F118" t="s">
        <v>13</v>
      </c>
      <c r="G118" t="s">
        <v>13</v>
      </c>
      <c r="H118">
        <f t="shared" si="1"/>
        <v>1</v>
      </c>
    </row>
    <row r="119" spans="1:9" ht="14.45" x14ac:dyDescent="0.25">
      <c r="A119" t="s">
        <v>499</v>
      </c>
      <c r="B119" t="s">
        <v>500</v>
      </c>
      <c r="C119" t="s">
        <v>501</v>
      </c>
      <c r="D119" t="s">
        <v>502</v>
      </c>
      <c r="E119" t="s">
        <v>332</v>
      </c>
      <c r="F119" t="s">
        <v>332</v>
      </c>
      <c r="G119" t="s">
        <v>332</v>
      </c>
      <c r="H119">
        <f t="shared" si="1"/>
        <v>1</v>
      </c>
    </row>
    <row r="120" spans="1:9" ht="14.45" x14ac:dyDescent="0.25">
      <c r="A120" t="s">
        <v>503</v>
      </c>
      <c r="B120" t="s">
        <v>504</v>
      </c>
      <c r="C120" t="s">
        <v>505</v>
      </c>
      <c r="D120" t="s">
        <v>506</v>
      </c>
      <c r="E120" t="s">
        <v>13</v>
      </c>
      <c r="F120" t="s">
        <v>13</v>
      </c>
      <c r="G120" t="s">
        <v>13</v>
      </c>
      <c r="H120">
        <f t="shared" si="1"/>
        <v>1</v>
      </c>
    </row>
    <row r="121" spans="1:9" ht="14.45" x14ac:dyDescent="0.25">
      <c r="A121" t="s">
        <v>507</v>
      </c>
      <c r="B121" t="s">
        <v>508</v>
      </c>
      <c r="C121" t="s">
        <v>509</v>
      </c>
      <c r="D121" t="s">
        <v>510</v>
      </c>
      <c r="E121" t="s">
        <v>13</v>
      </c>
      <c r="F121" t="s">
        <v>13</v>
      </c>
      <c r="G121" t="s">
        <v>13</v>
      </c>
      <c r="H121">
        <f t="shared" si="1"/>
        <v>1</v>
      </c>
    </row>
    <row r="122" spans="1:9" ht="14.45" x14ac:dyDescent="0.25">
      <c r="A122" t="s">
        <v>511</v>
      </c>
      <c r="B122" t="s">
        <v>512</v>
      </c>
      <c r="C122" t="s">
        <v>513</v>
      </c>
      <c r="D122" t="s">
        <v>510</v>
      </c>
      <c r="E122" t="s">
        <v>13</v>
      </c>
      <c r="F122" t="s">
        <v>13</v>
      </c>
      <c r="G122" t="s">
        <v>13</v>
      </c>
      <c r="H122">
        <f t="shared" si="1"/>
        <v>1</v>
      </c>
    </row>
    <row r="123" spans="1:9" ht="14.45" x14ac:dyDescent="0.25">
      <c r="A123" t="s">
        <v>514</v>
      </c>
      <c r="B123" t="s">
        <v>515</v>
      </c>
      <c r="C123" t="s">
        <v>516</v>
      </c>
      <c r="D123" t="s">
        <v>517</v>
      </c>
      <c r="E123" t="s">
        <v>332</v>
      </c>
      <c r="F123" t="s">
        <v>332</v>
      </c>
      <c r="G123" t="s">
        <v>332</v>
      </c>
      <c r="H123">
        <f t="shared" si="1"/>
        <v>1</v>
      </c>
    </row>
    <row r="124" spans="1:9" ht="14.45" x14ac:dyDescent="0.25">
      <c r="A124" t="s">
        <v>518</v>
      </c>
      <c r="B124" t="s">
        <v>519</v>
      </c>
      <c r="C124" t="s">
        <v>520</v>
      </c>
      <c r="D124" t="s">
        <v>521</v>
      </c>
      <c r="E124" t="s">
        <v>13</v>
      </c>
      <c r="F124" t="s">
        <v>522</v>
      </c>
      <c r="G124" t="s">
        <v>522</v>
      </c>
      <c r="H124">
        <f t="shared" si="1"/>
        <v>1</v>
      </c>
      <c r="I124">
        <v>1</v>
      </c>
    </row>
    <row r="125" spans="1:9" ht="14.45" x14ac:dyDescent="0.25">
      <c r="A125" t="s">
        <v>523</v>
      </c>
      <c r="B125" t="s">
        <v>524</v>
      </c>
      <c r="C125" t="s">
        <v>525</v>
      </c>
      <c r="D125" t="s">
        <v>521</v>
      </c>
      <c r="E125" t="s">
        <v>13</v>
      </c>
      <c r="F125" t="s">
        <v>522</v>
      </c>
      <c r="G125" t="s">
        <v>522</v>
      </c>
      <c r="H125">
        <f t="shared" si="1"/>
        <v>1</v>
      </c>
      <c r="I125">
        <v>1</v>
      </c>
    </row>
    <row r="126" spans="1:9" ht="14.45" x14ac:dyDescent="0.25">
      <c r="A126" t="s">
        <v>526</v>
      </c>
      <c r="B126" t="s">
        <v>527</v>
      </c>
      <c r="C126" t="s">
        <v>528</v>
      </c>
      <c r="D126" t="s">
        <v>529</v>
      </c>
      <c r="E126" t="s">
        <v>13</v>
      </c>
      <c r="F126" t="s">
        <v>13</v>
      </c>
      <c r="G126" t="s">
        <v>13</v>
      </c>
      <c r="H126">
        <f t="shared" si="1"/>
        <v>1</v>
      </c>
      <c r="I126">
        <v>1</v>
      </c>
    </row>
    <row r="127" spans="1:9" ht="14.45" x14ac:dyDescent="0.25">
      <c r="A127" t="s">
        <v>530</v>
      </c>
      <c r="B127" t="s">
        <v>531</v>
      </c>
      <c r="C127" t="s">
        <v>532</v>
      </c>
      <c r="D127" t="s">
        <v>529</v>
      </c>
      <c r="E127" t="s">
        <v>13</v>
      </c>
      <c r="F127" t="s">
        <v>13</v>
      </c>
      <c r="G127" t="s">
        <v>13</v>
      </c>
      <c r="H127">
        <f t="shared" si="1"/>
        <v>1</v>
      </c>
    </row>
    <row r="128" spans="1:9" ht="14.45" x14ac:dyDescent="0.25">
      <c r="A128" t="s">
        <v>533</v>
      </c>
      <c r="B128" t="s">
        <v>534</v>
      </c>
      <c r="C128" t="s">
        <v>535</v>
      </c>
      <c r="D128" t="s">
        <v>529</v>
      </c>
      <c r="E128" t="s">
        <v>13</v>
      </c>
      <c r="F128" t="s">
        <v>13</v>
      </c>
      <c r="G128" t="s">
        <v>13</v>
      </c>
      <c r="H128">
        <f t="shared" si="1"/>
        <v>1</v>
      </c>
    </row>
    <row r="129" spans="1:8" ht="14.45" x14ac:dyDescent="0.25">
      <c r="A129" t="s">
        <v>536</v>
      </c>
      <c r="B129" t="s">
        <v>537</v>
      </c>
      <c r="C129" t="s">
        <v>538</v>
      </c>
      <c r="D129" t="s">
        <v>529</v>
      </c>
      <c r="E129" t="s">
        <v>13</v>
      </c>
      <c r="F129" t="s">
        <v>13</v>
      </c>
      <c r="G129" t="s">
        <v>13</v>
      </c>
      <c r="H129">
        <f t="shared" si="1"/>
        <v>1</v>
      </c>
    </row>
    <row r="130" spans="1:8" ht="14.45" x14ac:dyDescent="0.25">
      <c r="A130" t="s">
        <v>539</v>
      </c>
      <c r="B130" t="s">
        <v>540</v>
      </c>
      <c r="C130" t="s">
        <v>541</v>
      </c>
      <c r="D130" t="s">
        <v>529</v>
      </c>
      <c r="E130" t="s">
        <v>13</v>
      </c>
      <c r="F130" t="s">
        <v>13</v>
      </c>
      <c r="G130" t="s">
        <v>13</v>
      </c>
      <c r="H130">
        <f t="shared" ref="H130:H193" si="2">COUNTIF(A:A,A130)</f>
        <v>1</v>
      </c>
    </row>
    <row r="131" spans="1:8" ht="14.45" x14ac:dyDescent="0.25">
      <c r="A131" t="s">
        <v>542</v>
      </c>
      <c r="B131" t="s">
        <v>543</v>
      </c>
      <c r="C131" t="s">
        <v>544</v>
      </c>
      <c r="D131" t="s">
        <v>545</v>
      </c>
      <c r="E131" t="s">
        <v>13</v>
      </c>
      <c r="F131" t="s">
        <v>13</v>
      </c>
      <c r="G131" t="s">
        <v>13</v>
      </c>
      <c r="H131">
        <f t="shared" si="2"/>
        <v>1</v>
      </c>
    </row>
    <row r="132" spans="1:8" ht="14.45" x14ac:dyDescent="0.25">
      <c r="A132" t="s">
        <v>546</v>
      </c>
      <c r="B132" t="s">
        <v>547</v>
      </c>
      <c r="C132" t="s">
        <v>548</v>
      </c>
      <c r="D132" t="s">
        <v>549</v>
      </c>
      <c r="E132" t="s">
        <v>13</v>
      </c>
      <c r="F132" t="s">
        <v>13</v>
      </c>
      <c r="G132" t="s">
        <v>13</v>
      </c>
      <c r="H132">
        <f t="shared" si="2"/>
        <v>1</v>
      </c>
    </row>
    <row r="133" spans="1:8" ht="14.45" x14ac:dyDescent="0.25">
      <c r="A133" t="s">
        <v>550</v>
      </c>
      <c r="B133" t="s">
        <v>551</v>
      </c>
      <c r="C133" t="s">
        <v>552</v>
      </c>
      <c r="D133" t="s">
        <v>553</v>
      </c>
      <c r="E133" t="s">
        <v>13</v>
      </c>
      <c r="F133" t="s">
        <v>13</v>
      </c>
      <c r="G133" t="s">
        <v>13</v>
      </c>
      <c r="H133">
        <f t="shared" si="2"/>
        <v>1</v>
      </c>
    </row>
    <row r="134" spans="1:8" ht="14.45" x14ac:dyDescent="0.25">
      <c r="A134" t="s">
        <v>554</v>
      </c>
      <c r="B134" t="s">
        <v>555</v>
      </c>
      <c r="C134" t="s">
        <v>556</v>
      </c>
      <c r="D134" t="s">
        <v>557</v>
      </c>
      <c r="E134" t="s">
        <v>13</v>
      </c>
      <c r="F134" t="s">
        <v>13</v>
      </c>
      <c r="G134" t="s">
        <v>13</v>
      </c>
      <c r="H134">
        <f t="shared" si="2"/>
        <v>1</v>
      </c>
    </row>
    <row r="135" spans="1:8" ht="14.45" x14ac:dyDescent="0.25">
      <c r="A135" t="s">
        <v>558</v>
      </c>
      <c r="B135" t="s">
        <v>559</v>
      </c>
      <c r="C135" t="s">
        <v>560</v>
      </c>
      <c r="D135" t="s">
        <v>561</v>
      </c>
      <c r="E135" t="s">
        <v>13</v>
      </c>
      <c r="F135" t="s">
        <v>13</v>
      </c>
      <c r="G135" t="s">
        <v>13</v>
      </c>
      <c r="H135">
        <f t="shared" si="2"/>
        <v>1</v>
      </c>
    </row>
    <row r="136" spans="1:8" ht="14.45" x14ac:dyDescent="0.25">
      <c r="A136" t="s">
        <v>562</v>
      </c>
      <c r="B136" t="s">
        <v>563</v>
      </c>
      <c r="C136" t="s">
        <v>564</v>
      </c>
      <c r="D136" t="s">
        <v>565</v>
      </c>
      <c r="E136" t="s">
        <v>13</v>
      </c>
      <c r="F136" t="s">
        <v>13</v>
      </c>
      <c r="G136" t="s">
        <v>13</v>
      </c>
      <c r="H136">
        <f t="shared" si="2"/>
        <v>1</v>
      </c>
    </row>
    <row r="137" spans="1:8" ht="14.45" x14ac:dyDescent="0.25">
      <c r="A137" t="s">
        <v>566</v>
      </c>
      <c r="B137" t="s">
        <v>567</v>
      </c>
      <c r="C137" t="s">
        <v>568</v>
      </c>
      <c r="D137" t="s">
        <v>569</v>
      </c>
      <c r="E137" t="s">
        <v>13</v>
      </c>
      <c r="F137" t="s">
        <v>13</v>
      </c>
      <c r="G137" t="s">
        <v>13</v>
      </c>
      <c r="H137">
        <f t="shared" si="2"/>
        <v>1</v>
      </c>
    </row>
    <row r="138" spans="1:8" ht="14.45" x14ac:dyDescent="0.25">
      <c r="A138" t="s">
        <v>570</v>
      </c>
      <c r="B138" t="s">
        <v>571</v>
      </c>
      <c r="C138" t="s">
        <v>572</v>
      </c>
      <c r="D138" t="s">
        <v>573</v>
      </c>
      <c r="E138" t="s">
        <v>13</v>
      </c>
      <c r="F138" t="s">
        <v>13</v>
      </c>
      <c r="G138" t="s">
        <v>13</v>
      </c>
      <c r="H138">
        <f t="shared" si="2"/>
        <v>1</v>
      </c>
    </row>
    <row r="139" spans="1:8" ht="14.45" x14ac:dyDescent="0.25">
      <c r="A139" t="s">
        <v>574</v>
      </c>
      <c r="B139" t="s">
        <v>575</v>
      </c>
      <c r="C139" t="s">
        <v>576</v>
      </c>
      <c r="D139" t="s">
        <v>577</v>
      </c>
      <c r="E139" t="s">
        <v>332</v>
      </c>
      <c r="F139" t="s">
        <v>332</v>
      </c>
      <c r="G139" t="s">
        <v>332</v>
      </c>
      <c r="H139">
        <f t="shared" si="2"/>
        <v>1</v>
      </c>
    </row>
    <row r="140" spans="1:8" ht="14.45" x14ac:dyDescent="0.25">
      <c r="A140" t="s">
        <v>578</v>
      </c>
      <c r="B140" t="s">
        <v>579</v>
      </c>
      <c r="C140" t="s">
        <v>580</v>
      </c>
      <c r="D140" t="s">
        <v>581</v>
      </c>
      <c r="E140" t="s">
        <v>332</v>
      </c>
      <c r="F140" t="s">
        <v>332</v>
      </c>
      <c r="G140" t="s">
        <v>332</v>
      </c>
      <c r="H140">
        <f t="shared" si="2"/>
        <v>1</v>
      </c>
    </row>
    <row r="141" spans="1:8" ht="14.45" x14ac:dyDescent="0.25">
      <c r="A141" t="s">
        <v>582</v>
      </c>
      <c r="B141" t="s">
        <v>583</v>
      </c>
      <c r="C141" t="s">
        <v>584</v>
      </c>
      <c r="D141" t="s">
        <v>585</v>
      </c>
      <c r="E141" t="s">
        <v>13</v>
      </c>
      <c r="F141" t="s">
        <v>13</v>
      </c>
      <c r="G141" t="s">
        <v>13</v>
      </c>
      <c r="H141">
        <f t="shared" si="2"/>
        <v>1</v>
      </c>
    </row>
    <row r="142" spans="1:8" ht="14.45" x14ac:dyDescent="0.25">
      <c r="A142" t="s">
        <v>586</v>
      </c>
      <c r="B142" t="s">
        <v>587</v>
      </c>
      <c r="C142" t="s">
        <v>588</v>
      </c>
      <c r="D142" t="s">
        <v>589</v>
      </c>
      <c r="E142" t="s">
        <v>13</v>
      </c>
      <c r="F142" t="s">
        <v>13</v>
      </c>
      <c r="G142" t="s">
        <v>13</v>
      </c>
      <c r="H142">
        <f t="shared" si="2"/>
        <v>1</v>
      </c>
    </row>
    <row r="143" spans="1:8" ht="14.45" x14ac:dyDescent="0.25">
      <c r="A143" t="s">
        <v>590</v>
      </c>
      <c r="B143" t="s">
        <v>591</v>
      </c>
      <c r="C143" t="s">
        <v>592</v>
      </c>
      <c r="D143" t="s">
        <v>593</v>
      </c>
      <c r="E143" t="s">
        <v>13</v>
      </c>
      <c r="F143" t="s">
        <v>13</v>
      </c>
      <c r="G143" t="s">
        <v>13</v>
      </c>
      <c r="H143">
        <f t="shared" si="2"/>
        <v>1</v>
      </c>
    </row>
    <row r="144" spans="1:8" ht="14.45" x14ac:dyDescent="0.25">
      <c r="A144" t="s">
        <v>594</v>
      </c>
      <c r="B144" t="s">
        <v>595</v>
      </c>
      <c r="C144" t="s">
        <v>596</v>
      </c>
      <c r="D144" t="s">
        <v>597</v>
      </c>
      <c r="E144" t="s">
        <v>332</v>
      </c>
      <c r="F144" t="s">
        <v>332</v>
      </c>
      <c r="G144" t="s">
        <v>332</v>
      </c>
      <c r="H144">
        <f t="shared" si="2"/>
        <v>1</v>
      </c>
    </row>
    <row r="145" spans="1:9" ht="14.45" x14ac:dyDescent="0.25">
      <c r="A145" t="s">
        <v>598</v>
      </c>
      <c r="B145" t="s">
        <v>599</v>
      </c>
      <c r="C145" t="s">
        <v>600</v>
      </c>
      <c r="D145" t="s">
        <v>601</v>
      </c>
      <c r="E145" t="s">
        <v>13</v>
      </c>
      <c r="F145" t="s">
        <v>13</v>
      </c>
      <c r="G145" t="s">
        <v>13</v>
      </c>
      <c r="H145">
        <f t="shared" si="2"/>
        <v>1</v>
      </c>
    </row>
    <row r="146" spans="1:9" ht="14.45" x14ac:dyDescent="0.25">
      <c r="A146" t="s">
        <v>602</v>
      </c>
      <c r="B146" t="s">
        <v>603</v>
      </c>
      <c r="C146" t="s">
        <v>604</v>
      </c>
      <c r="D146" t="s">
        <v>605</v>
      </c>
      <c r="E146" t="s">
        <v>13</v>
      </c>
      <c r="F146" t="s">
        <v>13</v>
      </c>
      <c r="G146" t="s">
        <v>13</v>
      </c>
      <c r="H146">
        <f t="shared" si="2"/>
        <v>1</v>
      </c>
    </row>
    <row r="147" spans="1:9" ht="14.45" x14ac:dyDescent="0.25">
      <c r="A147" t="s">
        <v>606</v>
      </c>
      <c r="B147" t="s">
        <v>607</v>
      </c>
      <c r="C147" t="s">
        <v>608</v>
      </c>
      <c r="D147" t="s">
        <v>609</v>
      </c>
      <c r="E147" t="s">
        <v>13</v>
      </c>
      <c r="F147" t="s">
        <v>13</v>
      </c>
      <c r="G147" t="s">
        <v>13</v>
      </c>
      <c r="H147">
        <f t="shared" si="2"/>
        <v>1</v>
      </c>
    </row>
    <row r="148" spans="1:9" ht="14.45" x14ac:dyDescent="0.25">
      <c r="A148" t="s">
        <v>610</v>
      </c>
      <c r="B148" t="s">
        <v>611</v>
      </c>
      <c r="C148" t="s">
        <v>612</v>
      </c>
      <c r="D148" t="s">
        <v>613</v>
      </c>
      <c r="E148" t="s">
        <v>13</v>
      </c>
      <c r="F148" t="s">
        <v>13</v>
      </c>
      <c r="G148" t="s">
        <v>13</v>
      </c>
      <c r="H148">
        <f t="shared" si="2"/>
        <v>1</v>
      </c>
    </row>
    <row r="149" spans="1:9" ht="14.45" x14ac:dyDescent="0.25">
      <c r="A149" t="s">
        <v>614</v>
      </c>
      <c r="B149" t="s">
        <v>615</v>
      </c>
      <c r="C149" t="s">
        <v>616</v>
      </c>
      <c r="D149" t="s">
        <v>617</v>
      </c>
      <c r="E149" t="s">
        <v>13</v>
      </c>
      <c r="F149" t="s">
        <v>13</v>
      </c>
      <c r="G149" t="s">
        <v>13</v>
      </c>
      <c r="H149">
        <f t="shared" si="2"/>
        <v>1</v>
      </c>
    </row>
    <row r="150" spans="1:9" ht="14.45" x14ac:dyDescent="0.25">
      <c r="A150" t="s">
        <v>618</v>
      </c>
      <c r="B150" t="s">
        <v>619</v>
      </c>
      <c r="C150" t="s">
        <v>620</v>
      </c>
      <c r="D150" t="s">
        <v>621</v>
      </c>
      <c r="E150" t="s">
        <v>13</v>
      </c>
      <c r="F150" t="s">
        <v>13</v>
      </c>
      <c r="G150" t="s">
        <v>13</v>
      </c>
      <c r="H150">
        <f t="shared" si="2"/>
        <v>1</v>
      </c>
    </row>
    <row r="151" spans="1:9" ht="14.45" x14ac:dyDescent="0.25">
      <c r="A151" t="s">
        <v>622</v>
      </c>
      <c r="B151" t="s">
        <v>623</v>
      </c>
      <c r="C151" t="s">
        <v>624</v>
      </c>
      <c r="D151" t="s">
        <v>625</v>
      </c>
      <c r="E151" t="str">
        <f>G151</f>
        <v>Benfeitorias e outros</v>
      </c>
      <c r="F151" t="s">
        <v>626</v>
      </c>
      <c r="G151" t="s">
        <v>627</v>
      </c>
      <c r="H151">
        <f t="shared" si="2"/>
        <v>1</v>
      </c>
    </row>
    <row r="152" spans="1:9" ht="14.45" x14ac:dyDescent="0.25">
      <c r="A152" t="s">
        <v>628</v>
      </c>
      <c r="B152" t="s">
        <v>629</v>
      </c>
      <c r="C152" t="s">
        <v>630</v>
      </c>
      <c r="D152" t="s">
        <v>631</v>
      </c>
      <c r="E152" t="s">
        <v>229</v>
      </c>
      <c r="F152" t="s">
        <v>377</v>
      </c>
      <c r="G152" t="s">
        <v>479</v>
      </c>
      <c r="H152">
        <f t="shared" si="2"/>
        <v>1</v>
      </c>
      <c r="I152">
        <v>1</v>
      </c>
    </row>
    <row r="153" spans="1:9" ht="14.45" x14ac:dyDescent="0.25">
      <c r="A153" t="s">
        <v>632</v>
      </c>
      <c r="B153" t="s">
        <v>633</v>
      </c>
      <c r="C153" t="s">
        <v>634</v>
      </c>
      <c r="D153" t="s">
        <v>635</v>
      </c>
      <c r="E153" t="s">
        <v>332</v>
      </c>
      <c r="F153" t="s">
        <v>332</v>
      </c>
      <c r="G153" t="s">
        <v>332</v>
      </c>
      <c r="H153">
        <f t="shared" si="2"/>
        <v>1</v>
      </c>
    </row>
    <row r="154" spans="1:9" ht="14.45" x14ac:dyDescent="0.25">
      <c r="A154" t="s">
        <v>636</v>
      </c>
      <c r="B154" t="s">
        <v>637</v>
      </c>
      <c r="C154" t="s">
        <v>638</v>
      </c>
      <c r="D154" t="s">
        <v>639</v>
      </c>
      <c r="E154" t="s">
        <v>13</v>
      </c>
      <c r="F154" t="s">
        <v>13</v>
      </c>
      <c r="G154" t="s">
        <v>13</v>
      </c>
      <c r="H154">
        <f t="shared" si="2"/>
        <v>1</v>
      </c>
    </row>
    <row r="155" spans="1:9" ht="14.45" x14ac:dyDescent="0.25">
      <c r="A155" t="s">
        <v>640</v>
      </c>
      <c r="B155" t="s">
        <v>641</v>
      </c>
      <c r="C155" t="s">
        <v>642</v>
      </c>
      <c r="D155" t="s">
        <v>643</v>
      </c>
      <c r="E155" t="s">
        <v>13</v>
      </c>
      <c r="F155" t="s">
        <v>13</v>
      </c>
      <c r="G155" t="s">
        <v>13</v>
      </c>
      <c r="H155">
        <f t="shared" si="2"/>
        <v>1</v>
      </c>
    </row>
    <row r="156" spans="1:9" ht="14.45" x14ac:dyDescent="0.25">
      <c r="A156" t="s">
        <v>644</v>
      </c>
      <c r="B156" t="s">
        <v>645</v>
      </c>
      <c r="C156" t="s">
        <v>646</v>
      </c>
      <c r="D156" t="s">
        <v>647</v>
      </c>
      <c r="E156" t="s">
        <v>383</v>
      </c>
      <c r="F156" t="s">
        <v>384</v>
      </c>
      <c r="G156" t="s">
        <v>648</v>
      </c>
      <c r="H156">
        <f t="shared" si="2"/>
        <v>1</v>
      </c>
      <c r="I156">
        <v>1</v>
      </c>
    </row>
    <row r="157" spans="1:9" x14ac:dyDescent="0.25">
      <c r="A157" t="s">
        <v>649</v>
      </c>
      <c r="B157" t="s">
        <v>650</v>
      </c>
      <c r="C157" t="s">
        <v>651</v>
      </c>
      <c r="D157" t="s">
        <v>652</v>
      </c>
      <c r="E157" t="s">
        <v>383</v>
      </c>
      <c r="F157" t="s">
        <v>384</v>
      </c>
      <c r="G157" t="s">
        <v>653</v>
      </c>
      <c r="H157">
        <f t="shared" si="2"/>
        <v>1</v>
      </c>
      <c r="I157">
        <v>1</v>
      </c>
    </row>
    <row r="158" spans="1:9" ht="14.45" x14ac:dyDescent="0.25">
      <c r="A158" t="s">
        <v>654</v>
      </c>
      <c r="B158" t="s">
        <v>655</v>
      </c>
      <c r="C158" t="s">
        <v>656</v>
      </c>
      <c r="D158" t="s">
        <v>657</v>
      </c>
      <c r="E158" t="s">
        <v>332</v>
      </c>
      <c r="F158" t="s">
        <v>658</v>
      </c>
      <c r="G158" t="s">
        <v>658</v>
      </c>
      <c r="H158">
        <f t="shared" si="2"/>
        <v>1</v>
      </c>
      <c r="I158">
        <v>1</v>
      </c>
    </row>
    <row r="159" spans="1:9" ht="14.45" x14ac:dyDescent="0.25">
      <c r="A159" t="s">
        <v>659</v>
      </c>
      <c r="B159" t="s">
        <v>660</v>
      </c>
      <c r="C159" t="s">
        <v>661</v>
      </c>
      <c r="D159" t="s">
        <v>662</v>
      </c>
      <c r="E159" t="s">
        <v>18</v>
      </c>
      <c r="F159" t="s">
        <v>18</v>
      </c>
      <c r="G159" t="s">
        <v>18</v>
      </c>
      <c r="H159">
        <f t="shared" si="2"/>
        <v>1</v>
      </c>
      <c r="I159">
        <v>1</v>
      </c>
    </row>
    <row r="160" spans="1:9" ht="14.45" x14ac:dyDescent="0.25">
      <c r="A160" t="s">
        <v>663</v>
      </c>
      <c r="B160" t="s">
        <v>664</v>
      </c>
      <c r="C160" t="s">
        <v>665</v>
      </c>
      <c r="D160" t="s">
        <v>666</v>
      </c>
      <c r="E160" t="s">
        <v>13</v>
      </c>
      <c r="F160" t="s">
        <v>13</v>
      </c>
      <c r="G160" t="s">
        <v>13</v>
      </c>
      <c r="H160">
        <f t="shared" si="2"/>
        <v>1</v>
      </c>
    </row>
    <row r="161" spans="1:9" ht="14.45" x14ac:dyDescent="0.25">
      <c r="A161" t="s">
        <v>667</v>
      </c>
      <c r="B161" t="s">
        <v>668</v>
      </c>
      <c r="C161" t="s">
        <v>669</v>
      </c>
      <c r="D161" t="s">
        <v>670</v>
      </c>
      <c r="E161" t="s">
        <v>13</v>
      </c>
      <c r="F161" t="s">
        <v>13</v>
      </c>
      <c r="G161" t="s">
        <v>13</v>
      </c>
      <c r="H161">
        <f t="shared" si="2"/>
        <v>1</v>
      </c>
    </row>
    <row r="162" spans="1:9" ht="14.45" x14ac:dyDescent="0.25">
      <c r="A162" t="s">
        <v>671</v>
      </c>
      <c r="B162" t="s">
        <v>672</v>
      </c>
      <c r="C162" t="s">
        <v>673</v>
      </c>
      <c r="D162" t="s">
        <v>670</v>
      </c>
      <c r="E162" t="s">
        <v>332</v>
      </c>
      <c r="F162" t="s">
        <v>332</v>
      </c>
      <c r="G162" t="s">
        <v>332</v>
      </c>
      <c r="H162">
        <f t="shared" si="2"/>
        <v>1</v>
      </c>
    </row>
    <row r="163" spans="1:9" ht="14.45" x14ac:dyDescent="0.25">
      <c r="A163" t="s">
        <v>674</v>
      </c>
      <c r="B163" t="s">
        <v>675</v>
      </c>
      <c r="C163" t="s">
        <v>676</v>
      </c>
      <c r="D163" t="s">
        <v>677</v>
      </c>
      <c r="E163" t="s">
        <v>332</v>
      </c>
      <c r="F163" t="s">
        <v>332</v>
      </c>
      <c r="G163" t="s">
        <v>332</v>
      </c>
      <c r="H163">
        <f t="shared" si="2"/>
        <v>1</v>
      </c>
    </row>
    <row r="164" spans="1:9" ht="14.45" x14ac:dyDescent="0.25">
      <c r="A164" t="s">
        <v>678</v>
      </c>
      <c r="B164" t="s">
        <v>679</v>
      </c>
      <c r="C164" t="s">
        <v>680</v>
      </c>
      <c r="D164" t="s">
        <v>681</v>
      </c>
      <c r="E164" t="s">
        <v>682</v>
      </c>
      <c r="F164" t="s">
        <v>377</v>
      </c>
      <c r="G164" t="s">
        <v>479</v>
      </c>
      <c r="H164">
        <f t="shared" si="2"/>
        <v>1</v>
      </c>
      <c r="I164">
        <v>1</v>
      </c>
    </row>
    <row r="165" spans="1:9" ht="14.45" x14ac:dyDescent="0.25">
      <c r="A165" t="s">
        <v>683</v>
      </c>
      <c r="B165" t="s">
        <v>684</v>
      </c>
      <c r="C165">
        <v>4703001017</v>
      </c>
      <c r="D165" t="s">
        <v>685</v>
      </c>
      <c r="E165" t="s">
        <v>229</v>
      </c>
      <c r="F165" t="s">
        <v>377</v>
      </c>
      <c r="G165" t="s">
        <v>686</v>
      </c>
      <c r="H165">
        <f t="shared" si="2"/>
        <v>1</v>
      </c>
      <c r="I165">
        <v>1</v>
      </c>
    </row>
    <row r="166" spans="1:9" ht="14.45" x14ac:dyDescent="0.25">
      <c r="A166" t="s">
        <v>687</v>
      </c>
      <c r="B166" t="s">
        <v>688</v>
      </c>
      <c r="C166" t="s">
        <v>689</v>
      </c>
      <c r="D166" t="s">
        <v>690</v>
      </c>
      <c r="E166" t="s">
        <v>13</v>
      </c>
      <c r="F166" t="s">
        <v>13</v>
      </c>
      <c r="G166" t="s">
        <v>13</v>
      </c>
      <c r="H166">
        <f t="shared" si="2"/>
        <v>1</v>
      </c>
    </row>
    <row r="167" spans="1:9" ht="14.45" x14ac:dyDescent="0.25">
      <c r="A167" t="s">
        <v>691</v>
      </c>
      <c r="B167" t="s">
        <v>692</v>
      </c>
      <c r="C167" t="s">
        <v>691</v>
      </c>
      <c r="D167" t="s">
        <v>691</v>
      </c>
      <c r="E167" t="s">
        <v>691</v>
      </c>
      <c r="F167" t="s">
        <v>691</v>
      </c>
      <c r="G167" t="s">
        <v>691</v>
      </c>
      <c r="H167">
        <f t="shared" si="2"/>
        <v>1</v>
      </c>
      <c r="I167">
        <v>1</v>
      </c>
    </row>
    <row r="168" spans="1:9" ht="14.45" x14ac:dyDescent="0.25">
      <c r="A168" t="s">
        <v>693</v>
      </c>
      <c r="B168" t="s">
        <v>694</v>
      </c>
      <c r="C168" t="s">
        <v>695</v>
      </c>
      <c r="D168" t="s">
        <v>696</v>
      </c>
      <c r="E168" t="s">
        <v>13</v>
      </c>
      <c r="F168" t="s">
        <v>13</v>
      </c>
      <c r="G168" t="s">
        <v>13</v>
      </c>
      <c r="H168">
        <f t="shared" si="2"/>
        <v>1</v>
      </c>
    </row>
    <row r="169" spans="1:9" ht="14.45" x14ac:dyDescent="0.25">
      <c r="A169" t="s">
        <v>697</v>
      </c>
      <c r="B169" t="s">
        <v>698</v>
      </c>
      <c r="C169" t="s">
        <v>699</v>
      </c>
      <c r="D169" t="s">
        <v>700</v>
      </c>
      <c r="E169" t="s">
        <v>332</v>
      </c>
      <c r="F169" t="s">
        <v>332</v>
      </c>
      <c r="G169" t="s">
        <v>332</v>
      </c>
      <c r="H169">
        <f t="shared" si="2"/>
        <v>1</v>
      </c>
    </row>
    <row r="170" spans="1:9" ht="14.45" x14ac:dyDescent="0.25">
      <c r="A170" t="s">
        <v>701</v>
      </c>
      <c r="B170" t="s">
        <v>702</v>
      </c>
      <c r="C170" t="s">
        <v>703</v>
      </c>
      <c r="D170" t="s">
        <v>704</v>
      </c>
      <c r="E170" t="s">
        <v>332</v>
      </c>
      <c r="F170" t="s">
        <v>705</v>
      </c>
      <c r="G170" t="s">
        <v>705</v>
      </c>
      <c r="H170">
        <f t="shared" si="2"/>
        <v>1</v>
      </c>
      <c r="I170">
        <v>1</v>
      </c>
    </row>
    <row r="171" spans="1:9" ht="14.45" x14ac:dyDescent="0.25">
      <c r="A171" t="s">
        <v>706</v>
      </c>
      <c r="B171" t="s">
        <v>707</v>
      </c>
      <c r="C171" t="s">
        <v>708</v>
      </c>
      <c r="D171" t="s">
        <v>709</v>
      </c>
      <c r="E171" t="s">
        <v>367</v>
      </c>
      <c r="F171" t="s">
        <v>246</v>
      </c>
      <c r="G171" t="s">
        <v>368</v>
      </c>
      <c r="H171">
        <f t="shared" si="2"/>
        <v>1</v>
      </c>
      <c r="I171">
        <v>1</v>
      </c>
    </row>
    <row r="172" spans="1:9" ht="14.45" x14ac:dyDescent="0.25">
      <c r="A172" t="s">
        <v>710</v>
      </c>
      <c r="B172" t="s">
        <v>711</v>
      </c>
      <c r="C172" t="s">
        <v>712</v>
      </c>
      <c r="D172" t="s">
        <v>713</v>
      </c>
      <c r="E172" t="s">
        <v>13</v>
      </c>
      <c r="F172" t="s">
        <v>13</v>
      </c>
      <c r="G172" t="s">
        <v>13</v>
      </c>
      <c r="H172">
        <f t="shared" si="2"/>
        <v>1</v>
      </c>
    </row>
    <row r="173" spans="1:9" ht="14.45" x14ac:dyDescent="0.25">
      <c r="A173" t="s">
        <v>714</v>
      </c>
      <c r="B173" t="s">
        <v>715</v>
      </c>
      <c r="C173" t="s">
        <v>716</v>
      </c>
      <c r="D173" t="s">
        <v>717</v>
      </c>
      <c r="E173" t="s">
        <v>13</v>
      </c>
      <c r="F173" t="s">
        <v>13</v>
      </c>
      <c r="G173" t="s">
        <v>13</v>
      </c>
      <c r="H173">
        <f t="shared" si="2"/>
        <v>1</v>
      </c>
    </row>
    <row r="174" spans="1:9" ht="14.45" x14ac:dyDescent="0.25">
      <c r="A174" t="s">
        <v>718</v>
      </c>
      <c r="B174" t="s">
        <v>719</v>
      </c>
      <c r="C174" t="s">
        <v>720</v>
      </c>
      <c r="D174" t="s">
        <v>721</v>
      </c>
      <c r="E174" t="s">
        <v>13</v>
      </c>
      <c r="F174" t="s">
        <v>13</v>
      </c>
      <c r="G174" t="s">
        <v>13</v>
      </c>
      <c r="H174">
        <f t="shared" si="2"/>
        <v>1</v>
      </c>
    </row>
    <row r="175" spans="1:9" ht="14.45" x14ac:dyDescent="0.25">
      <c r="A175" t="s">
        <v>722</v>
      </c>
      <c r="B175" t="s">
        <v>723</v>
      </c>
      <c r="C175" t="s">
        <v>724</v>
      </c>
      <c r="D175" t="s">
        <v>725</v>
      </c>
      <c r="E175" t="s">
        <v>332</v>
      </c>
      <c r="F175" t="s">
        <v>332</v>
      </c>
      <c r="G175" t="s">
        <v>332</v>
      </c>
      <c r="H175">
        <f t="shared" si="2"/>
        <v>1</v>
      </c>
    </row>
    <row r="176" spans="1:9" ht="14.45" x14ac:dyDescent="0.25">
      <c r="A176" t="s">
        <v>726</v>
      </c>
      <c r="B176" t="s">
        <v>727</v>
      </c>
      <c r="C176" t="s">
        <v>728</v>
      </c>
      <c r="D176" t="s">
        <v>729</v>
      </c>
      <c r="E176" t="s">
        <v>18</v>
      </c>
      <c r="F176" t="s">
        <v>18</v>
      </c>
      <c r="G176" t="s">
        <v>18</v>
      </c>
      <c r="H176">
        <f t="shared" si="2"/>
        <v>1</v>
      </c>
      <c r="I176">
        <v>1</v>
      </c>
    </row>
    <row r="177" spans="1:9" ht="14.45" x14ac:dyDescent="0.25">
      <c r="A177" t="s">
        <v>730</v>
      </c>
      <c r="B177" t="s">
        <v>731</v>
      </c>
      <c r="C177" t="s">
        <v>732</v>
      </c>
      <c r="D177" t="s">
        <v>733</v>
      </c>
      <c r="E177" t="s">
        <v>13</v>
      </c>
      <c r="F177" t="s">
        <v>13</v>
      </c>
      <c r="G177" t="s">
        <v>13</v>
      </c>
      <c r="H177">
        <f t="shared" si="2"/>
        <v>1</v>
      </c>
    </row>
    <row r="178" spans="1:9" ht="14.45" x14ac:dyDescent="0.25">
      <c r="A178" t="s">
        <v>734</v>
      </c>
      <c r="B178" t="s">
        <v>735</v>
      </c>
      <c r="C178" t="s">
        <v>736</v>
      </c>
      <c r="D178" t="s">
        <v>737</v>
      </c>
      <c r="E178" t="s">
        <v>13</v>
      </c>
      <c r="F178" t="s">
        <v>522</v>
      </c>
      <c r="G178" t="s">
        <v>522</v>
      </c>
      <c r="H178">
        <f t="shared" si="2"/>
        <v>1</v>
      </c>
      <c r="I178">
        <v>1</v>
      </c>
    </row>
    <row r="179" spans="1:9" ht="14.45" x14ac:dyDescent="0.25">
      <c r="A179" t="s">
        <v>738</v>
      </c>
      <c r="B179" t="s">
        <v>739</v>
      </c>
      <c r="C179" t="s">
        <v>740</v>
      </c>
      <c r="D179" t="s">
        <v>737</v>
      </c>
      <c r="E179" t="s">
        <v>13</v>
      </c>
      <c r="F179" t="s">
        <v>13</v>
      </c>
      <c r="G179" t="s">
        <v>13</v>
      </c>
      <c r="H179">
        <f t="shared" si="2"/>
        <v>1</v>
      </c>
    </row>
    <row r="180" spans="1:9" ht="14.45" x14ac:dyDescent="0.25">
      <c r="A180" t="s">
        <v>741</v>
      </c>
      <c r="B180" t="s">
        <v>742</v>
      </c>
      <c r="C180" t="s">
        <v>743</v>
      </c>
      <c r="D180" t="s">
        <v>744</v>
      </c>
      <c r="E180" t="s">
        <v>18</v>
      </c>
      <c r="F180" t="s">
        <v>18</v>
      </c>
      <c r="G180" t="s">
        <v>18</v>
      </c>
      <c r="H180">
        <f t="shared" si="2"/>
        <v>1</v>
      </c>
      <c r="I180">
        <v>1</v>
      </c>
    </row>
    <row r="181" spans="1:9" ht="14.45" x14ac:dyDescent="0.25">
      <c r="A181" t="s">
        <v>745</v>
      </c>
      <c r="B181" t="s">
        <v>746</v>
      </c>
      <c r="C181" t="s">
        <v>747</v>
      </c>
      <c r="D181" t="s">
        <v>744</v>
      </c>
      <c r="E181" t="s">
        <v>18</v>
      </c>
      <c r="F181" t="s">
        <v>18</v>
      </c>
      <c r="G181" t="s">
        <v>18</v>
      </c>
      <c r="H181">
        <f t="shared" si="2"/>
        <v>1</v>
      </c>
    </row>
    <row r="182" spans="1:9" ht="14.45" x14ac:dyDescent="0.25">
      <c r="A182" t="s">
        <v>748</v>
      </c>
      <c r="B182" t="s">
        <v>749</v>
      </c>
      <c r="C182" t="s">
        <v>750</v>
      </c>
      <c r="D182" t="s">
        <v>751</v>
      </c>
      <c r="E182" t="s">
        <v>13</v>
      </c>
      <c r="F182" t="s">
        <v>13</v>
      </c>
      <c r="G182" t="s">
        <v>13</v>
      </c>
      <c r="H182">
        <f t="shared" si="2"/>
        <v>1</v>
      </c>
      <c r="I182">
        <v>1</v>
      </c>
    </row>
    <row r="183" spans="1:9" ht="14.45" x14ac:dyDescent="0.25">
      <c r="A183" t="s">
        <v>752</v>
      </c>
      <c r="B183" t="s">
        <v>753</v>
      </c>
      <c r="C183" t="s">
        <v>754</v>
      </c>
      <c r="D183" t="s">
        <v>755</v>
      </c>
      <c r="E183" t="s">
        <v>332</v>
      </c>
      <c r="F183" t="s">
        <v>756</v>
      </c>
      <c r="G183" t="s">
        <v>756</v>
      </c>
      <c r="H183">
        <f t="shared" si="2"/>
        <v>1</v>
      </c>
      <c r="I183">
        <v>1</v>
      </c>
    </row>
    <row r="184" spans="1:9" ht="14.45" x14ac:dyDescent="0.25">
      <c r="A184" t="s">
        <v>757</v>
      </c>
      <c r="B184" t="s">
        <v>758</v>
      </c>
      <c r="C184" t="s">
        <v>759</v>
      </c>
      <c r="D184" t="s">
        <v>760</v>
      </c>
      <c r="E184" t="s">
        <v>13</v>
      </c>
      <c r="F184" t="s">
        <v>13</v>
      </c>
      <c r="G184" t="s">
        <v>13</v>
      </c>
      <c r="H184">
        <f t="shared" si="2"/>
        <v>1</v>
      </c>
    </row>
    <row r="185" spans="1:9" ht="14.45" x14ac:dyDescent="0.25">
      <c r="A185" t="s">
        <v>761</v>
      </c>
      <c r="B185" t="s">
        <v>762</v>
      </c>
      <c r="C185" t="s">
        <v>761</v>
      </c>
      <c r="D185" t="s">
        <v>763</v>
      </c>
      <c r="E185" t="s">
        <v>229</v>
      </c>
      <c r="F185" t="s">
        <v>377</v>
      </c>
      <c r="G185" t="s">
        <v>479</v>
      </c>
      <c r="H185">
        <f t="shared" si="2"/>
        <v>1</v>
      </c>
      <c r="I185">
        <v>1</v>
      </c>
    </row>
    <row r="186" spans="1:9" ht="14.45" x14ac:dyDescent="0.25">
      <c r="A186" t="s">
        <v>764</v>
      </c>
      <c r="B186" t="s">
        <v>765</v>
      </c>
      <c r="C186" t="s">
        <v>766</v>
      </c>
      <c r="D186" t="s">
        <v>767</v>
      </c>
      <c r="E186" t="s">
        <v>229</v>
      </c>
      <c r="F186" t="s">
        <v>377</v>
      </c>
      <c r="G186" t="s">
        <v>403</v>
      </c>
      <c r="H186">
        <f t="shared" si="2"/>
        <v>1</v>
      </c>
      <c r="I186">
        <v>1</v>
      </c>
    </row>
    <row r="187" spans="1:9" ht="14.45" x14ac:dyDescent="0.25">
      <c r="A187" t="s">
        <v>768</v>
      </c>
      <c r="B187" t="s">
        <v>769</v>
      </c>
      <c r="C187" t="s">
        <v>770</v>
      </c>
      <c r="D187" t="s">
        <v>771</v>
      </c>
      <c r="E187" t="s">
        <v>383</v>
      </c>
      <c r="F187" t="s">
        <v>384</v>
      </c>
      <c r="G187" t="s">
        <v>2367</v>
      </c>
      <c r="H187">
        <f t="shared" si="2"/>
        <v>1</v>
      </c>
      <c r="I187">
        <v>1</v>
      </c>
    </row>
    <row r="188" spans="1:9" ht="14.45" x14ac:dyDescent="0.25">
      <c r="A188" t="s">
        <v>772</v>
      </c>
      <c r="B188" t="s">
        <v>773</v>
      </c>
      <c r="C188" t="s">
        <v>774</v>
      </c>
      <c r="D188" t="s">
        <v>775</v>
      </c>
      <c r="E188" t="s">
        <v>332</v>
      </c>
      <c r="F188" t="s">
        <v>332</v>
      </c>
      <c r="G188" t="s">
        <v>332</v>
      </c>
      <c r="H188">
        <f t="shared" si="2"/>
        <v>1</v>
      </c>
    </row>
    <row r="189" spans="1:9" ht="14.45" x14ac:dyDescent="0.25">
      <c r="A189" t="s">
        <v>776</v>
      </c>
      <c r="B189" t="s">
        <v>777</v>
      </c>
      <c r="C189" t="s">
        <v>778</v>
      </c>
      <c r="D189" t="s">
        <v>779</v>
      </c>
      <c r="E189" t="s">
        <v>682</v>
      </c>
      <c r="F189" t="s">
        <v>246</v>
      </c>
      <c r="G189" t="s">
        <v>780</v>
      </c>
      <c r="H189">
        <f t="shared" si="2"/>
        <v>1</v>
      </c>
      <c r="I189">
        <v>1</v>
      </c>
    </row>
    <row r="190" spans="1:9" ht="14.45" x14ac:dyDescent="0.25">
      <c r="A190" t="s">
        <v>781</v>
      </c>
      <c r="B190" t="s">
        <v>782</v>
      </c>
      <c r="C190" t="s">
        <v>783</v>
      </c>
      <c r="D190" t="s">
        <v>784</v>
      </c>
      <c r="E190" t="s">
        <v>791</v>
      </c>
      <c r="F190" t="s">
        <v>377</v>
      </c>
      <c r="G190" t="s">
        <v>786</v>
      </c>
      <c r="H190">
        <f t="shared" si="2"/>
        <v>1</v>
      </c>
      <c r="I190">
        <v>1</v>
      </c>
    </row>
    <row r="191" spans="1:9" ht="14.45" x14ac:dyDescent="0.25">
      <c r="A191" t="s">
        <v>787</v>
      </c>
      <c r="B191" t="s">
        <v>788</v>
      </c>
      <c r="C191" t="s">
        <v>789</v>
      </c>
      <c r="D191" t="s">
        <v>790</v>
      </c>
      <c r="E191" t="s">
        <v>791</v>
      </c>
      <c r="F191" t="s">
        <v>377</v>
      </c>
      <c r="G191" t="s">
        <v>786</v>
      </c>
      <c r="H191">
        <f t="shared" si="2"/>
        <v>1</v>
      </c>
      <c r="I191">
        <v>1</v>
      </c>
    </row>
    <row r="192" spans="1:9" ht="14.45" x14ac:dyDescent="0.25">
      <c r="A192" t="s">
        <v>792</v>
      </c>
      <c r="B192" t="s">
        <v>793</v>
      </c>
      <c r="C192" t="s">
        <v>794</v>
      </c>
      <c r="D192" t="s">
        <v>790</v>
      </c>
      <c r="E192" t="s">
        <v>791</v>
      </c>
      <c r="F192" t="s">
        <v>377</v>
      </c>
      <c r="G192" t="s">
        <v>786</v>
      </c>
      <c r="H192">
        <f t="shared" si="2"/>
        <v>1</v>
      </c>
      <c r="I192">
        <v>1</v>
      </c>
    </row>
    <row r="193" spans="1:9" ht="14.45" x14ac:dyDescent="0.25">
      <c r="A193" t="s">
        <v>795</v>
      </c>
      <c r="B193" t="s">
        <v>796</v>
      </c>
      <c r="C193" t="s">
        <v>797</v>
      </c>
      <c r="D193" t="s">
        <v>798</v>
      </c>
      <c r="E193" t="s">
        <v>791</v>
      </c>
      <c r="F193" t="s">
        <v>377</v>
      </c>
      <c r="G193" t="s">
        <v>786</v>
      </c>
      <c r="H193">
        <f t="shared" si="2"/>
        <v>1</v>
      </c>
      <c r="I193">
        <v>1</v>
      </c>
    </row>
    <row r="194" spans="1:9" ht="14.45" x14ac:dyDescent="0.25">
      <c r="A194" t="s">
        <v>799</v>
      </c>
      <c r="B194" t="s">
        <v>800</v>
      </c>
      <c r="C194" t="s">
        <v>801</v>
      </c>
      <c r="D194" t="s">
        <v>802</v>
      </c>
      <c r="E194" t="s">
        <v>791</v>
      </c>
      <c r="F194" t="s">
        <v>246</v>
      </c>
      <c r="G194" t="s">
        <v>786</v>
      </c>
      <c r="H194">
        <f t="shared" ref="H194:H257" si="3">COUNTIF(A:A,A194)</f>
        <v>1</v>
      </c>
      <c r="I194">
        <v>1</v>
      </c>
    </row>
    <row r="195" spans="1:9" ht="14.45" x14ac:dyDescent="0.25">
      <c r="A195" t="s">
        <v>803</v>
      </c>
      <c r="B195" t="s">
        <v>804</v>
      </c>
      <c r="C195" t="s">
        <v>805</v>
      </c>
      <c r="D195" t="s">
        <v>806</v>
      </c>
      <c r="E195" t="s">
        <v>791</v>
      </c>
      <c r="F195" t="s">
        <v>246</v>
      </c>
      <c r="G195" t="s">
        <v>786</v>
      </c>
      <c r="H195">
        <f t="shared" si="3"/>
        <v>1</v>
      </c>
      <c r="I195">
        <v>1</v>
      </c>
    </row>
    <row r="196" spans="1:9" ht="14.45" x14ac:dyDescent="0.25">
      <c r="A196" t="s">
        <v>807</v>
      </c>
      <c r="B196" t="s">
        <v>808</v>
      </c>
      <c r="C196" t="s">
        <v>809</v>
      </c>
      <c r="D196" t="s">
        <v>806</v>
      </c>
      <c r="E196" t="s">
        <v>791</v>
      </c>
      <c r="F196" t="s">
        <v>246</v>
      </c>
      <c r="G196" t="s">
        <v>786</v>
      </c>
      <c r="H196">
        <f t="shared" si="3"/>
        <v>1</v>
      </c>
      <c r="I196">
        <v>1</v>
      </c>
    </row>
    <row r="197" spans="1:9" ht="14.45" x14ac:dyDescent="0.25">
      <c r="A197" t="s">
        <v>810</v>
      </c>
      <c r="B197" t="s">
        <v>811</v>
      </c>
      <c r="C197" t="s">
        <v>812</v>
      </c>
      <c r="D197" t="s">
        <v>806</v>
      </c>
      <c r="E197" t="s">
        <v>791</v>
      </c>
      <c r="F197" t="s">
        <v>377</v>
      </c>
      <c r="G197" t="s">
        <v>786</v>
      </c>
      <c r="H197">
        <f t="shared" si="3"/>
        <v>1</v>
      </c>
      <c r="I197">
        <v>1</v>
      </c>
    </row>
    <row r="198" spans="1:9" ht="14.45" x14ac:dyDescent="0.25">
      <c r="A198" t="s">
        <v>813</v>
      </c>
      <c r="B198" t="s">
        <v>814</v>
      </c>
      <c r="C198" t="s">
        <v>815</v>
      </c>
      <c r="D198" t="s">
        <v>806</v>
      </c>
      <c r="E198" t="s">
        <v>791</v>
      </c>
      <c r="F198" t="s">
        <v>377</v>
      </c>
      <c r="G198" t="s">
        <v>786</v>
      </c>
      <c r="H198">
        <f t="shared" si="3"/>
        <v>1</v>
      </c>
      <c r="I198">
        <v>1</v>
      </c>
    </row>
    <row r="199" spans="1:9" ht="14.45" x14ac:dyDescent="0.25">
      <c r="A199" t="s">
        <v>816</v>
      </c>
      <c r="B199" t="s">
        <v>817</v>
      </c>
      <c r="C199" t="s">
        <v>818</v>
      </c>
      <c r="D199" t="s">
        <v>806</v>
      </c>
      <c r="E199" t="s">
        <v>791</v>
      </c>
      <c r="F199" t="s">
        <v>377</v>
      </c>
      <c r="G199" t="s">
        <v>786</v>
      </c>
      <c r="H199">
        <f t="shared" si="3"/>
        <v>1</v>
      </c>
      <c r="I199">
        <v>1</v>
      </c>
    </row>
    <row r="200" spans="1:9" ht="14.45" x14ac:dyDescent="0.25">
      <c r="A200" t="s">
        <v>819</v>
      </c>
      <c r="B200" t="s">
        <v>820</v>
      </c>
      <c r="C200" t="s">
        <v>821</v>
      </c>
      <c r="D200" t="s">
        <v>806</v>
      </c>
      <c r="E200" t="s">
        <v>791</v>
      </c>
      <c r="F200" t="s">
        <v>377</v>
      </c>
      <c r="G200" t="s">
        <v>786</v>
      </c>
      <c r="H200">
        <f t="shared" si="3"/>
        <v>1</v>
      </c>
      <c r="I200">
        <v>1</v>
      </c>
    </row>
    <row r="201" spans="1:9" ht="14.45" x14ac:dyDescent="0.25">
      <c r="A201" t="s">
        <v>822</v>
      </c>
      <c r="B201" t="s">
        <v>823</v>
      </c>
      <c r="C201" t="s">
        <v>824</v>
      </c>
      <c r="D201" t="s">
        <v>806</v>
      </c>
      <c r="E201" t="s">
        <v>791</v>
      </c>
      <c r="F201" t="s">
        <v>377</v>
      </c>
      <c r="G201" t="s">
        <v>786</v>
      </c>
      <c r="H201">
        <f t="shared" si="3"/>
        <v>1</v>
      </c>
      <c r="I201">
        <v>1</v>
      </c>
    </row>
    <row r="202" spans="1:9" ht="14.45" x14ac:dyDescent="0.25">
      <c r="A202" t="s">
        <v>825</v>
      </c>
      <c r="B202" t="s">
        <v>826</v>
      </c>
      <c r="C202" t="s">
        <v>827</v>
      </c>
      <c r="D202" t="s">
        <v>828</v>
      </c>
      <c r="E202" t="s">
        <v>791</v>
      </c>
      <c r="F202" t="s">
        <v>384</v>
      </c>
      <c r="G202" t="s">
        <v>786</v>
      </c>
      <c r="H202">
        <f t="shared" si="3"/>
        <v>1</v>
      </c>
      <c r="I202">
        <v>1</v>
      </c>
    </row>
    <row r="203" spans="1:9" ht="14.45" x14ac:dyDescent="0.25">
      <c r="A203" t="s">
        <v>829</v>
      </c>
      <c r="B203" t="s">
        <v>830</v>
      </c>
      <c r="C203" t="s">
        <v>831</v>
      </c>
      <c r="D203" t="s">
        <v>832</v>
      </c>
      <c r="E203" t="s">
        <v>791</v>
      </c>
      <c r="F203" t="s">
        <v>246</v>
      </c>
      <c r="G203" t="s">
        <v>786</v>
      </c>
      <c r="H203">
        <f t="shared" si="3"/>
        <v>1</v>
      </c>
      <c r="I203">
        <v>1</v>
      </c>
    </row>
    <row r="204" spans="1:9" ht="14.45" x14ac:dyDescent="0.25">
      <c r="A204" t="s">
        <v>833</v>
      </c>
      <c r="B204" t="s">
        <v>834</v>
      </c>
      <c r="C204" t="s">
        <v>835</v>
      </c>
      <c r="D204" t="s">
        <v>836</v>
      </c>
      <c r="E204" t="s">
        <v>791</v>
      </c>
      <c r="F204" t="s">
        <v>837</v>
      </c>
      <c r="G204" t="s">
        <v>786</v>
      </c>
      <c r="H204">
        <f t="shared" si="3"/>
        <v>1</v>
      </c>
      <c r="I204">
        <v>1</v>
      </c>
    </row>
    <row r="205" spans="1:9" ht="14.45" x14ac:dyDescent="0.25">
      <c r="A205" t="s">
        <v>838</v>
      </c>
      <c r="B205" t="s">
        <v>839</v>
      </c>
      <c r="C205" t="s">
        <v>840</v>
      </c>
      <c r="D205" t="s">
        <v>841</v>
      </c>
      <c r="E205" t="s">
        <v>791</v>
      </c>
      <c r="F205" t="s">
        <v>384</v>
      </c>
      <c r="G205" t="s">
        <v>786</v>
      </c>
      <c r="H205">
        <f t="shared" si="3"/>
        <v>1</v>
      </c>
      <c r="I205">
        <v>1</v>
      </c>
    </row>
    <row r="206" spans="1:9" ht="14.45" x14ac:dyDescent="0.25">
      <c r="A206" t="s">
        <v>842</v>
      </c>
      <c r="B206" t="s">
        <v>843</v>
      </c>
      <c r="C206" t="s">
        <v>844</v>
      </c>
      <c r="D206" t="s">
        <v>845</v>
      </c>
      <c r="E206" t="s">
        <v>791</v>
      </c>
      <c r="F206" t="s">
        <v>837</v>
      </c>
      <c r="G206" t="s">
        <v>786</v>
      </c>
      <c r="H206">
        <f t="shared" si="3"/>
        <v>1</v>
      </c>
      <c r="I206">
        <v>1</v>
      </c>
    </row>
    <row r="207" spans="1:9" ht="14.45" x14ac:dyDescent="0.25">
      <c r="A207" t="s">
        <v>846</v>
      </c>
      <c r="B207" t="s">
        <v>847</v>
      </c>
      <c r="C207" t="s">
        <v>848</v>
      </c>
      <c r="D207" t="s">
        <v>849</v>
      </c>
      <c r="E207" t="s">
        <v>791</v>
      </c>
      <c r="F207" t="s">
        <v>377</v>
      </c>
      <c r="G207" t="s">
        <v>786</v>
      </c>
      <c r="H207">
        <f t="shared" si="3"/>
        <v>1</v>
      </c>
      <c r="I207">
        <v>1</v>
      </c>
    </row>
    <row r="208" spans="1:9" ht="14.45" x14ac:dyDescent="0.25">
      <c r="A208" t="s">
        <v>850</v>
      </c>
      <c r="B208" t="s">
        <v>851</v>
      </c>
      <c r="C208" t="s">
        <v>852</v>
      </c>
      <c r="D208" t="s">
        <v>849</v>
      </c>
      <c r="E208" t="s">
        <v>791</v>
      </c>
      <c r="F208" t="s">
        <v>377</v>
      </c>
      <c r="G208" t="s">
        <v>786</v>
      </c>
      <c r="H208">
        <f t="shared" si="3"/>
        <v>1</v>
      </c>
      <c r="I208">
        <v>1</v>
      </c>
    </row>
    <row r="209" spans="1:9" ht="14.45" x14ac:dyDescent="0.25">
      <c r="A209" t="s">
        <v>853</v>
      </c>
      <c r="B209" t="s">
        <v>854</v>
      </c>
      <c r="C209" t="s">
        <v>855</v>
      </c>
      <c r="D209" t="s">
        <v>856</v>
      </c>
      <c r="E209" t="s">
        <v>791</v>
      </c>
      <c r="F209" t="s">
        <v>377</v>
      </c>
      <c r="G209" t="s">
        <v>786</v>
      </c>
      <c r="H209">
        <f t="shared" si="3"/>
        <v>1</v>
      </c>
      <c r="I209">
        <v>1</v>
      </c>
    </row>
    <row r="210" spans="1:9" ht="14.45" x14ac:dyDescent="0.25">
      <c r="A210" t="s">
        <v>857</v>
      </c>
      <c r="B210" t="s">
        <v>858</v>
      </c>
      <c r="C210" t="s">
        <v>859</v>
      </c>
      <c r="D210" t="s">
        <v>856</v>
      </c>
      <c r="E210" t="s">
        <v>791</v>
      </c>
      <c r="F210" t="s">
        <v>377</v>
      </c>
      <c r="G210" t="s">
        <v>786</v>
      </c>
      <c r="H210">
        <f t="shared" si="3"/>
        <v>1</v>
      </c>
      <c r="I210">
        <v>1</v>
      </c>
    </row>
    <row r="211" spans="1:9" ht="14.45" x14ac:dyDescent="0.25">
      <c r="A211" t="s">
        <v>860</v>
      </c>
      <c r="B211" t="s">
        <v>861</v>
      </c>
      <c r="C211" t="s">
        <v>862</v>
      </c>
      <c r="D211" t="s">
        <v>863</v>
      </c>
      <c r="E211" t="s">
        <v>791</v>
      </c>
      <c r="F211" t="s">
        <v>377</v>
      </c>
      <c r="G211" t="s">
        <v>786</v>
      </c>
      <c r="H211">
        <f t="shared" si="3"/>
        <v>1</v>
      </c>
      <c r="I211">
        <v>1</v>
      </c>
    </row>
    <row r="212" spans="1:9" ht="14.45" x14ac:dyDescent="0.25">
      <c r="A212" t="s">
        <v>864</v>
      </c>
      <c r="B212" t="s">
        <v>865</v>
      </c>
      <c r="C212" t="s">
        <v>866</v>
      </c>
      <c r="D212" t="s">
        <v>863</v>
      </c>
      <c r="E212" t="s">
        <v>791</v>
      </c>
      <c r="F212" t="s">
        <v>377</v>
      </c>
      <c r="G212" t="s">
        <v>786</v>
      </c>
      <c r="H212">
        <f t="shared" si="3"/>
        <v>1</v>
      </c>
      <c r="I212">
        <v>1</v>
      </c>
    </row>
    <row r="213" spans="1:9" ht="14.45" x14ac:dyDescent="0.25">
      <c r="A213" t="s">
        <v>867</v>
      </c>
      <c r="B213" t="s">
        <v>868</v>
      </c>
      <c r="C213" t="s">
        <v>869</v>
      </c>
      <c r="D213" t="s">
        <v>870</v>
      </c>
      <c r="E213" t="s">
        <v>871</v>
      </c>
      <c r="F213" t="s">
        <v>246</v>
      </c>
      <c r="G213" t="s">
        <v>780</v>
      </c>
      <c r="H213">
        <f t="shared" si="3"/>
        <v>1</v>
      </c>
      <c r="I213">
        <v>1</v>
      </c>
    </row>
    <row r="214" spans="1:9" ht="14.45" x14ac:dyDescent="0.25">
      <c r="A214" t="s">
        <v>872</v>
      </c>
      <c r="B214" t="s">
        <v>873</v>
      </c>
      <c r="C214" t="s">
        <v>874</v>
      </c>
      <c r="D214" t="s">
        <v>875</v>
      </c>
      <c r="E214" t="s">
        <v>871</v>
      </c>
      <c r="F214" t="s">
        <v>246</v>
      </c>
      <c r="G214" t="s">
        <v>780</v>
      </c>
      <c r="H214">
        <f t="shared" si="3"/>
        <v>1</v>
      </c>
      <c r="I214">
        <v>1</v>
      </c>
    </row>
    <row r="215" spans="1:9" ht="14.45" x14ac:dyDescent="0.25">
      <c r="A215" t="s">
        <v>874</v>
      </c>
      <c r="B215" t="s">
        <v>873</v>
      </c>
      <c r="C215" t="s">
        <v>874</v>
      </c>
      <c r="D215" t="s">
        <v>875</v>
      </c>
      <c r="E215" t="s">
        <v>871</v>
      </c>
      <c r="F215" t="s">
        <v>246</v>
      </c>
      <c r="G215" t="s">
        <v>780</v>
      </c>
      <c r="H215">
        <f t="shared" si="3"/>
        <v>1</v>
      </c>
      <c r="I215">
        <v>1</v>
      </c>
    </row>
    <row r="216" spans="1:9" ht="14.45" x14ac:dyDescent="0.25">
      <c r="A216" t="s">
        <v>876</v>
      </c>
      <c r="B216" t="s">
        <v>877</v>
      </c>
      <c r="C216" t="s">
        <v>878</v>
      </c>
      <c r="D216" t="s">
        <v>879</v>
      </c>
      <c r="E216" t="s">
        <v>394</v>
      </c>
      <c r="F216" t="s">
        <v>377</v>
      </c>
      <c r="G216" t="s">
        <v>378</v>
      </c>
      <c r="H216">
        <f t="shared" si="3"/>
        <v>1</v>
      </c>
      <c r="I216">
        <v>1</v>
      </c>
    </row>
    <row r="217" spans="1:9" ht="14.45" x14ac:dyDescent="0.25">
      <c r="A217" t="s">
        <v>880</v>
      </c>
      <c r="B217" t="s">
        <v>881</v>
      </c>
      <c r="C217" t="s">
        <v>882</v>
      </c>
      <c r="D217" t="s">
        <v>883</v>
      </c>
      <c r="E217" t="s">
        <v>13</v>
      </c>
      <c r="F217" t="s">
        <v>13</v>
      </c>
      <c r="G217" t="s">
        <v>13</v>
      </c>
      <c r="H217">
        <f t="shared" si="3"/>
        <v>1</v>
      </c>
    </row>
    <row r="218" spans="1:9" ht="14.45" x14ac:dyDescent="0.25">
      <c r="A218" t="s">
        <v>884</v>
      </c>
      <c r="B218" t="s">
        <v>885</v>
      </c>
      <c r="C218" t="s">
        <v>886</v>
      </c>
      <c r="D218" t="s">
        <v>887</v>
      </c>
      <c r="E218" t="s">
        <v>13</v>
      </c>
      <c r="F218" t="s">
        <v>13</v>
      </c>
      <c r="G218" t="s">
        <v>13</v>
      </c>
      <c r="H218">
        <f t="shared" si="3"/>
        <v>1</v>
      </c>
    </row>
    <row r="219" spans="1:9" ht="14.45" x14ac:dyDescent="0.25">
      <c r="A219" t="s">
        <v>888</v>
      </c>
      <c r="B219" t="s">
        <v>889</v>
      </c>
      <c r="C219" t="s">
        <v>890</v>
      </c>
      <c r="D219" t="s">
        <v>891</v>
      </c>
      <c r="E219" t="s">
        <v>892</v>
      </c>
      <c r="F219" t="s">
        <v>893</v>
      </c>
      <c r="G219" t="s">
        <v>892</v>
      </c>
      <c r="H219">
        <f t="shared" si="3"/>
        <v>1</v>
      </c>
    </row>
    <row r="220" spans="1:9" ht="14.45" x14ac:dyDescent="0.25">
      <c r="A220" t="s">
        <v>894</v>
      </c>
      <c r="B220" t="s">
        <v>895</v>
      </c>
      <c r="C220" t="s">
        <v>896</v>
      </c>
      <c r="D220" t="s">
        <v>897</v>
      </c>
      <c r="E220" t="s">
        <v>892</v>
      </c>
      <c r="F220" t="s">
        <v>893</v>
      </c>
      <c r="G220" t="s">
        <v>892</v>
      </c>
      <c r="H220">
        <f t="shared" si="3"/>
        <v>1</v>
      </c>
      <c r="I220">
        <v>1</v>
      </c>
    </row>
    <row r="221" spans="1:9" ht="14.45" x14ac:dyDescent="0.25">
      <c r="A221" t="s">
        <v>898</v>
      </c>
      <c r="B221" t="s">
        <v>899</v>
      </c>
      <c r="C221" t="s">
        <v>900</v>
      </c>
      <c r="D221" t="s">
        <v>901</v>
      </c>
      <c r="E221" t="s">
        <v>892</v>
      </c>
      <c r="F221" t="s">
        <v>893</v>
      </c>
      <c r="G221" t="s">
        <v>892</v>
      </c>
      <c r="H221">
        <f t="shared" si="3"/>
        <v>1</v>
      </c>
    </row>
    <row r="222" spans="1:9" ht="14.45" x14ac:dyDescent="0.25">
      <c r="A222" t="s">
        <v>902</v>
      </c>
      <c r="B222" t="s">
        <v>903</v>
      </c>
      <c r="C222" t="s">
        <v>904</v>
      </c>
      <c r="D222" t="s">
        <v>905</v>
      </c>
      <c r="E222" t="s">
        <v>892</v>
      </c>
      <c r="F222" t="s">
        <v>893</v>
      </c>
      <c r="G222" t="s">
        <v>892</v>
      </c>
      <c r="H222">
        <f t="shared" si="3"/>
        <v>1</v>
      </c>
    </row>
    <row r="223" spans="1:9" ht="14.45" x14ac:dyDescent="0.25">
      <c r="A223" t="s">
        <v>906</v>
      </c>
      <c r="B223" t="s">
        <v>907</v>
      </c>
      <c r="C223" t="s">
        <v>908</v>
      </c>
      <c r="D223" t="s">
        <v>909</v>
      </c>
      <c r="E223" t="s">
        <v>892</v>
      </c>
      <c r="F223" t="s">
        <v>893</v>
      </c>
      <c r="G223" t="s">
        <v>892</v>
      </c>
      <c r="H223">
        <f t="shared" si="3"/>
        <v>1</v>
      </c>
    </row>
    <row r="224" spans="1:9" ht="14.45" x14ac:dyDescent="0.25">
      <c r="A224" t="s">
        <v>910</v>
      </c>
      <c r="B224" t="s">
        <v>911</v>
      </c>
      <c r="C224" t="s">
        <v>912</v>
      </c>
      <c r="D224" t="s">
        <v>913</v>
      </c>
      <c r="E224" t="s">
        <v>892</v>
      </c>
      <c r="F224" t="s">
        <v>893</v>
      </c>
      <c r="G224" t="s">
        <v>892</v>
      </c>
      <c r="H224">
        <f t="shared" si="3"/>
        <v>1</v>
      </c>
      <c r="I224">
        <v>1</v>
      </c>
    </row>
    <row r="225" spans="1:9" ht="14.45" x14ac:dyDescent="0.25">
      <c r="A225" t="s">
        <v>914</v>
      </c>
      <c r="B225" t="s">
        <v>915</v>
      </c>
      <c r="C225" t="s">
        <v>916</v>
      </c>
      <c r="D225" t="s">
        <v>913</v>
      </c>
      <c r="E225" t="s">
        <v>892</v>
      </c>
      <c r="F225" t="s">
        <v>893</v>
      </c>
      <c r="G225" t="s">
        <v>892</v>
      </c>
      <c r="H225">
        <f t="shared" si="3"/>
        <v>1</v>
      </c>
      <c r="I225">
        <v>1</v>
      </c>
    </row>
    <row r="226" spans="1:9" ht="14.45" x14ac:dyDescent="0.25">
      <c r="A226" t="s">
        <v>917</v>
      </c>
      <c r="B226" t="s">
        <v>918</v>
      </c>
      <c r="C226" t="s">
        <v>919</v>
      </c>
      <c r="D226" t="s">
        <v>913</v>
      </c>
      <c r="E226" t="s">
        <v>892</v>
      </c>
      <c r="F226" t="s">
        <v>893</v>
      </c>
      <c r="G226" t="s">
        <v>892</v>
      </c>
      <c r="H226">
        <f t="shared" si="3"/>
        <v>1</v>
      </c>
      <c r="I226">
        <v>1</v>
      </c>
    </row>
    <row r="227" spans="1:9" ht="14.45" x14ac:dyDescent="0.25">
      <c r="A227" t="s">
        <v>920</v>
      </c>
      <c r="B227" t="s">
        <v>921</v>
      </c>
      <c r="C227" t="s">
        <v>922</v>
      </c>
      <c r="D227" t="s">
        <v>913</v>
      </c>
      <c r="E227" t="s">
        <v>892</v>
      </c>
      <c r="F227" t="s">
        <v>893</v>
      </c>
      <c r="G227" t="s">
        <v>892</v>
      </c>
      <c r="H227">
        <f t="shared" si="3"/>
        <v>1</v>
      </c>
      <c r="I227">
        <v>1</v>
      </c>
    </row>
    <row r="228" spans="1:9" ht="14.45" x14ac:dyDescent="0.25">
      <c r="A228" t="s">
        <v>923</v>
      </c>
      <c r="B228" t="s">
        <v>924</v>
      </c>
      <c r="C228" t="s">
        <v>925</v>
      </c>
      <c r="D228" t="s">
        <v>913</v>
      </c>
      <c r="E228" t="s">
        <v>892</v>
      </c>
      <c r="F228" t="s">
        <v>893</v>
      </c>
      <c r="G228" t="s">
        <v>892</v>
      </c>
      <c r="H228">
        <f t="shared" si="3"/>
        <v>1</v>
      </c>
      <c r="I228">
        <v>1</v>
      </c>
    </row>
    <row r="229" spans="1:9" ht="14.45" x14ac:dyDescent="0.25">
      <c r="A229" t="s">
        <v>926</v>
      </c>
      <c r="B229" t="s">
        <v>927</v>
      </c>
      <c r="C229" t="s">
        <v>928</v>
      </c>
      <c r="D229" t="s">
        <v>913</v>
      </c>
      <c r="E229" t="s">
        <v>892</v>
      </c>
      <c r="F229" t="s">
        <v>893</v>
      </c>
      <c r="G229" t="s">
        <v>892</v>
      </c>
      <c r="H229">
        <f t="shared" si="3"/>
        <v>1</v>
      </c>
      <c r="I229">
        <v>1</v>
      </c>
    </row>
    <row r="230" spans="1:9" ht="14.45" x14ac:dyDescent="0.25">
      <c r="A230" t="s">
        <v>929</v>
      </c>
      <c r="B230" t="s">
        <v>930</v>
      </c>
      <c r="C230" t="s">
        <v>931</v>
      </c>
      <c r="D230" t="s">
        <v>913</v>
      </c>
      <c r="E230" t="s">
        <v>892</v>
      </c>
      <c r="F230" t="s">
        <v>893</v>
      </c>
      <c r="G230" t="s">
        <v>892</v>
      </c>
      <c r="H230">
        <f t="shared" si="3"/>
        <v>1</v>
      </c>
    </row>
    <row r="231" spans="1:9" ht="14.45" x14ac:dyDescent="0.25">
      <c r="A231" t="s">
        <v>932</v>
      </c>
      <c r="B231" t="s">
        <v>933</v>
      </c>
      <c r="C231" t="s">
        <v>934</v>
      </c>
      <c r="D231" t="s">
        <v>935</v>
      </c>
      <c r="E231" t="s">
        <v>332</v>
      </c>
      <c r="F231" t="s">
        <v>13</v>
      </c>
      <c r="G231" t="s">
        <v>13</v>
      </c>
      <c r="H231">
        <f t="shared" si="3"/>
        <v>1</v>
      </c>
      <c r="I231">
        <v>1</v>
      </c>
    </row>
    <row r="232" spans="1:9" ht="14.45" x14ac:dyDescent="0.25">
      <c r="A232" t="s">
        <v>936</v>
      </c>
      <c r="B232" t="s">
        <v>937</v>
      </c>
      <c r="C232" t="s">
        <v>938</v>
      </c>
      <c r="D232" t="s">
        <v>939</v>
      </c>
      <c r="E232" t="s">
        <v>332</v>
      </c>
      <c r="F232" t="s">
        <v>332</v>
      </c>
      <c r="G232" t="s">
        <v>332</v>
      </c>
      <c r="H232">
        <f t="shared" si="3"/>
        <v>1</v>
      </c>
    </row>
    <row r="233" spans="1:9" ht="14.45" x14ac:dyDescent="0.25">
      <c r="A233" t="s">
        <v>940</v>
      </c>
      <c r="B233" t="s">
        <v>941</v>
      </c>
      <c r="C233" t="s">
        <v>942</v>
      </c>
      <c r="D233" t="s">
        <v>943</v>
      </c>
      <c r="E233" t="s">
        <v>332</v>
      </c>
      <c r="F233" t="s">
        <v>332</v>
      </c>
      <c r="G233" t="s">
        <v>332</v>
      </c>
      <c r="H233">
        <f t="shared" si="3"/>
        <v>1</v>
      </c>
    </row>
    <row r="234" spans="1:9" ht="14.45" x14ac:dyDescent="0.25">
      <c r="A234" t="s">
        <v>944</v>
      </c>
      <c r="B234" t="s">
        <v>945</v>
      </c>
      <c r="C234" t="s">
        <v>946</v>
      </c>
      <c r="D234" t="s">
        <v>947</v>
      </c>
      <c r="E234" t="s">
        <v>948</v>
      </c>
      <c r="F234" t="s">
        <v>893</v>
      </c>
      <c r="G234" t="s">
        <v>948</v>
      </c>
      <c r="H234">
        <f t="shared" si="3"/>
        <v>1</v>
      </c>
      <c r="I234">
        <v>1</v>
      </c>
    </row>
    <row r="235" spans="1:9" ht="14.45" x14ac:dyDescent="0.25">
      <c r="A235" t="s">
        <v>949</v>
      </c>
      <c r="B235" t="s">
        <v>950</v>
      </c>
      <c r="C235" t="s">
        <v>951</v>
      </c>
      <c r="D235" t="s">
        <v>952</v>
      </c>
      <c r="E235" t="s">
        <v>892</v>
      </c>
      <c r="F235" t="s">
        <v>893</v>
      </c>
      <c r="G235" t="s">
        <v>892</v>
      </c>
      <c r="H235">
        <f t="shared" si="3"/>
        <v>1</v>
      </c>
      <c r="I235">
        <v>1</v>
      </c>
    </row>
    <row r="236" spans="1:9" ht="14.45" x14ac:dyDescent="0.25">
      <c r="A236" t="s">
        <v>953</v>
      </c>
      <c r="B236" t="s">
        <v>954</v>
      </c>
      <c r="C236" t="s">
        <v>953</v>
      </c>
      <c r="D236" t="s">
        <v>952</v>
      </c>
      <c r="E236" t="s">
        <v>892</v>
      </c>
      <c r="F236" t="s">
        <v>893</v>
      </c>
      <c r="G236" t="s">
        <v>892</v>
      </c>
      <c r="H236">
        <f t="shared" si="3"/>
        <v>1</v>
      </c>
      <c r="I236">
        <v>1</v>
      </c>
    </row>
    <row r="237" spans="1:9" ht="14.45" x14ac:dyDescent="0.25">
      <c r="A237" t="s">
        <v>955</v>
      </c>
      <c r="B237" t="s">
        <v>956</v>
      </c>
      <c r="C237" t="s">
        <v>957</v>
      </c>
      <c r="D237" t="s">
        <v>952</v>
      </c>
      <c r="E237" t="s">
        <v>892</v>
      </c>
      <c r="F237" t="s">
        <v>893</v>
      </c>
      <c r="G237" t="s">
        <v>892</v>
      </c>
      <c r="H237">
        <f t="shared" si="3"/>
        <v>1</v>
      </c>
      <c r="I237">
        <v>1</v>
      </c>
    </row>
    <row r="238" spans="1:9" ht="14.45" x14ac:dyDescent="0.25">
      <c r="A238" t="s">
        <v>958</v>
      </c>
      <c r="B238" t="s">
        <v>954</v>
      </c>
      <c r="C238" t="s">
        <v>953</v>
      </c>
      <c r="D238" t="s">
        <v>952</v>
      </c>
      <c r="E238" t="s">
        <v>892</v>
      </c>
      <c r="F238" t="s">
        <v>893</v>
      </c>
      <c r="G238" t="s">
        <v>892</v>
      </c>
      <c r="H238">
        <f t="shared" si="3"/>
        <v>1</v>
      </c>
    </row>
    <row r="239" spans="1:9" ht="14.45" x14ac:dyDescent="0.25">
      <c r="A239" t="s">
        <v>959</v>
      </c>
      <c r="B239" t="s">
        <v>960</v>
      </c>
      <c r="C239" t="s">
        <v>961</v>
      </c>
      <c r="D239" t="s">
        <v>962</v>
      </c>
      <c r="E239" t="s">
        <v>892</v>
      </c>
      <c r="F239" t="s">
        <v>893</v>
      </c>
      <c r="G239" t="s">
        <v>892</v>
      </c>
      <c r="H239">
        <f t="shared" si="3"/>
        <v>1</v>
      </c>
      <c r="I239">
        <v>1</v>
      </c>
    </row>
    <row r="240" spans="1:9" ht="14.45" x14ac:dyDescent="0.25">
      <c r="A240" t="s">
        <v>963</v>
      </c>
      <c r="B240" t="s">
        <v>964</v>
      </c>
      <c r="C240" t="s">
        <v>965</v>
      </c>
      <c r="D240" t="s">
        <v>962</v>
      </c>
      <c r="E240" t="s">
        <v>892</v>
      </c>
      <c r="F240" t="s">
        <v>893</v>
      </c>
      <c r="G240" t="s">
        <v>892</v>
      </c>
      <c r="H240">
        <f t="shared" si="3"/>
        <v>1</v>
      </c>
      <c r="I240">
        <v>1</v>
      </c>
    </row>
    <row r="241" spans="1:9" ht="14.45" x14ac:dyDescent="0.25">
      <c r="A241" t="s">
        <v>965</v>
      </c>
      <c r="B241" t="s">
        <v>964</v>
      </c>
      <c r="C241" t="s">
        <v>965</v>
      </c>
      <c r="D241" t="s">
        <v>962</v>
      </c>
      <c r="E241" t="s">
        <v>892</v>
      </c>
      <c r="F241" t="s">
        <v>893</v>
      </c>
      <c r="G241" t="s">
        <v>892</v>
      </c>
      <c r="H241">
        <f t="shared" si="3"/>
        <v>1</v>
      </c>
      <c r="I241">
        <v>1</v>
      </c>
    </row>
    <row r="242" spans="1:9" ht="14.45" x14ac:dyDescent="0.25">
      <c r="A242" t="s">
        <v>966</v>
      </c>
      <c r="B242" t="s">
        <v>967</v>
      </c>
      <c r="C242" t="s">
        <v>968</v>
      </c>
      <c r="D242" t="s">
        <v>969</v>
      </c>
      <c r="E242" t="s">
        <v>892</v>
      </c>
      <c r="F242" t="s">
        <v>893</v>
      </c>
      <c r="G242" t="s">
        <v>892</v>
      </c>
      <c r="H242">
        <f t="shared" si="3"/>
        <v>1</v>
      </c>
      <c r="I242">
        <v>1</v>
      </c>
    </row>
    <row r="243" spans="1:9" ht="14.45" x14ac:dyDescent="0.25">
      <c r="A243" t="s">
        <v>970</v>
      </c>
      <c r="B243" t="s">
        <v>971</v>
      </c>
      <c r="C243" t="s">
        <v>972</v>
      </c>
      <c r="D243" t="s">
        <v>969</v>
      </c>
      <c r="E243" t="s">
        <v>332</v>
      </c>
      <c r="F243" t="s">
        <v>332</v>
      </c>
      <c r="G243" t="s">
        <v>332</v>
      </c>
      <c r="H243">
        <f t="shared" si="3"/>
        <v>1</v>
      </c>
    </row>
    <row r="244" spans="1:9" ht="14.45" x14ac:dyDescent="0.25">
      <c r="A244" t="s">
        <v>973</v>
      </c>
      <c r="B244" t="s">
        <v>974</v>
      </c>
      <c r="C244" t="s">
        <v>975</v>
      </c>
      <c r="D244" t="s">
        <v>976</v>
      </c>
      <c r="E244" t="s">
        <v>332</v>
      </c>
      <c r="F244" t="s">
        <v>332</v>
      </c>
      <c r="G244" t="s">
        <v>332</v>
      </c>
      <c r="H244">
        <f t="shared" si="3"/>
        <v>1</v>
      </c>
    </row>
    <row r="245" spans="1:9" ht="14.45" x14ac:dyDescent="0.25">
      <c r="A245" t="s">
        <v>977</v>
      </c>
      <c r="B245" t="s">
        <v>978</v>
      </c>
      <c r="C245" t="s">
        <v>979</v>
      </c>
      <c r="D245" t="s">
        <v>980</v>
      </c>
      <c r="E245" t="s">
        <v>332</v>
      </c>
      <c r="F245" t="s">
        <v>756</v>
      </c>
      <c r="G245" t="s">
        <v>756</v>
      </c>
      <c r="H245">
        <f t="shared" si="3"/>
        <v>1</v>
      </c>
      <c r="I245">
        <v>1</v>
      </c>
    </row>
    <row r="246" spans="1:9" ht="14.45" x14ac:dyDescent="0.25">
      <c r="A246" t="s">
        <v>981</v>
      </c>
      <c r="B246" t="s">
        <v>982</v>
      </c>
      <c r="C246" t="s">
        <v>983</v>
      </c>
      <c r="D246" t="s">
        <v>984</v>
      </c>
      <c r="E246" t="s">
        <v>229</v>
      </c>
      <c r="F246" t="s">
        <v>377</v>
      </c>
      <c r="G246" t="s">
        <v>479</v>
      </c>
      <c r="H246">
        <f t="shared" si="3"/>
        <v>1</v>
      </c>
      <c r="I246">
        <v>1</v>
      </c>
    </row>
    <row r="247" spans="1:9" ht="14.45" x14ac:dyDescent="0.25">
      <c r="A247" t="s">
        <v>985</v>
      </c>
      <c r="B247" t="s">
        <v>986</v>
      </c>
      <c r="C247" t="s">
        <v>987</v>
      </c>
      <c r="D247" t="s">
        <v>988</v>
      </c>
      <c r="E247" t="s">
        <v>13</v>
      </c>
      <c r="F247" t="s">
        <v>989</v>
      </c>
      <c r="G247" t="s">
        <v>989</v>
      </c>
      <c r="H247">
        <f t="shared" si="3"/>
        <v>1</v>
      </c>
      <c r="I247">
        <v>1</v>
      </c>
    </row>
    <row r="248" spans="1:9" ht="14.45" x14ac:dyDescent="0.25">
      <c r="A248" t="s">
        <v>990</v>
      </c>
      <c r="B248" t="s">
        <v>991</v>
      </c>
      <c r="C248" t="s">
        <v>992</v>
      </c>
      <c r="D248" t="s">
        <v>993</v>
      </c>
      <c r="E248" t="s">
        <v>332</v>
      </c>
      <c r="F248" t="s">
        <v>994</v>
      </c>
      <c r="G248" t="s">
        <v>994</v>
      </c>
      <c r="H248">
        <f t="shared" si="3"/>
        <v>1</v>
      </c>
      <c r="I248">
        <v>1</v>
      </c>
    </row>
    <row r="249" spans="1:9" ht="14.45" x14ac:dyDescent="0.25">
      <c r="A249" t="s">
        <v>995</v>
      </c>
      <c r="B249" t="s">
        <v>996</v>
      </c>
      <c r="C249" t="s">
        <v>997</v>
      </c>
      <c r="D249" t="s">
        <v>998</v>
      </c>
      <c r="E249" t="s">
        <v>13</v>
      </c>
      <c r="F249" t="s">
        <v>13</v>
      </c>
      <c r="G249" t="s">
        <v>13</v>
      </c>
      <c r="H249">
        <f t="shared" si="3"/>
        <v>1</v>
      </c>
    </row>
    <row r="250" spans="1:9" ht="14.45" x14ac:dyDescent="0.25">
      <c r="A250" t="s">
        <v>999</v>
      </c>
      <c r="B250" t="s">
        <v>1000</v>
      </c>
      <c r="C250" t="s">
        <v>1001</v>
      </c>
      <c r="D250" t="s">
        <v>1002</v>
      </c>
      <c r="E250" t="s">
        <v>13</v>
      </c>
      <c r="F250" t="s">
        <v>13</v>
      </c>
      <c r="G250" t="s">
        <v>13</v>
      </c>
      <c r="H250">
        <f t="shared" si="3"/>
        <v>1</v>
      </c>
    </row>
    <row r="251" spans="1:9" ht="14.45" x14ac:dyDescent="0.25">
      <c r="A251" t="s">
        <v>1003</v>
      </c>
      <c r="B251" t="s">
        <v>1004</v>
      </c>
      <c r="C251" t="s">
        <v>1005</v>
      </c>
      <c r="D251" t="s">
        <v>1006</v>
      </c>
      <c r="E251" t="s">
        <v>229</v>
      </c>
      <c r="F251" t="s">
        <v>246</v>
      </c>
      <c r="G251" t="s">
        <v>247</v>
      </c>
      <c r="H251">
        <f t="shared" si="3"/>
        <v>1</v>
      </c>
      <c r="I251">
        <v>1</v>
      </c>
    </row>
    <row r="252" spans="1:9" ht="14.45" x14ac:dyDescent="0.25">
      <c r="A252" t="s">
        <v>1007</v>
      </c>
      <c r="B252" t="s">
        <v>1008</v>
      </c>
      <c r="C252" t="s">
        <v>1009</v>
      </c>
      <c r="D252" t="s">
        <v>1010</v>
      </c>
      <c r="E252" t="s">
        <v>229</v>
      </c>
      <c r="F252" t="s">
        <v>246</v>
      </c>
      <c r="G252" t="s">
        <v>780</v>
      </c>
      <c r="H252">
        <f t="shared" si="3"/>
        <v>1</v>
      </c>
      <c r="I252">
        <v>1</v>
      </c>
    </row>
    <row r="253" spans="1:9" ht="14.45" x14ac:dyDescent="0.25">
      <c r="A253" t="s">
        <v>1011</v>
      </c>
      <c r="B253" t="s">
        <v>1012</v>
      </c>
      <c r="C253" t="s">
        <v>1013</v>
      </c>
      <c r="D253" t="s">
        <v>1014</v>
      </c>
      <c r="E253" t="s">
        <v>18</v>
      </c>
      <c r="F253" t="s">
        <v>18</v>
      </c>
      <c r="G253" t="s">
        <v>18</v>
      </c>
      <c r="H253">
        <f t="shared" si="3"/>
        <v>1</v>
      </c>
      <c r="I253">
        <v>1</v>
      </c>
    </row>
    <row r="254" spans="1:9" ht="14.45" x14ac:dyDescent="0.25">
      <c r="A254" t="s">
        <v>1015</v>
      </c>
      <c r="B254" t="s">
        <v>1016</v>
      </c>
      <c r="C254" t="s">
        <v>1017</v>
      </c>
      <c r="D254" t="s">
        <v>1014</v>
      </c>
      <c r="E254" t="s">
        <v>18</v>
      </c>
      <c r="F254" t="s">
        <v>18</v>
      </c>
      <c r="G254" t="s">
        <v>18</v>
      </c>
      <c r="H254">
        <f t="shared" si="3"/>
        <v>1</v>
      </c>
      <c r="I254">
        <v>1</v>
      </c>
    </row>
    <row r="255" spans="1:9" ht="14.45" x14ac:dyDescent="0.25">
      <c r="A255" t="s">
        <v>1018</v>
      </c>
      <c r="B255" t="s">
        <v>1019</v>
      </c>
      <c r="C255" t="s">
        <v>1020</v>
      </c>
      <c r="D255" t="s">
        <v>1021</v>
      </c>
      <c r="E255" t="s">
        <v>229</v>
      </c>
      <c r="F255" t="s">
        <v>246</v>
      </c>
      <c r="G255" t="s">
        <v>780</v>
      </c>
      <c r="H255">
        <f t="shared" si="3"/>
        <v>1</v>
      </c>
      <c r="I255">
        <v>1</v>
      </c>
    </row>
    <row r="256" spans="1:9" ht="14.45" x14ac:dyDescent="0.25">
      <c r="A256" t="s">
        <v>1020</v>
      </c>
      <c r="B256" t="s">
        <v>1019</v>
      </c>
      <c r="C256" t="s">
        <v>1020</v>
      </c>
      <c r="D256" t="s">
        <v>1021</v>
      </c>
      <c r="E256" t="s">
        <v>229</v>
      </c>
      <c r="F256" t="s">
        <v>246</v>
      </c>
      <c r="G256" t="s">
        <v>780</v>
      </c>
      <c r="H256">
        <f t="shared" si="3"/>
        <v>1</v>
      </c>
      <c r="I256">
        <v>1</v>
      </c>
    </row>
    <row r="257" spans="1:9" ht="14.45" x14ac:dyDescent="0.25">
      <c r="A257" t="s">
        <v>1022</v>
      </c>
      <c r="B257" t="s">
        <v>1023</v>
      </c>
      <c r="C257" t="s">
        <v>1024</v>
      </c>
      <c r="D257" t="s">
        <v>1025</v>
      </c>
      <c r="E257" t="s">
        <v>13</v>
      </c>
      <c r="F257" t="s">
        <v>13</v>
      </c>
      <c r="G257" t="s">
        <v>13</v>
      </c>
      <c r="H257">
        <f t="shared" si="3"/>
        <v>1</v>
      </c>
    </row>
    <row r="258" spans="1:9" ht="14.45" x14ac:dyDescent="0.25">
      <c r="A258" t="s">
        <v>1026</v>
      </c>
      <c r="B258" t="s">
        <v>1027</v>
      </c>
      <c r="C258" t="s">
        <v>1028</v>
      </c>
      <c r="D258" t="s">
        <v>1029</v>
      </c>
      <c r="E258" t="s">
        <v>383</v>
      </c>
      <c r="F258" t="s">
        <v>384</v>
      </c>
      <c r="G258" t="s">
        <v>648</v>
      </c>
      <c r="H258">
        <f t="shared" ref="H258:H321" si="4">COUNTIF(A:A,A258)</f>
        <v>1</v>
      </c>
      <c r="I258">
        <v>1</v>
      </c>
    </row>
    <row r="259" spans="1:9" ht="14.45" x14ac:dyDescent="0.25">
      <c r="A259" t="s">
        <v>1030</v>
      </c>
      <c r="B259" t="s">
        <v>1031</v>
      </c>
      <c r="C259" t="s">
        <v>1032</v>
      </c>
      <c r="D259" t="s">
        <v>1033</v>
      </c>
      <c r="E259" t="s">
        <v>422</v>
      </c>
      <c r="F259" t="s">
        <v>422</v>
      </c>
      <c r="G259" t="s">
        <v>422</v>
      </c>
      <c r="H259">
        <f t="shared" si="4"/>
        <v>1</v>
      </c>
      <c r="I259">
        <v>1</v>
      </c>
    </row>
    <row r="260" spans="1:9" ht="14.45" x14ac:dyDescent="0.25">
      <c r="A260" t="s">
        <v>1034</v>
      </c>
      <c r="B260" t="s">
        <v>1035</v>
      </c>
      <c r="C260" t="s">
        <v>1036</v>
      </c>
      <c r="D260" t="s">
        <v>1037</v>
      </c>
      <c r="E260" t="s">
        <v>422</v>
      </c>
      <c r="F260" t="s">
        <v>422</v>
      </c>
      <c r="G260" t="s">
        <v>422</v>
      </c>
      <c r="H260">
        <f t="shared" si="4"/>
        <v>1</v>
      </c>
      <c r="I260">
        <v>1</v>
      </c>
    </row>
    <row r="261" spans="1:9" ht="14.45" x14ac:dyDescent="0.25">
      <c r="A261" t="s">
        <v>1038</v>
      </c>
      <c r="B261" t="s">
        <v>1039</v>
      </c>
      <c r="C261" t="s">
        <v>1040</v>
      </c>
      <c r="D261" t="s">
        <v>1041</v>
      </c>
      <c r="E261" t="s">
        <v>224</v>
      </c>
      <c r="F261" t="s">
        <v>224</v>
      </c>
      <c r="G261" t="s">
        <v>224</v>
      </c>
      <c r="H261">
        <f t="shared" si="4"/>
        <v>1</v>
      </c>
      <c r="I261">
        <v>1</v>
      </c>
    </row>
    <row r="262" spans="1:9" ht="14.45" x14ac:dyDescent="0.25">
      <c r="A262" t="s">
        <v>1042</v>
      </c>
      <c r="B262" t="s">
        <v>1043</v>
      </c>
      <c r="C262" t="s">
        <v>1044</v>
      </c>
      <c r="D262" t="s">
        <v>1045</v>
      </c>
      <c r="E262" t="s">
        <v>224</v>
      </c>
      <c r="F262" t="s">
        <v>224</v>
      </c>
      <c r="G262" t="s">
        <v>224</v>
      </c>
      <c r="H262">
        <f t="shared" si="4"/>
        <v>1</v>
      </c>
      <c r="I262">
        <v>1</v>
      </c>
    </row>
    <row r="263" spans="1:9" ht="14.45" x14ac:dyDescent="0.25">
      <c r="A263" t="s">
        <v>1046</v>
      </c>
      <c r="B263" t="s">
        <v>1047</v>
      </c>
      <c r="C263" t="s">
        <v>1046</v>
      </c>
      <c r="D263" t="s">
        <v>1048</v>
      </c>
      <c r="E263" t="s">
        <v>478</v>
      </c>
      <c r="F263" t="s">
        <v>377</v>
      </c>
      <c r="G263" t="s">
        <v>479</v>
      </c>
      <c r="H263">
        <f t="shared" si="4"/>
        <v>1</v>
      </c>
      <c r="I263">
        <v>1</v>
      </c>
    </row>
    <row r="264" spans="1:9" ht="14.45" x14ac:dyDescent="0.25">
      <c r="A264" t="s">
        <v>1049</v>
      </c>
      <c r="B264" t="s">
        <v>1050</v>
      </c>
      <c r="C264" t="s">
        <v>1051</v>
      </c>
      <c r="D264" t="s">
        <v>1052</v>
      </c>
      <c r="E264" t="s">
        <v>224</v>
      </c>
      <c r="F264" t="s">
        <v>224</v>
      </c>
      <c r="G264" t="s">
        <v>224</v>
      </c>
      <c r="H264">
        <f t="shared" si="4"/>
        <v>1</v>
      </c>
      <c r="I264">
        <v>1</v>
      </c>
    </row>
    <row r="265" spans="1:9" ht="14.45" x14ac:dyDescent="0.25">
      <c r="A265" t="s">
        <v>1053</v>
      </c>
      <c r="B265" t="s">
        <v>1054</v>
      </c>
      <c r="C265" t="s">
        <v>1055</v>
      </c>
      <c r="D265" t="s">
        <v>1056</v>
      </c>
      <c r="E265" t="s">
        <v>224</v>
      </c>
      <c r="F265" t="s">
        <v>224</v>
      </c>
      <c r="G265" t="s">
        <v>224</v>
      </c>
      <c r="H265">
        <f t="shared" si="4"/>
        <v>1</v>
      </c>
      <c r="I265">
        <v>1</v>
      </c>
    </row>
    <row r="266" spans="1:9" ht="14.45" x14ac:dyDescent="0.25">
      <c r="A266" t="s">
        <v>1057</v>
      </c>
      <c r="B266" t="s">
        <v>1058</v>
      </c>
      <c r="C266" t="s">
        <v>1059</v>
      </c>
      <c r="D266" t="s">
        <v>1060</v>
      </c>
      <c r="E266" t="s">
        <v>224</v>
      </c>
      <c r="F266" t="s">
        <v>224</v>
      </c>
      <c r="G266" t="s">
        <v>224</v>
      </c>
      <c r="H266">
        <f t="shared" si="4"/>
        <v>1</v>
      </c>
      <c r="I266">
        <v>1</v>
      </c>
    </row>
    <row r="267" spans="1:9" ht="14.45" x14ac:dyDescent="0.25">
      <c r="A267" t="s">
        <v>1061</v>
      </c>
      <c r="B267" t="s">
        <v>1062</v>
      </c>
      <c r="C267" t="s">
        <v>1063</v>
      </c>
      <c r="D267" t="s">
        <v>1064</v>
      </c>
      <c r="E267" t="s">
        <v>229</v>
      </c>
      <c r="F267" t="s">
        <v>246</v>
      </c>
      <c r="G267" t="s">
        <v>247</v>
      </c>
      <c r="H267">
        <f t="shared" si="4"/>
        <v>1</v>
      </c>
      <c r="I267">
        <v>1</v>
      </c>
    </row>
    <row r="268" spans="1:9" ht="14.45" x14ac:dyDescent="0.25">
      <c r="A268" t="s">
        <v>1065</v>
      </c>
      <c r="B268" t="s">
        <v>1066</v>
      </c>
      <c r="C268" t="s">
        <v>1067</v>
      </c>
      <c r="D268" t="s">
        <v>1068</v>
      </c>
      <c r="E268" t="s">
        <v>229</v>
      </c>
      <c r="F268" t="s">
        <v>377</v>
      </c>
      <c r="G268" t="s">
        <v>479</v>
      </c>
      <c r="H268">
        <f t="shared" si="4"/>
        <v>1</v>
      </c>
      <c r="I268">
        <v>1</v>
      </c>
    </row>
    <row r="269" spans="1:9" ht="14.45" x14ac:dyDescent="0.25">
      <c r="A269" t="s">
        <v>1069</v>
      </c>
      <c r="B269" t="s">
        <v>1070</v>
      </c>
      <c r="C269" t="s">
        <v>1071</v>
      </c>
      <c r="D269" t="s">
        <v>1072</v>
      </c>
      <c r="E269" t="s">
        <v>224</v>
      </c>
      <c r="F269" t="s">
        <v>224</v>
      </c>
      <c r="G269" t="s">
        <v>224</v>
      </c>
      <c r="H269">
        <f t="shared" si="4"/>
        <v>1</v>
      </c>
      <c r="I269">
        <v>1</v>
      </c>
    </row>
    <row r="270" spans="1:9" ht="14.45" x14ac:dyDescent="0.25">
      <c r="A270" t="s">
        <v>1073</v>
      </c>
      <c r="B270" t="s">
        <v>1074</v>
      </c>
      <c r="C270" t="s">
        <v>1075</v>
      </c>
      <c r="D270" t="s">
        <v>1076</v>
      </c>
      <c r="E270" t="s">
        <v>229</v>
      </c>
      <c r="F270" t="s">
        <v>246</v>
      </c>
      <c r="G270" t="s">
        <v>247</v>
      </c>
      <c r="H270">
        <f t="shared" si="4"/>
        <v>1</v>
      </c>
      <c r="I270">
        <v>1</v>
      </c>
    </row>
    <row r="271" spans="1:9" ht="14.45" x14ac:dyDescent="0.25">
      <c r="A271" t="s">
        <v>1077</v>
      </c>
      <c r="B271" t="s">
        <v>1078</v>
      </c>
      <c r="C271" t="s">
        <v>1079</v>
      </c>
      <c r="D271" t="s">
        <v>1080</v>
      </c>
      <c r="E271" t="s">
        <v>478</v>
      </c>
      <c r="F271" t="s">
        <v>478</v>
      </c>
      <c r="G271" t="s">
        <v>478</v>
      </c>
      <c r="H271">
        <f t="shared" si="4"/>
        <v>1</v>
      </c>
    </row>
    <row r="272" spans="1:9" ht="14.45" x14ac:dyDescent="0.25">
      <c r="A272" t="s">
        <v>1081</v>
      </c>
      <c r="B272" t="s">
        <v>1082</v>
      </c>
      <c r="C272" t="s">
        <v>1083</v>
      </c>
      <c r="D272" t="s">
        <v>1084</v>
      </c>
      <c r="E272" t="s">
        <v>1085</v>
      </c>
      <c r="F272" t="s">
        <v>246</v>
      </c>
      <c r="G272" t="s">
        <v>1086</v>
      </c>
      <c r="H272">
        <f t="shared" si="4"/>
        <v>1</v>
      </c>
      <c r="I272">
        <v>1</v>
      </c>
    </row>
    <row r="273" spans="1:9" ht="14.45" x14ac:dyDescent="0.25">
      <c r="A273" t="s">
        <v>1087</v>
      </c>
      <c r="B273" t="s">
        <v>1088</v>
      </c>
      <c r="C273" t="s">
        <v>1087</v>
      </c>
      <c r="D273" t="s">
        <v>1089</v>
      </c>
      <c r="E273" t="s">
        <v>1090</v>
      </c>
      <c r="F273" t="s">
        <v>246</v>
      </c>
      <c r="G273" t="s">
        <v>247</v>
      </c>
      <c r="H273">
        <f t="shared" si="4"/>
        <v>1</v>
      </c>
      <c r="I273">
        <v>1</v>
      </c>
    </row>
    <row r="274" spans="1:9" ht="14.45" x14ac:dyDescent="0.25">
      <c r="A274" t="s">
        <v>1091</v>
      </c>
      <c r="B274" t="s">
        <v>1088</v>
      </c>
      <c r="C274" t="s">
        <v>1087</v>
      </c>
      <c r="D274" t="s">
        <v>1089</v>
      </c>
      <c r="E274" t="s">
        <v>1090</v>
      </c>
      <c r="F274" t="s">
        <v>246</v>
      </c>
      <c r="G274" t="s">
        <v>247</v>
      </c>
      <c r="H274">
        <f t="shared" si="4"/>
        <v>1</v>
      </c>
      <c r="I274">
        <v>1</v>
      </c>
    </row>
    <row r="275" spans="1:9" ht="14.45" x14ac:dyDescent="0.25">
      <c r="A275" t="s">
        <v>1092</v>
      </c>
      <c r="B275" t="s">
        <v>1093</v>
      </c>
      <c r="C275" t="s">
        <v>1094</v>
      </c>
      <c r="D275" t="s">
        <v>1095</v>
      </c>
      <c r="E275" t="s">
        <v>229</v>
      </c>
      <c r="F275" t="s">
        <v>377</v>
      </c>
      <c r="G275" t="s">
        <v>479</v>
      </c>
      <c r="H275">
        <f t="shared" si="4"/>
        <v>1</v>
      </c>
      <c r="I275">
        <v>1</v>
      </c>
    </row>
    <row r="276" spans="1:9" ht="14.45" x14ac:dyDescent="0.25">
      <c r="A276" t="s">
        <v>1096</v>
      </c>
      <c r="B276" t="s">
        <v>1097</v>
      </c>
      <c r="C276" t="s">
        <v>1098</v>
      </c>
      <c r="D276" t="s">
        <v>1099</v>
      </c>
      <c r="E276" t="s">
        <v>229</v>
      </c>
      <c r="F276" t="s">
        <v>377</v>
      </c>
      <c r="G276" t="s">
        <v>479</v>
      </c>
      <c r="H276">
        <f t="shared" si="4"/>
        <v>1</v>
      </c>
      <c r="I276">
        <v>1</v>
      </c>
    </row>
    <row r="277" spans="1:9" ht="14.45" x14ac:dyDescent="0.25">
      <c r="A277" t="s">
        <v>1100</v>
      </c>
      <c r="B277" t="s">
        <v>1101</v>
      </c>
      <c r="C277" t="s">
        <v>1102</v>
      </c>
      <c r="D277" t="s">
        <v>1103</v>
      </c>
      <c r="E277" t="s">
        <v>13</v>
      </c>
      <c r="F277" t="s">
        <v>13</v>
      </c>
      <c r="G277" t="s">
        <v>13</v>
      </c>
      <c r="H277">
        <f t="shared" si="4"/>
        <v>1</v>
      </c>
    </row>
    <row r="278" spans="1:9" ht="14.45" x14ac:dyDescent="0.25">
      <c r="A278" t="s">
        <v>1104</v>
      </c>
      <c r="B278" t="s">
        <v>1105</v>
      </c>
      <c r="C278" t="s">
        <v>1106</v>
      </c>
      <c r="D278" t="s">
        <v>1107</v>
      </c>
      <c r="E278" t="s">
        <v>332</v>
      </c>
      <c r="F278" t="s">
        <v>332</v>
      </c>
      <c r="G278" t="s">
        <v>332</v>
      </c>
      <c r="H278">
        <f t="shared" si="4"/>
        <v>1</v>
      </c>
    </row>
    <row r="279" spans="1:9" ht="14.45" x14ac:dyDescent="0.25">
      <c r="A279" t="s">
        <v>1108</v>
      </c>
      <c r="B279" t="s">
        <v>1109</v>
      </c>
      <c r="C279" t="s">
        <v>1110</v>
      </c>
      <c r="D279" t="s">
        <v>1111</v>
      </c>
      <c r="E279" t="s">
        <v>332</v>
      </c>
      <c r="F279" t="s">
        <v>332</v>
      </c>
      <c r="G279" t="s">
        <v>332</v>
      </c>
      <c r="H279">
        <f t="shared" si="4"/>
        <v>1</v>
      </c>
    </row>
    <row r="280" spans="1:9" ht="14.45" x14ac:dyDescent="0.25">
      <c r="A280" t="s">
        <v>1112</v>
      </c>
      <c r="B280" t="s">
        <v>1113</v>
      </c>
      <c r="C280" t="s">
        <v>1114</v>
      </c>
      <c r="D280" t="s">
        <v>1115</v>
      </c>
      <c r="E280" t="str">
        <f>G280</f>
        <v>Benfeitorias e outros</v>
      </c>
      <c r="F280" t="s">
        <v>626</v>
      </c>
      <c r="G280" t="s">
        <v>627</v>
      </c>
      <c r="H280">
        <f t="shared" si="4"/>
        <v>1</v>
      </c>
    </row>
    <row r="281" spans="1:9" ht="14.45" x14ac:dyDescent="0.25">
      <c r="A281" t="s">
        <v>1116</v>
      </c>
      <c r="B281" t="s">
        <v>1117</v>
      </c>
      <c r="C281" t="s">
        <v>1118</v>
      </c>
      <c r="D281" t="s">
        <v>1119</v>
      </c>
      <c r="E281" t="s">
        <v>13</v>
      </c>
      <c r="F281" t="s">
        <v>13</v>
      </c>
      <c r="G281" t="s">
        <v>13</v>
      </c>
      <c r="H281">
        <f t="shared" si="4"/>
        <v>1</v>
      </c>
    </row>
    <row r="282" spans="1:9" ht="14.45" x14ac:dyDescent="0.25">
      <c r="A282" t="s">
        <v>1120</v>
      </c>
      <c r="B282" t="s">
        <v>1121</v>
      </c>
      <c r="C282" t="s">
        <v>1122</v>
      </c>
      <c r="D282" t="s">
        <v>1123</v>
      </c>
      <c r="E282" t="s">
        <v>229</v>
      </c>
      <c r="F282" t="s">
        <v>1124</v>
      </c>
      <c r="G282" t="s">
        <v>1124</v>
      </c>
      <c r="H282">
        <f t="shared" si="4"/>
        <v>1</v>
      </c>
      <c r="I282">
        <v>1</v>
      </c>
    </row>
    <row r="283" spans="1:9" ht="14.45" x14ac:dyDescent="0.25">
      <c r="A283" t="s">
        <v>1125</v>
      </c>
      <c r="B283" t="s">
        <v>1126</v>
      </c>
      <c r="C283" t="s">
        <v>1127</v>
      </c>
      <c r="D283" t="s">
        <v>1128</v>
      </c>
      <c r="E283" t="s">
        <v>18</v>
      </c>
      <c r="F283" t="s">
        <v>18</v>
      </c>
      <c r="G283" t="s">
        <v>18</v>
      </c>
      <c r="H283">
        <f t="shared" si="4"/>
        <v>1</v>
      </c>
      <c r="I283">
        <v>1</v>
      </c>
    </row>
    <row r="284" spans="1:9" ht="14.45" x14ac:dyDescent="0.25">
      <c r="A284" t="s">
        <v>1129</v>
      </c>
      <c r="B284" t="s">
        <v>1130</v>
      </c>
      <c r="C284" t="s">
        <v>1131</v>
      </c>
      <c r="D284" t="s">
        <v>1128</v>
      </c>
      <c r="E284" t="s">
        <v>18</v>
      </c>
      <c r="F284" t="s">
        <v>18</v>
      </c>
      <c r="G284" t="s">
        <v>18</v>
      </c>
      <c r="H284">
        <f t="shared" si="4"/>
        <v>1</v>
      </c>
      <c r="I284">
        <v>1</v>
      </c>
    </row>
    <row r="285" spans="1:9" ht="14.45" x14ac:dyDescent="0.25">
      <c r="A285" t="s">
        <v>1132</v>
      </c>
      <c r="B285" t="s">
        <v>1133</v>
      </c>
      <c r="C285" t="s">
        <v>1134</v>
      </c>
      <c r="D285" t="s">
        <v>1135</v>
      </c>
      <c r="E285" t="s">
        <v>332</v>
      </c>
      <c r="F285" t="s">
        <v>332</v>
      </c>
      <c r="G285" t="s">
        <v>332</v>
      </c>
      <c r="H285">
        <f t="shared" si="4"/>
        <v>1</v>
      </c>
    </row>
    <row r="286" spans="1:9" ht="14.45" x14ac:dyDescent="0.25">
      <c r="A286" t="s">
        <v>1136</v>
      </c>
      <c r="B286" t="s">
        <v>1137</v>
      </c>
      <c r="C286" t="s">
        <v>1138</v>
      </c>
      <c r="D286" t="s">
        <v>1139</v>
      </c>
      <c r="E286" t="s">
        <v>224</v>
      </c>
      <c r="F286" t="s">
        <v>224</v>
      </c>
      <c r="G286" t="s">
        <v>224</v>
      </c>
      <c r="H286">
        <f t="shared" si="4"/>
        <v>1</v>
      </c>
      <c r="I286">
        <v>1</v>
      </c>
    </row>
    <row r="287" spans="1:9" ht="14.45" x14ac:dyDescent="0.25">
      <c r="A287" t="s">
        <v>1140</v>
      </c>
      <c r="B287" t="s">
        <v>1141</v>
      </c>
      <c r="C287" t="s">
        <v>1142</v>
      </c>
      <c r="D287" t="s">
        <v>1143</v>
      </c>
      <c r="E287" t="s">
        <v>224</v>
      </c>
      <c r="F287" t="s">
        <v>224</v>
      </c>
      <c r="G287" t="s">
        <v>224</v>
      </c>
      <c r="H287">
        <f t="shared" si="4"/>
        <v>1</v>
      </c>
      <c r="I287">
        <v>1</v>
      </c>
    </row>
    <row r="288" spans="1:9" ht="14.45" x14ac:dyDescent="0.25">
      <c r="A288" t="s">
        <v>1144</v>
      </c>
      <c r="B288" t="s">
        <v>1145</v>
      </c>
      <c r="C288" t="s">
        <v>1146</v>
      </c>
      <c r="D288" t="s">
        <v>1147</v>
      </c>
      <c r="E288" t="s">
        <v>229</v>
      </c>
      <c r="F288" t="s">
        <v>377</v>
      </c>
      <c r="G288" t="s">
        <v>378</v>
      </c>
      <c r="H288">
        <f t="shared" si="4"/>
        <v>1</v>
      </c>
      <c r="I288">
        <v>1</v>
      </c>
    </row>
    <row r="289" spans="1:9" ht="14.45" x14ac:dyDescent="0.25">
      <c r="A289" t="s">
        <v>1148</v>
      </c>
      <c r="B289" t="s">
        <v>1149</v>
      </c>
      <c r="C289" t="s">
        <v>1150</v>
      </c>
      <c r="D289" t="s">
        <v>1151</v>
      </c>
      <c r="E289" t="s">
        <v>229</v>
      </c>
      <c r="F289" t="s">
        <v>377</v>
      </c>
      <c r="G289" t="s">
        <v>479</v>
      </c>
      <c r="H289">
        <f t="shared" si="4"/>
        <v>1</v>
      </c>
      <c r="I289">
        <v>1</v>
      </c>
    </row>
    <row r="290" spans="1:9" ht="14.45" x14ac:dyDescent="0.25">
      <c r="A290" t="s">
        <v>1152</v>
      </c>
      <c r="B290" t="s">
        <v>1153</v>
      </c>
      <c r="C290" t="s">
        <v>1154</v>
      </c>
      <c r="D290" t="s">
        <v>1155</v>
      </c>
      <c r="E290" t="str">
        <f>G290</f>
        <v>Equipamentos</v>
      </c>
      <c r="F290" t="s">
        <v>626</v>
      </c>
      <c r="G290" t="s">
        <v>1156</v>
      </c>
      <c r="H290">
        <f t="shared" si="4"/>
        <v>1</v>
      </c>
    </row>
    <row r="291" spans="1:9" ht="14.45" x14ac:dyDescent="0.25">
      <c r="A291" t="s">
        <v>1157</v>
      </c>
      <c r="B291" t="s">
        <v>1158</v>
      </c>
      <c r="C291" t="s">
        <v>1159</v>
      </c>
      <c r="D291" t="s">
        <v>1160</v>
      </c>
      <c r="E291" t="s">
        <v>1161</v>
      </c>
      <c r="F291" t="s">
        <v>1162</v>
      </c>
      <c r="G291" t="s">
        <v>1162</v>
      </c>
      <c r="H291">
        <f t="shared" si="4"/>
        <v>1</v>
      </c>
      <c r="I291">
        <v>1</v>
      </c>
    </row>
    <row r="292" spans="1:9" ht="14.45" x14ac:dyDescent="0.25">
      <c r="A292" t="s">
        <v>1163</v>
      </c>
      <c r="B292" t="s">
        <v>1164</v>
      </c>
      <c r="C292" t="s">
        <v>1165</v>
      </c>
      <c r="D292" t="s">
        <v>1166</v>
      </c>
      <c r="E292" t="s">
        <v>1161</v>
      </c>
      <c r="F292" t="s">
        <v>1162</v>
      </c>
      <c r="G292" t="s">
        <v>1162</v>
      </c>
      <c r="H292">
        <f t="shared" si="4"/>
        <v>1</v>
      </c>
      <c r="I292">
        <v>1</v>
      </c>
    </row>
    <row r="293" spans="1:9" ht="14.45" x14ac:dyDescent="0.25">
      <c r="A293" t="s">
        <v>1167</v>
      </c>
      <c r="B293" t="s">
        <v>1168</v>
      </c>
      <c r="C293" t="s">
        <v>1169</v>
      </c>
      <c r="D293" t="s">
        <v>1170</v>
      </c>
      <c r="E293" t="s">
        <v>18</v>
      </c>
      <c r="F293" t="s">
        <v>18</v>
      </c>
      <c r="G293" t="s">
        <v>18</v>
      </c>
      <c r="H293">
        <f t="shared" si="4"/>
        <v>1</v>
      </c>
      <c r="I293">
        <v>1</v>
      </c>
    </row>
    <row r="294" spans="1:9" ht="14.45" x14ac:dyDescent="0.25">
      <c r="A294" t="s">
        <v>1171</v>
      </c>
      <c r="B294" t="s">
        <v>1172</v>
      </c>
      <c r="C294" t="s">
        <v>1173</v>
      </c>
      <c r="D294" t="s">
        <v>1174</v>
      </c>
      <c r="E294" t="s">
        <v>229</v>
      </c>
      <c r="F294" t="s">
        <v>377</v>
      </c>
      <c r="G294" t="s">
        <v>479</v>
      </c>
      <c r="H294">
        <f t="shared" si="4"/>
        <v>1</v>
      </c>
      <c r="I294">
        <v>1</v>
      </c>
    </row>
    <row r="295" spans="1:9" ht="14.45" x14ac:dyDescent="0.25">
      <c r="A295" t="s">
        <v>1175</v>
      </c>
      <c r="B295" t="s">
        <v>1176</v>
      </c>
      <c r="C295" t="s">
        <v>1177</v>
      </c>
      <c r="D295" t="s">
        <v>1178</v>
      </c>
      <c r="E295" t="s">
        <v>1179</v>
      </c>
      <c r="F295" t="s">
        <v>377</v>
      </c>
      <c r="G295" t="s">
        <v>403</v>
      </c>
      <c r="H295">
        <f t="shared" si="4"/>
        <v>1</v>
      </c>
      <c r="I295">
        <v>1</v>
      </c>
    </row>
    <row r="296" spans="1:9" ht="14.45" x14ac:dyDescent="0.25">
      <c r="A296" t="s">
        <v>1180</v>
      </c>
      <c r="B296" t="s">
        <v>1181</v>
      </c>
      <c r="C296" t="s">
        <v>1182</v>
      </c>
      <c r="D296" t="s">
        <v>1183</v>
      </c>
      <c r="E296" t="s">
        <v>13</v>
      </c>
      <c r="F296" t="s">
        <v>13</v>
      </c>
      <c r="G296" t="s">
        <v>13</v>
      </c>
      <c r="H296">
        <f t="shared" si="4"/>
        <v>1</v>
      </c>
    </row>
    <row r="297" spans="1:9" ht="14.45" x14ac:dyDescent="0.25">
      <c r="A297" t="s">
        <v>1184</v>
      </c>
      <c r="B297" t="s">
        <v>1185</v>
      </c>
      <c r="C297" t="s">
        <v>1186</v>
      </c>
      <c r="D297" t="s">
        <v>1187</v>
      </c>
      <c r="E297" t="s">
        <v>13</v>
      </c>
      <c r="F297" t="s">
        <v>13</v>
      </c>
      <c r="G297" t="s">
        <v>13</v>
      </c>
      <c r="H297">
        <f t="shared" si="4"/>
        <v>1</v>
      </c>
    </row>
    <row r="298" spans="1:9" ht="14.45" x14ac:dyDescent="0.25">
      <c r="A298" t="s">
        <v>1188</v>
      </c>
      <c r="B298" t="s">
        <v>1189</v>
      </c>
      <c r="C298" t="s">
        <v>1190</v>
      </c>
      <c r="D298" t="s">
        <v>1191</v>
      </c>
      <c r="E298" t="s">
        <v>13</v>
      </c>
      <c r="F298" t="s">
        <v>13</v>
      </c>
      <c r="G298" t="s">
        <v>13</v>
      </c>
      <c r="H298">
        <f t="shared" si="4"/>
        <v>1</v>
      </c>
    </row>
    <row r="299" spans="1:9" ht="14.45" x14ac:dyDescent="0.25">
      <c r="A299" t="s">
        <v>1192</v>
      </c>
      <c r="B299" t="s">
        <v>1193</v>
      </c>
      <c r="C299" t="s">
        <v>1194</v>
      </c>
      <c r="D299" t="s">
        <v>1195</v>
      </c>
      <c r="E299" t="s">
        <v>229</v>
      </c>
      <c r="F299" t="s">
        <v>377</v>
      </c>
      <c r="G299" t="s">
        <v>686</v>
      </c>
      <c r="H299">
        <f t="shared" si="4"/>
        <v>1</v>
      </c>
      <c r="I299">
        <v>1</v>
      </c>
    </row>
    <row r="300" spans="1:9" ht="14.45" x14ac:dyDescent="0.25">
      <c r="A300" t="s">
        <v>1196</v>
      </c>
      <c r="B300" t="s">
        <v>1197</v>
      </c>
      <c r="C300" t="s">
        <v>1198</v>
      </c>
      <c r="D300" t="s">
        <v>1199</v>
      </c>
      <c r="E300" t="s">
        <v>367</v>
      </c>
      <c r="F300" t="s">
        <v>246</v>
      </c>
      <c r="G300" t="s">
        <v>368</v>
      </c>
      <c r="H300">
        <f t="shared" si="4"/>
        <v>1</v>
      </c>
      <c r="I300">
        <v>1</v>
      </c>
    </row>
    <row r="301" spans="1:9" ht="14.45" x14ac:dyDescent="0.25">
      <c r="A301" t="s">
        <v>1200</v>
      </c>
      <c r="B301" t="s">
        <v>1201</v>
      </c>
      <c r="C301" t="s">
        <v>1202</v>
      </c>
      <c r="D301" t="s">
        <v>1203</v>
      </c>
      <c r="E301" t="s">
        <v>383</v>
      </c>
      <c r="F301" t="s">
        <v>384</v>
      </c>
      <c r="G301" t="s">
        <v>1204</v>
      </c>
      <c r="H301">
        <f t="shared" si="4"/>
        <v>1</v>
      </c>
      <c r="I301">
        <v>1</v>
      </c>
    </row>
    <row r="302" spans="1:9" ht="14.45" x14ac:dyDescent="0.25">
      <c r="A302" t="s">
        <v>1205</v>
      </c>
      <c r="B302" t="s">
        <v>1206</v>
      </c>
      <c r="C302" t="s">
        <v>1207</v>
      </c>
      <c r="D302" t="s">
        <v>1208</v>
      </c>
      <c r="E302" t="s">
        <v>383</v>
      </c>
      <c r="F302" t="s">
        <v>384</v>
      </c>
      <c r="G302" t="s">
        <v>648</v>
      </c>
      <c r="H302">
        <f t="shared" si="4"/>
        <v>1</v>
      </c>
      <c r="I302">
        <v>1</v>
      </c>
    </row>
    <row r="303" spans="1:9" ht="14.45" x14ac:dyDescent="0.25">
      <c r="A303" t="s">
        <v>1209</v>
      </c>
      <c r="B303" t="s">
        <v>1210</v>
      </c>
      <c r="C303" t="s">
        <v>1211</v>
      </c>
      <c r="D303" t="s">
        <v>1212</v>
      </c>
      <c r="E303" t="s">
        <v>332</v>
      </c>
      <c r="F303" t="s">
        <v>705</v>
      </c>
      <c r="G303" t="s">
        <v>705</v>
      </c>
      <c r="H303">
        <f t="shared" si="4"/>
        <v>1</v>
      </c>
      <c r="I303">
        <v>1</v>
      </c>
    </row>
    <row r="304" spans="1:9" ht="14.45" x14ac:dyDescent="0.25">
      <c r="A304" t="s">
        <v>1213</v>
      </c>
      <c r="B304" t="s">
        <v>1214</v>
      </c>
      <c r="C304" t="s">
        <v>1215</v>
      </c>
      <c r="D304" t="s">
        <v>1216</v>
      </c>
      <c r="E304" t="s">
        <v>18</v>
      </c>
      <c r="F304" t="s">
        <v>18</v>
      </c>
      <c r="G304" t="s">
        <v>18</v>
      </c>
      <c r="H304">
        <f t="shared" si="4"/>
        <v>1</v>
      </c>
    </row>
    <row r="305" spans="1:9" ht="14.45" x14ac:dyDescent="0.25">
      <c r="A305" t="s">
        <v>1217</v>
      </c>
      <c r="B305" t="s">
        <v>1218</v>
      </c>
      <c r="C305" t="s">
        <v>1219</v>
      </c>
      <c r="D305" t="s">
        <v>1220</v>
      </c>
      <c r="E305" t="s">
        <v>332</v>
      </c>
      <c r="F305" t="s">
        <v>1221</v>
      </c>
      <c r="G305" t="s">
        <v>1221</v>
      </c>
      <c r="H305">
        <f t="shared" si="4"/>
        <v>1</v>
      </c>
      <c r="I305">
        <v>1</v>
      </c>
    </row>
    <row r="306" spans="1:9" ht="14.45" x14ac:dyDescent="0.25">
      <c r="A306" t="s">
        <v>1222</v>
      </c>
      <c r="B306" t="s">
        <v>1223</v>
      </c>
      <c r="C306" t="s">
        <v>1224</v>
      </c>
      <c r="D306" t="s">
        <v>1225</v>
      </c>
      <c r="E306" t="s">
        <v>13</v>
      </c>
      <c r="F306" t="s">
        <v>13</v>
      </c>
      <c r="G306" t="s">
        <v>13</v>
      </c>
      <c r="H306">
        <f t="shared" si="4"/>
        <v>1</v>
      </c>
    </row>
    <row r="307" spans="1:9" ht="14.45" x14ac:dyDescent="0.25">
      <c r="A307" t="s">
        <v>1226</v>
      </c>
      <c r="B307" t="s">
        <v>1227</v>
      </c>
      <c r="C307" t="s">
        <v>1228</v>
      </c>
      <c r="D307" t="s">
        <v>1229</v>
      </c>
      <c r="E307" t="s">
        <v>332</v>
      </c>
      <c r="F307" t="s">
        <v>332</v>
      </c>
      <c r="G307" t="s">
        <v>332</v>
      </c>
      <c r="H307">
        <f t="shared" si="4"/>
        <v>1</v>
      </c>
    </row>
    <row r="308" spans="1:9" ht="14.45" x14ac:dyDescent="0.25">
      <c r="A308" t="s">
        <v>1230</v>
      </c>
      <c r="B308" t="s">
        <v>1231</v>
      </c>
      <c r="C308" t="s">
        <v>1232</v>
      </c>
      <c r="D308" t="s">
        <v>1233</v>
      </c>
      <c r="E308" t="s">
        <v>478</v>
      </c>
      <c r="F308" t="s">
        <v>377</v>
      </c>
      <c r="G308" t="s">
        <v>479</v>
      </c>
      <c r="H308">
        <f t="shared" si="4"/>
        <v>1</v>
      </c>
      <c r="I308">
        <v>1</v>
      </c>
    </row>
    <row r="309" spans="1:9" ht="14.45" x14ac:dyDescent="0.25">
      <c r="A309" t="s">
        <v>1234</v>
      </c>
      <c r="B309" t="s">
        <v>1235</v>
      </c>
      <c r="C309" t="s">
        <v>1236</v>
      </c>
      <c r="D309" t="s">
        <v>1237</v>
      </c>
      <c r="E309" t="s">
        <v>332</v>
      </c>
      <c r="F309" t="s">
        <v>332</v>
      </c>
      <c r="G309" t="s">
        <v>332</v>
      </c>
      <c r="H309">
        <f t="shared" si="4"/>
        <v>1</v>
      </c>
    </row>
    <row r="310" spans="1:9" ht="14.45" x14ac:dyDescent="0.25">
      <c r="A310" t="s">
        <v>1238</v>
      </c>
      <c r="B310" t="s">
        <v>1239</v>
      </c>
      <c r="C310" t="s">
        <v>1240</v>
      </c>
      <c r="D310" t="s">
        <v>1241</v>
      </c>
      <c r="E310" t="s">
        <v>785</v>
      </c>
      <c r="F310" t="s">
        <v>837</v>
      </c>
      <c r="G310" t="s">
        <v>1242</v>
      </c>
      <c r="H310">
        <f t="shared" si="4"/>
        <v>1</v>
      </c>
      <c r="I310">
        <v>1</v>
      </c>
    </row>
    <row r="311" spans="1:9" ht="14.45" x14ac:dyDescent="0.25">
      <c r="A311" t="s">
        <v>1243</v>
      </c>
      <c r="B311" t="s">
        <v>1244</v>
      </c>
      <c r="C311" t="s">
        <v>1245</v>
      </c>
      <c r="D311" t="s">
        <v>1246</v>
      </c>
      <c r="E311" t="s">
        <v>332</v>
      </c>
      <c r="F311" t="s">
        <v>332</v>
      </c>
      <c r="G311" t="s">
        <v>332</v>
      </c>
      <c r="H311">
        <f t="shared" si="4"/>
        <v>1</v>
      </c>
    </row>
    <row r="312" spans="1:9" ht="14.45" x14ac:dyDescent="0.25">
      <c r="A312" t="s">
        <v>1247</v>
      </c>
      <c r="B312" t="s">
        <v>1248</v>
      </c>
      <c r="C312" t="s">
        <v>1249</v>
      </c>
      <c r="D312" t="s">
        <v>1250</v>
      </c>
      <c r="E312" t="s">
        <v>383</v>
      </c>
      <c r="F312" t="s">
        <v>384</v>
      </c>
      <c r="G312" t="s">
        <v>2367</v>
      </c>
      <c r="H312">
        <f t="shared" si="4"/>
        <v>1</v>
      </c>
      <c r="I312">
        <v>1</v>
      </c>
    </row>
    <row r="313" spans="1:9" ht="14.45" x14ac:dyDescent="0.25">
      <c r="A313" t="s">
        <v>1251</v>
      </c>
      <c r="B313" t="s">
        <v>1252</v>
      </c>
      <c r="C313" t="s">
        <v>1253</v>
      </c>
      <c r="D313" t="s">
        <v>1254</v>
      </c>
      <c r="E313" t="s">
        <v>13</v>
      </c>
      <c r="F313" t="s">
        <v>13</v>
      </c>
      <c r="G313" t="s">
        <v>13</v>
      </c>
      <c r="H313">
        <f t="shared" si="4"/>
        <v>1</v>
      </c>
    </row>
    <row r="314" spans="1:9" ht="14.45" x14ac:dyDescent="0.25">
      <c r="A314" t="s">
        <v>1255</v>
      </c>
      <c r="B314" t="s">
        <v>1256</v>
      </c>
      <c r="C314" t="s">
        <v>1257</v>
      </c>
      <c r="D314" t="s">
        <v>1258</v>
      </c>
      <c r="E314" t="s">
        <v>13</v>
      </c>
      <c r="F314" t="s">
        <v>13</v>
      </c>
      <c r="G314" t="s">
        <v>13</v>
      </c>
      <c r="H314">
        <f t="shared" si="4"/>
        <v>1</v>
      </c>
    </row>
    <row r="315" spans="1:9" ht="14.45" x14ac:dyDescent="0.25">
      <c r="A315" t="s">
        <v>1259</v>
      </c>
      <c r="B315" t="s">
        <v>1260</v>
      </c>
      <c r="C315" t="s">
        <v>1261</v>
      </c>
      <c r="D315" t="s">
        <v>1258</v>
      </c>
      <c r="E315" t="s">
        <v>332</v>
      </c>
      <c r="F315" t="s">
        <v>332</v>
      </c>
      <c r="G315" t="s">
        <v>332</v>
      </c>
      <c r="H315">
        <f t="shared" si="4"/>
        <v>1</v>
      </c>
    </row>
    <row r="316" spans="1:9" ht="14.45" x14ac:dyDescent="0.25">
      <c r="A316" t="s">
        <v>791</v>
      </c>
      <c r="B316" t="s">
        <v>1262</v>
      </c>
      <c r="C316" t="s">
        <v>791</v>
      </c>
      <c r="D316" t="s">
        <v>791</v>
      </c>
      <c r="E316" t="s">
        <v>791</v>
      </c>
      <c r="F316" t="s">
        <v>791</v>
      </c>
      <c r="G316" t="s">
        <v>791</v>
      </c>
      <c r="H316">
        <f t="shared" si="4"/>
        <v>1</v>
      </c>
      <c r="I316">
        <v>1</v>
      </c>
    </row>
    <row r="317" spans="1:9" ht="14.45" x14ac:dyDescent="0.25">
      <c r="A317" t="s">
        <v>1263</v>
      </c>
      <c r="B317" t="s">
        <v>1264</v>
      </c>
      <c r="C317" t="s">
        <v>1265</v>
      </c>
      <c r="D317" t="s">
        <v>1266</v>
      </c>
      <c r="E317" t="s">
        <v>1090</v>
      </c>
      <c r="F317" t="s">
        <v>246</v>
      </c>
      <c r="G317" t="s">
        <v>1267</v>
      </c>
      <c r="H317">
        <f t="shared" si="4"/>
        <v>1</v>
      </c>
      <c r="I317">
        <v>1</v>
      </c>
    </row>
    <row r="318" spans="1:9" ht="14.45" x14ac:dyDescent="0.25">
      <c r="A318" t="s">
        <v>1268</v>
      </c>
      <c r="B318" t="s">
        <v>1269</v>
      </c>
      <c r="C318" t="s">
        <v>1270</v>
      </c>
      <c r="D318" t="s">
        <v>1271</v>
      </c>
      <c r="E318" t="s">
        <v>383</v>
      </c>
      <c r="F318" t="s">
        <v>384</v>
      </c>
      <c r="G318" t="s">
        <v>1272</v>
      </c>
      <c r="H318">
        <f t="shared" si="4"/>
        <v>1</v>
      </c>
      <c r="I318">
        <v>1</v>
      </c>
    </row>
    <row r="319" spans="1:9" ht="14.45" x14ac:dyDescent="0.25">
      <c r="A319" t="s">
        <v>1273</v>
      </c>
      <c r="B319" t="s">
        <v>1274</v>
      </c>
      <c r="C319" t="s">
        <v>1275</v>
      </c>
      <c r="D319" t="s">
        <v>1276</v>
      </c>
      <c r="E319" t="s">
        <v>1179</v>
      </c>
      <c r="F319" t="s">
        <v>377</v>
      </c>
      <c r="G319" t="s">
        <v>403</v>
      </c>
      <c r="H319">
        <f t="shared" si="4"/>
        <v>1</v>
      </c>
      <c r="I319">
        <v>1</v>
      </c>
    </row>
    <row r="320" spans="1:9" ht="14.45" x14ac:dyDescent="0.25">
      <c r="A320" t="s">
        <v>1277</v>
      </c>
      <c r="B320" t="s">
        <v>1278</v>
      </c>
      <c r="C320" t="s">
        <v>1279</v>
      </c>
      <c r="D320" t="s">
        <v>1280</v>
      </c>
      <c r="E320" t="s">
        <v>13</v>
      </c>
      <c r="F320" t="s">
        <v>13</v>
      </c>
      <c r="G320" t="s">
        <v>13</v>
      </c>
      <c r="H320">
        <f t="shared" si="4"/>
        <v>1</v>
      </c>
    </row>
    <row r="321" spans="1:9" ht="14.45" x14ac:dyDescent="0.25">
      <c r="A321" t="s">
        <v>1281</v>
      </c>
      <c r="B321" t="s">
        <v>1282</v>
      </c>
      <c r="C321" t="s">
        <v>1283</v>
      </c>
      <c r="D321" t="s">
        <v>1284</v>
      </c>
      <c r="E321" t="s">
        <v>332</v>
      </c>
      <c r="F321" t="s">
        <v>332</v>
      </c>
      <c r="G321" t="s">
        <v>332</v>
      </c>
      <c r="H321">
        <f t="shared" si="4"/>
        <v>1</v>
      </c>
    </row>
    <row r="322" spans="1:9" ht="14.45" x14ac:dyDescent="0.25">
      <c r="A322" t="s">
        <v>1285</v>
      </c>
      <c r="B322" t="s">
        <v>1286</v>
      </c>
      <c r="C322" t="s">
        <v>1287</v>
      </c>
      <c r="D322" t="s">
        <v>1288</v>
      </c>
      <c r="E322" t="s">
        <v>332</v>
      </c>
      <c r="F322" t="s">
        <v>332</v>
      </c>
      <c r="G322" t="s">
        <v>332</v>
      </c>
      <c r="H322">
        <f t="shared" ref="H322:H385" si="5">COUNTIF(A:A,A322)</f>
        <v>1</v>
      </c>
    </row>
    <row r="323" spans="1:9" ht="14.45" x14ac:dyDescent="0.25">
      <c r="A323" t="s">
        <v>1289</v>
      </c>
      <c r="B323" t="s">
        <v>1290</v>
      </c>
      <c r="C323" t="s">
        <v>1291</v>
      </c>
      <c r="D323" t="s">
        <v>1292</v>
      </c>
      <c r="E323" t="s">
        <v>13</v>
      </c>
      <c r="F323" t="s">
        <v>13</v>
      </c>
      <c r="G323" t="s">
        <v>13</v>
      </c>
      <c r="H323">
        <f t="shared" si="5"/>
        <v>1</v>
      </c>
    </row>
    <row r="324" spans="1:9" ht="14.45" x14ac:dyDescent="0.25">
      <c r="A324" t="s">
        <v>1293</v>
      </c>
      <c r="B324" t="s">
        <v>1294</v>
      </c>
      <c r="C324" t="s">
        <v>1293</v>
      </c>
      <c r="D324" t="s">
        <v>1295</v>
      </c>
      <c r="E324" t="s">
        <v>422</v>
      </c>
      <c r="F324" t="s">
        <v>422</v>
      </c>
      <c r="G324" t="s">
        <v>422</v>
      </c>
      <c r="H324">
        <f t="shared" si="5"/>
        <v>1</v>
      </c>
      <c r="I324">
        <v>1</v>
      </c>
    </row>
    <row r="325" spans="1:9" ht="14.45" x14ac:dyDescent="0.25">
      <c r="A325" t="s">
        <v>1296</v>
      </c>
      <c r="B325" t="s">
        <v>1297</v>
      </c>
      <c r="C325" t="s">
        <v>1298</v>
      </c>
      <c r="D325" t="s">
        <v>1299</v>
      </c>
      <c r="E325" t="s">
        <v>18</v>
      </c>
      <c r="F325" t="s">
        <v>18</v>
      </c>
      <c r="G325" t="s">
        <v>18</v>
      </c>
      <c r="H325">
        <f t="shared" si="5"/>
        <v>1</v>
      </c>
      <c r="I325">
        <v>1</v>
      </c>
    </row>
    <row r="326" spans="1:9" ht="14.45" x14ac:dyDescent="0.25">
      <c r="A326" t="s">
        <v>1300</v>
      </c>
      <c r="B326" t="s">
        <v>1301</v>
      </c>
      <c r="C326" t="s">
        <v>1302</v>
      </c>
      <c r="D326" t="s">
        <v>1303</v>
      </c>
      <c r="E326" t="s">
        <v>948</v>
      </c>
      <c r="F326" t="s">
        <v>893</v>
      </c>
      <c r="G326" t="s">
        <v>948</v>
      </c>
      <c r="H326">
        <f t="shared" si="5"/>
        <v>1</v>
      </c>
      <c r="I326">
        <v>1</v>
      </c>
    </row>
    <row r="327" spans="1:9" ht="14.45" x14ac:dyDescent="0.25">
      <c r="A327" t="s">
        <v>1304</v>
      </c>
      <c r="B327" t="s">
        <v>1305</v>
      </c>
      <c r="C327" t="s">
        <v>1306</v>
      </c>
      <c r="D327" t="s">
        <v>1307</v>
      </c>
      <c r="E327" t="s">
        <v>892</v>
      </c>
      <c r="F327" t="s">
        <v>893</v>
      </c>
      <c r="G327" t="s">
        <v>892</v>
      </c>
      <c r="H327">
        <f t="shared" si="5"/>
        <v>1</v>
      </c>
    </row>
    <row r="328" spans="1:9" ht="14.45" x14ac:dyDescent="0.25">
      <c r="A328" t="s">
        <v>1308</v>
      </c>
      <c r="B328" t="s">
        <v>1309</v>
      </c>
      <c r="C328" t="s">
        <v>1310</v>
      </c>
      <c r="D328" t="s">
        <v>1311</v>
      </c>
      <c r="E328" t="s">
        <v>892</v>
      </c>
      <c r="F328" t="s">
        <v>893</v>
      </c>
      <c r="G328" t="s">
        <v>892</v>
      </c>
      <c r="H328">
        <f t="shared" si="5"/>
        <v>1</v>
      </c>
      <c r="I328">
        <v>1</v>
      </c>
    </row>
    <row r="329" spans="1:9" ht="14.45" x14ac:dyDescent="0.25">
      <c r="A329" t="s">
        <v>1312</v>
      </c>
      <c r="B329" t="s">
        <v>1313</v>
      </c>
      <c r="C329" t="s">
        <v>1314</v>
      </c>
      <c r="D329" t="s">
        <v>1315</v>
      </c>
      <c r="E329" t="s">
        <v>892</v>
      </c>
      <c r="F329" t="s">
        <v>893</v>
      </c>
      <c r="G329" t="s">
        <v>892</v>
      </c>
      <c r="H329">
        <f t="shared" si="5"/>
        <v>1</v>
      </c>
    </row>
    <row r="330" spans="1:9" ht="14.45" x14ac:dyDescent="0.25">
      <c r="A330" t="s">
        <v>1316</v>
      </c>
      <c r="B330" t="s">
        <v>1317</v>
      </c>
      <c r="C330" t="s">
        <v>1318</v>
      </c>
      <c r="D330" t="s">
        <v>1319</v>
      </c>
      <c r="E330" t="s">
        <v>892</v>
      </c>
      <c r="F330" t="s">
        <v>893</v>
      </c>
      <c r="G330" t="s">
        <v>892</v>
      </c>
      <c r="H330">
        <f t="shared" si="5"/>
        <v>1</v>
      </c>
      <c r="I330">
        <v>1</v>
      </c>
    </row>
    <row r="331" spans="1:9" ht="14.45" x14ac:dyDescent="0.25">
      <c r="A331" t="s">
        <v>1320</v>
      </c>
      <c r="B331" t="s">
        <v>1321</v>
      </c>
      <c r="C331" t="s">
        <v>1322</v>
      </c>
      <c r="D331" t="s">
        <v>1319</v>
      </c>
      <c r="E331" t="s">
        <v>892</v>
      </c>
      <c r="F331" t="s">
        <v>893</v>
      </c>
      <c r="G331" t="s">
        <v>892</v>
      </c>
      <c r="H331">
        <f t="shared" si="5"/>
        <v>1</v>
      </c>
    </row>
    <row r="332" spans="1:9" ht="14.45" x14ac:dyDescent="0.25">
      <c r="A332" t="s">
        <v>1323</v>
      </c>
      <c r="B332" t="s">
        <v>1324</v>
      </c>
      <c r="C332" t="s">
        <v>1325</v>
      </c>
      <c r="D332" t="s">
        <v>1326</v>
      </c>
      <c r="E332" t="s">
        <v>892</v>
      </c>
      <c r="F332" t="s">
        <v>893</v>
      </c>
      <c r="G332" t="s">
        <v>892</v>
      </c>
      <c r="H332">
        <f t="shared" si="5"/>
        <v>1</v>
      </c>
    </row>
    <row r="333" spans="1:9" ht="14.45" x14ac:dyDescent="0.25">
      <c r="A333" t="s">
        <v>1327</v>
      </c>
      <c r="B333" t="s">
        <v>1328</v>
      </c>
      <c r="C333" t="s">
        <v>1329</v>
      </c>
      <c r="D333" t="s">
        <v>1330</v>
      </c>
      <c r="E333" t="s">
        <v>892</v>
      </c>
      <c r="F333" t="s">
        <v>893</v>
      </c>
      <c r="G333" t="s">
        <v>892</v>
      </c>
      <c r="H333">
        <f t="shared" si="5"/>
        <v>1</v>
      </c>
      <c r="I333">
        <v>1</v>
      </c>
    </row>
    <row r="334" spans="1:9" ht="14.45" x14ac:dyDescent="0.25">
      <c r="A334" t="s">
        <v>1331</v>
      </c>
      <c r="B334" t="s">
        <v>1332</v>
      </c>
      <c r="C334" t="s">
        <v>1333</v>
      </c>
      <c r="D334" t="s">
        <v>1330</v>
      </c>
      <c r="E334" t="s">
        <v>892</v>
      </c>
      <c r="F334" t="s">
        <v>893</v>
      </c>
      <c r="G334" t="s">
        <v>892</v>
      </c>
      <c r="H334">
        <f t="shared" si="5"/>
        <v>1</v>
      </c>
      <c r="I334">
        <v>1</v>
      </c>
    </row>
    <row r="335" spans="1:9" ht="14.45" x14ac:dyDescent="0.25">
      <c r="A335" t="s">
        <v>1334</v>
      </c>
      <c r="B335" t="s">
        <v>1335</v>
      </c>
      <c r="C335" t="s">
        <v>1336</v>
      </c>
      <c r="D335" t="s">
        <v>1330</v>
      </c>
      <c r="E335" t="s">
        <v>892</v>
      </c>
      <c r="F335" t="s">
        <v>893</v>
      </c>
      <c r="G335" t="s">
        <v>892</v>
      </c>
      <c r="H335">
        <f t="shared" si="5"/>
        <v>1</v>
      </c>
      <c r="I335">
        <v>1</v>
      </c>
    </row>
    <row r="336" spans="1:9" ht="14.45" x14ac:dyDescent="0.25">
      <c r="A336" t="s">
        <v>1337</v>
      </c>
      <c r="B336" t="s">
        <v>1338</v>
      </c>
      <c r="C336" t="s">
        <v>1339</v>
      </c>
      <c r="D336" t="s">
        <v>1330</v>
      </c>
      <c r="E336" t="s">
        <v>892</v>
      </c>
      <c r="F336" t="s">
        <v>893</v>
      </c>
      <c r="G336" t="s">
        <v>892</v>
      </c>
      <c r="H336">
        <f t="shared" si="5"/>
        <v>1</v>
      </c>
      <c r="I336">
        <v>1</v>
      </c>
    </row>
    <row r="337" spans="1:9" ht="14.45" x14ac:dyDescent="0.25">
      <c r="A337" t="s">
        <v>1340</v>
      </c>
      <c r="B337" t="s">
        <v>1341</v>
      </c>
      <c r="C337" t="s">
        <v>1342</v>
      </c>
      <c r="D337" t="s">
        <v>1330</v>
      </c>
      <c r="E337" t="s">
        <v>892</v>
      </c>
      <c r="F337" t="s">
        <v>893</v>
      </c>
      <c r="G337" t="s">
        <v>892</v>
      </c>
      <c r="H337">
        <f t="shared" si="5"/>
        <v>1</v>
      </c>
      <c r="I337">
        <v>1</v>
      </c>
    </row>
    <row r="338" spans="1:9" ht="14.45" x14ac:dyDescent="0.25">
      <c r="A338" t="s">
        <v>1343</v>
      </c>
      <c r="B338" t="s">
        <v>1344</v>
      </c>
      <c r="C338" t="s">
        <v>1345</v>
      </c>
      <c r="D338" t="s">
        <v>1330</v>
      </c>
      <c r="E338" t="s">
        <v>892</v>
      </c>
      <c r="F338" t="s">
        <v>893</v>
      </c>
      <c r="G338" t="s">
        <v>892</v>
      </c>
      <c r="H338">
        <f t="shared" si="5"/>
        <v>1</v>
      </c>
    </row>
    <row r="339" spans="1:9" ht="14.45" x14ac:dyDescent="0.25">
      <c r="A339" t="s">
        <v>1346</v>
      </c>
      <c r="B339" t="s">
        <v>1347</v>
      </c>
      <c r="C339" t="s">
        <v>1348</v>
      </c>
      <c r="D339" t="s">
        <v>1349</v>
      </c>
      <c r="E339" t="s">
        <v>892</v>
      </c>
      <c r="F339" t="s">
        <v>893</v>
      </c>
      <c r="G339" t="s">
        <v>892</v>
      </c>
      <c r="H339">
        <f t="shared" si="5"/>
        <v>1</v>
      </c>
      <c r="I339">
        <v>1</v>
      </c>
    </row>
    <row r="340" spans="1:9" ht="14.45" x14ac:dyDescent="0.25">
      <c r="A340" t="s">
        <v>1350</v>
      </c>
      <c r="B340" t="s">
        <v>1351</v>
      </c>
      <c r="C340" t="s">
        <v>1352</v>
      </c>
      <c r="D340" t="s">
        <v>1349</v>
      </c>
      <c r="E340" t="s">
        <v>332</v>
      </c>
      <c r="F340" t="s">
        <v>332</v>
      </c>
      <c r="G340" t="s">
        <v>332</v>
      </c>
      <c r="H340">
        <f t="shared" si="5"/>
        <v>1</v>
      </c>
    </row>
    <row r="341" spans="1:9" ht="14.45" x14ac:dyDescent="0.25">
      <c r="A341" t="s">
        <v>1353</v>
      </c>
      <c r="B341" t="s">
        <v>1354</v>
      </c>
      <c r="C341" t="s">
        <v>1355</v>
      </c>
      <c r="D341" t="s">
        <v>1356</v>
      </c>
      <c r="E341" t="s">
        <v>332</v>
      </c>
      <c r="F341" t="s">
        <v>332</v>
      </c>
      <c r="G341" t="s">
        <v>332</v>
      </c>
      <c r="H341">
        <f t="shared" si="5"/>
        <v>1</v>
      </c>
    </row>
    <row r="342" spans="1:9" ht="14.45" x14ac:dyDescent="0.25">
      <c r="A342" t="s">
        <v>1357</v>
      </c>
      <c r="B342" t="s">
        <v>1358</v>
      </c>
      <c r="C342" t="s">
        <v>1359</v>
      </c>
      <c r="D342" t="s">
        <v>1360</v>
      </c>
      <c r="E342" t="s">
        <v>892</v>
      </c>
      <c r="F342" t="s">
        <v>893</v>
      </c>
      <c r="G342" t="s">
        <v>892</v>
      </c>
      <c r="H342">
        <f t="shared" si="5"/>
        <v>1</v>
      </c>
      <c r="I342">
        <v>1</v>
      </c>
    </row>
    <row r="343" spans="1:9" ht="14.45" x14ac:dyDescent="0.25">
      <c r="A343" t="s">
        <v>1361</v>
      </c>
      <c r="B343" t="s">
        <v>1362</v>
      </c>
      <c r="C343" t="s">
        <v>1361</v>
      </c>
      <c r="D343" t="s">
        <v>1360</v>
      </c>
      <c r="E343" t="s">
        <v>892</v>
      </c>
      <c r="F343" t="s">
        <v>893</v>
      </c>
      <c r="G343" t="s">
        <v>892</v>
      </c>
      <c r="H343">
        <f t="shared" si="5"/>
        <v>1</v>
      </c>
      <c r="I343">
        <v>1</v>
      </c>
    </row>
    <row r="344" spans="1:9" ht="14.45" x14ac:dyDescent="0.25">
      <c r="A344" t="s">
        <v>1363</v>
      </c>
      <c r="B344" t="s">
        <v>1364</v>
      </c>
      <c r="C344" t="s">
        <v>1365</v>
      </c>
      <c r="D344" t="s">
        <v>1360</v>
      </c>
      <c r="E344" t="s">
        <v>892</v>
      </c>
      <c r="F344" t="s">
        <v>893</v>
      </c>
      <c r="G344" t="s">
        <v>892</v>
      </c>
      <c r="H344">
        <f t="shared" si="5"/>
        <v>1</v>
      </c>
      <c r="I344">
        <v>1</v>
      </c>
    </row>
    <row r="345" spans="1:9" ht="14.45" x14ac:dyDescent="0.25">
      <c r="A345" t="s">
        <v>1366</v>
      </c>
      <c r="B345" t="s">
        <v>1362</v>
      </c>
      <c r="C345" t="s">
        <v>1361</v>
      </c>
      <c r="D345" t="s">
        <v>1360</v>
      </c>
      <c r="E345" t="s">
        <v>892</v>
      </c>
      <c r="F345" t="s">
        <v>893</v>
      </c>
      <c r="G345" t="s">
        <v>892</v>
      </c>
      <c r="H345">
        <f t="shared" si="5"/>
        <v>1</v>
      </c>
    </row>
    <row r="346" spans="1:9" ht="14.45" x14ac:dyDescent="0.25">
      <c r="A346" t="s">
        <v>1367</v>
      </c>
      <c r="B346" t="s">
        <v>1368</v>
      </c>
      <c r="C346" t="s">
        <v>1369</v>
      </c>
      <c r="D346" t="s">
        <v>1370</v>
      </c>
      <c r="E346" t="s">
        <v>892</v>
      </c>
      <c r="F346" t="s">
        <v>893</v>
      </c>
      <c r="G346" t="s">
        <v>892</v>
      </c>
      <c r="H346">
        <f t="shared" si="5"/>
        <v>1</v>
      </c>
      <c r="I346">
        <v>1</v>
      </c>
    </row>
    <row r="347" spans="1:9" ht="14.45" x14ac:dyDescent="0.25">
      <c r="A347" t="s">
        <v>1371</v>
      </c>
      <c r="B347" t="s">
        <v>1372</v>
      </c>
      <c r="C347" t="s">
        <v>1371</v>
      </c>
      <c r="D347" t="s">
        <v>1370</v>
      </c>
      <c r="E347" t="s">
        <v>892</v>
      </c>
      <c r="F347" t="s">
        <v>893</v>
      </c>
      <c r="G347" t="s">
        <v>892</v>
      </c>
      <c r="H347">
        <f t="shared" si="5"/>
        <v>1</v>
      </c>
      <c r="I347">
        <v>1</v>
      </c>
    </row>
    <row r="348" spans="1:9" ht="14.45" x14ac:dyDescent="0.25">
      <c r="A348" t="s">
        <v>1373</v>
      </c>
      <c r="B348" t="s">
        <v>1372</v>
      </c>
      <c r="C348" t="s">
        <v>1371</v>
      </c>
      <c r="D348" t="s">
        <v>1370</v>
      </c>
      <c r="E348" t="s">
        <v>892</v>
      </c>
      <c r="F348" t="s">
        <v>893</v>
      </c>
      <c r="G348" t="s">
        <v>892</v>
      </c>
      <c r="H348">
        <f t="shared" si="5"/>
        <v>1</v>
      </c>
    </row>
    <row r="349" spans="1:9" ht="14.45" x14ac:dyDescent="0.25">
      <c r="A349" t="s">
        <v>1374</v>
      </c>
      <c r="B349" t="s">
        <v>1375</v>
      </c>
      <c r="C349" t="s">
        <v>1376</v>
      </c>
      <c r="D349" t="s">
        <v>1377</v>
      </c>
      <c r="E349" t="s">
        <v>229</v>
      </c>
      <c r="F349" t="s">
        <v>377</v>
      </c>
      <c r="G349" t="s">
        <v>479</v>
      </c>
      <c r="H349">
        <f t="shared" si="5"/>
        <v>1</v>
      </c>
      <c r="I349">
        <v>1</v>
      </c>
    </row>
    <row r="350" spans="1:9" ht="14.45" x14ac:dyDescent="0.25">
      <c r="A350" t="s">
        <v>1378</v>
      </c>
      <c r="B350" t="s">
        <v>1379</v>
      </c>
      <c r="C350" t="s">
        <v>1380</v>
      </c>
      <c r="D350" t="s">
        <v>1381</v>
      </c>
      <c r="E350" t="s">
        <v>229</v>
      </c>
      <c r="F350" t="s">
        <v>246</v>
      </c>
      <c r="G350" t="s">
        <v>247</v>
      </c>
      <c r="H350">
        <f t="shared" si="5"/>
        <v>1</v>
      </c>
    </row>
    <row r="351" spans="1:9" ht="14.45" x14ac:dyDescent="0.25">
      <c r="A351" t="s">
        <v>1382</v>
      </c>
      <c r="B351" t="s">
        <v>1383</v>
      </c>
      <c r="C351" t="s">
        <v>1384</v>
      </c>
      <c r="D351" t="s">
        <v>1385</v>
      </c>
      <c r="E351" t="s">
        <v>383</v>
      </c>
      <c r="F351" t="s">
        <v>384</v>
      </c>
      <c r="G351" t="s">
        <v>1386</v>
      </c>
      <c r="H351">
        <f t="shared" si="5"/>
        <v>1</v>
      </c>
      <c r="I351">
        <v>1</v>
      </c>
    </row>
    <row r="352" spans="1:9" ht="14.45" x14ac:dyDescent="0.25">
      <c r="A352" t="s">
        <v>1387</v>
      </c>
      <c r="B352" t="s">
        <v>1388</v>
      </c>
      <c r="C352" t="s">
        <v>1389</v>
      </c>
      <c r="D352" t="s">
        <v>1390</v>
      </c>
      <c r="E352" t="s">
        <v>383</v>
      </c>
      <c r="F352" t="s">
        <v>384</v>
      </c>
      <c r="G352" t="s">
        <v>648</v>
      </c>
      <c r="H352">
        <f t="shared" si="5"/>
        <v>1</v>
      </c>
      <c r="I352">
        <v>1</v>
      </c>
    </row>
    <row r="353" spans="1:9" ht="14.45" x14ac:dyDescent="0.25">
      <c r="A353" t="s">
        <v>1391</v>
      </c>
      <c r="B353" t="s">
        <v>1392</v>
      </c>
      <c r="C353" t="s">
        <v>1393</v>
      </c>
      <c r="D353" t="s">
        <v>1394</v>
      </c>
      <c r="E353" t="s">
        <v>332</v>
      </c>
      <c r="F353" t="s">
        <v>705</v>
      </c>
      <c r="G353" t="s">
        <v>705</v>
      </c>
      <c r="H353">
        <f t="shared" si="5"/>
        <v>1</v>
      </c>
      <c r="I353">
        <v>1</v>
      </c>
    </row>
    <row r="354" spans="1:9" ht="14.45" x14ac:dyDescent="0.25">
      <c r="A354" t="s">
        <v>1395</v>
      </c>
      <c r="B354" t="s">
        <v>1396</v>
      </c>
      <c r="C354" t="s">
        <v>1397</v>
      </c>
      <c r="D354" t="s">
        <v>1398</v>
      </c>
      <c r="E354" t="s">
        <v>13</v>
      </c>
      <c r="F354" t="s">
        <v>13</v>
      </c>
      <c r="G354" t="s">
        <v>13</v>
      </c>
      <c r="H354">
        <f t="shared" si="5"/>
        <v>1</v>
      </c>
    </row>
    <row r="355" spans="1:9" ht="14.45" x14ac:dyDescent="0.25">
      <c r="A355" t="s">
        <v>1399</v>
      </c>
      <c r="B355" t="s">
        <v>1400</v>
      </c>
      <c r="C355" t="s">
        <v>1401</v>
      </c>
      <c r="D355" t="s">
        <v>1402</v>
      </c>
      <c r="E355" t="s">
        <v>332</v>
      </c>
      <c r="F355" t="s">
        <v>756</v>
      </c>
      <c r="G355" t="s">
        <v>756</v>
      </c>
      <c r="H355">
        <f t="shared" si="5"/>
        <v>1</v>
      </c>
      <c r="I355">
        <v>1</v>
      </c>
    </row>
    <row r="356" spans="1:9" ht="14.45" x14ac:dyDescent="0.25">
      <c r="A356" t="s">
        <v>1403</v>
      </c>
      <c r="B356" t="s">
        <v>1404</v>
      </c>
      <c r="C356" t="s">
        <v>1405</v>
      </c>
      <c r="D356" t="s">
        <v>1406</v>
      </c>
      <c r="E356" t="str">
        <f>G356</f>
        <v>Benfeitorias e outros</v>
      </c>
      <c r="F356" t="s">
        <v>626</v>
      </c>
      <c r="G356" t="s">
        <v>627</v>
      </c>
      <c r="H356">
        <f t="shared" si="5"/>
        <v>1</v>
      </c>
    </row>
    <row r="357" spans="1:9" ht="14.45" x14ac:dyDescent="0.25">
      <c r="A357" t="s">
        <v>1407</v>
      </c>
      <c r="B357" t="s">
        <v>1408</v>
      </c>
      <c r="C357" t="s">
        <v>1409</v>
      </c>
      <c r="D357" t="s">
        <v>1410</v>
      </c>
      <c r="E357" t="s">
        <v>18</v>
      </c>
      <c r="F357" t="s">
        <v>18</v>
      </c>
      <c r="G357" t="s">
        <v>18</v>
      </c>
      <c r="H357">
        <f t="shared" si="5"/>
        <v>1</v>
      </c>
    </row>
    <row r="358" spans="1:9" ht="14.45" x14ac:dyDescent="0.25">
      <c r="A358" t="s">
        <v>1411</v>
      </c>
      <c r="B358" t="s">
        <v>1412</v>
      </c>
      <c r="C358" t="s">
        <v>1413</v>
      </c>
      <c r="D358" t="s">
        <v>1414</v>
      </c>
      <c r="E358" t="s">
        <v>332</v>
      </c>
      <c r="F358" t="s">
        <v>332</v>
      </c>
      <c r="G358" t="s">
        <v>332</v>
      </c>
      <c r="H358">
        <f t="shared" si="5"/>
        <v>1</v>
      </c>
      <c r="I358">
        <v>1</v>
      </c>
    </row>
    <row r="359" spans="1:9" ht="14.45" x14ac:dyDescent="0.25">
      <c r="A359" t="s">
        <v>1415</v>
      </c>
      <c r="B359" t="s">
        <v>1416</v>
      </c>
      <c r="C359" t="s">
        <v>1417</v>
      </c>
      <c r="D359" t="s">
        <v>1418</v>
      </c>
      <c r="E359" t="s">
        <v>224</v>
      </c>
      <c r="F359" t="s">
        <v>224</v>
      </c>
      <c r="G359" t="s">
        <v>224</v>
      </c>
      <c r="H359">
        <f t="shared" si="5"/>
        <v>1</v>
      </c>
      <c r="I359">
        <v>1</v>
      </c>
    </row>
    <row r="360" spans="1:9" ht="14.45" x14ac:dyDescent="0.25">
      <c r="A360" t="s">
        <v>1419</v>
      </c>
      <c r="B360" t="s">
        <v>1420</v>
      </c>
      <c r="C360" t="s">
        <v>1421</v>
      </c>
      <c r="D360" t="s">
        <v>1422</v>
      </c>
      <c r="E360" t="s">
        <v>332</v>
      </c>
      <c r="F360" t="s">
        <v>332</v>
      </c>
      <c r="G360" t="s">
        <v>332</v>
      </c>
      <c r="H360">
        <f t="shared" si="5"/>
        <v>1</v>
      </c>
    </row>
    <row r="361" spans="1:9" ht="14.45" x14ac:dyDescent="0.25">
      <c r="A361" t="s">
        <v>1423</v>
      </c>
      <c r="B361" t="s">
        <v>1424</v>
      </c>
      <c r="C361" t="s">
        <v>1425</v>
      </c>
      <c r="D361" t="s">
        <v>1426</v>
      </c>
      <c r="E361" t="s">
        <v>229</v>
      </c>
      <c r="F361" t="s">
        <v>377</v>
      </c>
      <c r="G361" t="s">
        <v>378</v>
      </c>
      <c r="H361">
        <f t="shared" si="5"/>
        <v>1</v>
      </c>
      <c r="I361">
        <v>1</v>
      </c>
    </row>
    <row r="362" spans="1:9" ht="14.45" x14ac:dyDescent="0.25">
      <c r="A362" t="s">
        <v>1427</v>
      </c>
      <c r="B362" t="s">
        <v>1428</v>
      </c>
      <c r="C362" t="s">
        <v>1429</v>
      </c>
      <c r="D362" t="s">
        <v>1430</v>
      </c>
      <c r="E362" t="s">
        <v>13</v>
      </c>
      <c r="F362" t="s">
        <v>13</v>
      </c>
      <c r="G362" t="s">
        <v>13</v>
      </c>
      <c r="H362">
        <f t="shared" si="5"/>
        <v>1</v>
      </c>
    </row>
    <row r="363" spans="1:9" ht="14.45" x14ac:dyDescent="0.25">
      <c r="A363" t="s">
        <v>1431</v>
      </c>
      <c r="B363" t="s">
        <v>1432</v>
      </c>
      <c r="C363" t="s">
        <v>1431</v>
      </c>
      <c r="D363" t="s">
        <v>1433</v>
      </c>
      <c r="E363" t="s">
        <v>229</v>
      </c>
      <c r="F363" t="s">
        <v>377</v>
      </c>
      <c r="G363" t="s">
        <v>479</v>
      </c>
      <c r="H363">
        <f t="shared" si="5"/>
        <v>1</v>
      </c>
      <c r="I363">
        <v>1</v>
      </c>
    </row>
    <row r="364" spans="1:9" ht="14.45" x14ac:dyDescent="0.25">
      <c r="A364" t="s">
        <v>1434</v>
      </c>
      <c r="B364" t="s">
        <v>1435</v>
      </c>
      <c r="C364" t="s">
        <v>1436</v>
      </c>
      <c r="D364" t="s">
        <v>1437</v>
      </c>
      <c r="E364" t="s">
        <v>13</v>
      </c>
      <c r="F364" t="s">
        <v>989</v>
      </c>
      <c r="G364" t="s">
        <v>989</v>
      </c>
      <c r="H364">
        <f t="shared" si="5"/>
        <v>1</v>
      </c>
      <c r="I364">
        <v>1</v>
      </c>
    </row>
    <row r="365" spans="1:9" ht="14.45" x14ac:dyDescent="0.25">
      <c r="A365" t="s">
        <v>1438</v>
      </c>
      <c r="B365" t="s">
        <v>1439</v>
      </c>
      <c r="C365" t="s">
        <v>1440</v>
      </c>
      <c r="D365" t="s">
        <v>1441</v>
      </c>
      <c r="E365" t="s">
        <v>332</v>
      </c>
      <c r="F365" t="s">
        <v>994</v>
      </c>
      <c r="G365" t="s">
        <v>994</v>
      </c>
      <c r="H365">
        <f t="shared" si="5"/>
        <v>1</v>
      </c>
      <c r="I365">
        <v>1</v>
      </c>
    </row>
    <row r="366" spans="1:9" ht="14.45" x14ac:dyDescent="0.25">
      <c r="A366" t="s">
        <v>1442</v>
      </c>
      <c r="B366" t="s">
        <v>1443</v>
      </c>
      <c r="C366" t="s">
        <v>1444</v>
      </c>
      <c r="D366" t="s">
        <v>1445</v>
      </c>
      <c r="E366" t="s">
        <v>332</v>
      </c>
      <c r="F366" t="s">
        <v>756</v>
      </c>
      <c r="G366" t="s">
        <v>756</v>
      </c>
      <c r="H366">
        <f t="shared" si="5"/>
        <v>1</v>
      </c>
      <c r="I366">
        <v>1</v>
      </c>
    </row>
    <row r="367" spans="1:9" ht="14.45" x14ac:dyDescent="0.25">
      <c r="A367" t="s">
        <v>1446</v>
      </c>
      <c r="B367" t="s">
        <v>1447</v>
      </c>
      <c r="C367" t="s">
        <v>1448</v>
      </c>
      <c r="D367" t="s">
        <v>1449</v>
      </c>
      <c r="E367" t="s">
        <v>13</v>
      </c>
      <c r="F367" t="s">
        <v>13</v>
      </c>
      <c r="G367" t="s">
        <v>13</v>
      </c>
      <c r="H367">
        <f t="shared" si="5"/>
        <v>1</v>
      </c>
    </row>
    <row r="368" spans="1:9" ht="14.45" x14ac:dyDescent="0.25">
      <c r="A368" t="s">
        <v>1450</v>
      </c>
      <c r="B368" t="s">
        <v>1451</v>
      </c>
      <c r="C368" t="s">
        <v>1452</v>
      </c>
      <c r="D368" t="s">
        <v>1453</v>
      </c>
      <c r="E368" t="s">
        <v>332</v>
      </c>
      <c r="F368" t="s">
        <v>705</v>
      </c>
      <c r="G368" t="s">
        <v>705</v>
      </c>
      <c r="H368">
        <f t="shared" si="5"/>
        <v>1</v>
      </c>
      <c r="I368">
        <v>1</v>
      </c>
    </row>
    <row r="369" spans="1:9" ht="14.45" x14ac:dyDescent="0.25">
      <c r="A369" t="s">
        <v>1454</v>
      </c>
      <c r="B369" t="s">
        <v>1455</v>
      </c>
      <c r="C369" t="s">
        <v>1456</v>
      </c>
      <c r="D369" t="s">
        <v>1457</v>
      </c>
      <c r="E369" t="s">
        <v>13</v>
      </c>
      <c r="F369" t="s">
        <v>989</v>
      </c>
      <c r="G369" t="s">
        <v>989</v>
      </c>
      <c r="H369">
        <f t="shared" si="5"/>
        <v>1</v>
      </c>
      <c r="I369">
        <v>1</v>
      </c>
    </row>
    <row r="370" spans="1:9" ht="14.45" x14ac:dyDescent="0.25">
      <c r="A370" t="s">
        <v>1458</v>
      </c>
      <c r="B370" t="s">
        <v>1459</v>
      </c>
      <c r="C370" t="s">
        <v>1460</v>
      </c>
      <c r="D370" t="s">
        <v>1461</v>
      </c>
      <c r="E370" t="s">
        <v>13</v>
      </c>
      <c r="F370" t="s">
        <v>13</v>
      </c>
      <c r="G370" t="s">
        <v>13</v>
      </c>
      <c r="H370">
        <f t="shared" si="5"/>
        <v>1</v>
      </c>
    </row>
    <row r="371" spans="1:9" ht="14.45" x14ac:dyDescent="0.25">
      <c r="A371" t="s">
        <v>1462</v>
      </c>
      <c r="B371" t="s">
        <v>1463</v>
      </c>
      <c r="C371" t="s">
        <v>1464</v>
      </c>
      <c r="D371" t="s">
        <v>1465</v>
      </c>
      <c r="E371" t="s">
        <v>332</v>
      </c>
      <c r="F371" t="s">
        <v>756</v>
      </c>
      <c r="G371" t="s">
        <v>756</v>
      </c>
      <c r="H371">
        <f t="shared" si="5"/>
        <v>1</v>
      </c>
      <c r="I371">
        <v>1</v>
      </c>
    </row>
    <row r="372" spans="1:9" ht="14.45" x14ac:dyDescent="0.25">
      <c r="A372" t="s">
        <v>1466</v>
      </c>
      <c r="B372" t="s">
        <v>1467</v>
      </c>
      <c r="C372" t="s">
        <v>1468</v>
      </c>
      <c r="D372" t="s">
        <v>1469</v>
      </c>
      <c r="E372" t="s">
        <v>13</v>
      </c>
      <c r="F372" t="s">
        <v>13</v>
      </c>
      <c r="G372" t="s">
        <v>13</v>
      </c>
      <c r="H372">
        <f t="shared" si="5"/>
        <v>1</v>
      </c>
    </row>
    <row r="373" spans="1:9" ht="14.45" x14ac:dyDescent="0.25">
      <c r="A373" t="s">
        <v>1470</v>
      </c>
      <c r="B373" t="s">
        <v>1471</v>
      </c>
      <c r="C373" t="s">
        <v>1472</v>
      </c>
      <c r="D373" t="s">
        <v>1473</v>
      </c>
      <c r="E373" t="s">
        <v>332</v>
      </c>
      <c r="F373" t="s">
        <v>332</v>
      </c>
      <c r="G373" t="s">
        <v>332</v>
      </c>
      <c r="H373">
        <f t="shared" si="5"/>
        <v>1</v>
      </c>
    </row>
    <row r="374" spans="1:9" ht="14.45" x14ac:dyDescent="0.25">
      <c r="A374" t="s">
        <v>1474</v>
      </c>
      <c r="B374" t="s">
        <v>1475</v>
      </c>
      <c r="C374" t="s">
        <v>1476</v>
      </c>
      <c r="D374" t="s">
        <v>1477</v>
      </c>
      <c r="E374" t="s">
        <v>13</v>
      </c>
      <c r="F374" t="s">
        <v>13</v>
      </c>
      <c r="G374" t="s">
        <v>13</v>
      </c>
      <c r="H374">
        <f t="shared" si="5"/>
        <v>1</v>
      </c>
    </row>
    <row r="375" spans="1:9" ht="14.45" x14ac:dyDescent="0.25">
      <c r="A375" t="s">
        <v>1478</v>
      </c>
      <c r="B375" t="s">
        <v>1479</v>
      </c>
      <c r="C375" t="s">
        <v>1480</v>
      </c>
      <c r="D375" t="s">
        <v>1481</v>
      </c>
      <c r="E375" t="s">
        <v>224</v>
      </c>
      <c r="F375" t="s">
        <v>224</v>
      </c>
      <c r="G375" t="s">
        <v>224</v>
      </c>
      <c r="H375">
        <f t="shared" si="5"/>
        <v>1</v>
      </c>
      <c r="I375">
        <v>1</v>
      </c>
    </row>
    <row r="376" spans="1:9" ht="14.45" x14ac:dyDescent="0.25">
      <c r="A376" t="s">
        <v>1482</v>
      </c>
      <c r="B376" t="s">
        <v>1483</v>
      </c>
      <c r="C376" t="s">
        <v>1484</v>
      </c>
      <c r="D376" t="s">
        <v>1485</v>
      </c>
      <c r="E376" t="s">
        <v>332</v>
      </c>
      <c r="F376" t="s">
        <v>332</v>
      </c>
      <c r="G376" t="s">
        <v>332</v>
      </c>
      <c r="H376">
        <f t="shared" si="5"/>
        <v>1</v>
      </c>
    </row>
    <row r="377" spans="1:9" ht="14.45" x14ac:dyDescent="0.25">
      <c r="A377" t="s">
        <v>1486</v>
      </c>
      <c r="B377" t="s">
        <v>1487</v>
      </c>
      <c r="C377" t="s">
        <v>1488</v>
      </c>
      <c r="D377" t="s">
        <v>1489</v>
      </c>
      <c r="E377" t="s">
        <v>13</v>
      </c>
      <c r="F377" t="s">
        <v>13</v>
      </c>
      <c r="G377" t="s">
        <v>13</v>
      </c>
      <c r="H377">
        <f t="shared" si="5"/>
        <v>1</v>
      </c>
    </row>
    <row r="378" spans="1:9" ht="14.45" x14ac:dyDescent="0.25">
      <c r="A378" t="s">
        <v>1490</v>
      </c>
      <c r="B378" t="s">
        <v>1491</v>
      </c>
      <c r="C378" t="s">
        <v>1492</v>
      </c>
      <c r="D378" t="s">
        <v>1493</v>
      </c>
      <c r="E378" t="s">
        <v>13</v>
      </c>
      <c r="F378" t="s">
        <v>13</v>
      </c>
      <c r="G378" t="s">
        <v>13</v>
      </c>
      <c r="H378">
        <f t="shared" si="5"/>
        <v>1</v>
      </c>
    </row>
    <row r="379" spans="1:9" ht="14.45" x14ac:dyDescent="0.25">
      <c r="A379" t="s">
        <v>1494</v>
      </c>
      <c r="B379" t="s">
        <v>1495</v>
      </c>
      <c r="C379" t="s">
        <v>1496</v>
      </c>
      <c r="D379" t="s">
        <v>1497</v>
      </c>
      <c r="E379" t="s">
        <v>13</v>
      </c>
      <c r="F379" t="s">
        <v>13</v>
      </c>
      <c r="G379" t="s">
        <v>13</v>
      </c>
      <c r="H379">
        <f t="shared" si="5"/>
        <v>1</v>
      </c>
    </row>
    <row r="380" spans="1:9" ht="14.45" x14ac:dyDescent="0.25">
      <c r="A380" t="s">
        <v>1498</v>
      </c>
      <c r="B380" t="s">
        <v>1499</v>
      </c>
      <c r="C380" t="s">
        <v>1500</v>
      </c>
      <c r="D380" t="s">
        <v>1501</v>
      </c>
      <c r="E380" t="s">
        <v>13</v>
      </c>
      <c r="F380" t="s">
        <v>13</v>
      </c>
      <c r="G380" t="s">
        <v>13</v>
      </c>
      <c r="H380">
        <f t="shared" si="5"/>
        <v>1</v>
      </c>
    </row>
    <row r="381" spans="1:9" ht="14.45" x14ac:dyDescent="0.25">
      <c r="A381" t="s">
        <v>1502</v>
      </c>
      <c r="B381" t="s">
        <v>1503</v>
      </c>
      <c r="C381" t="s">
        <v>1504</v>
      </c>
      <c r="D381" t="s">
        <v>1505</v>
      </c>
      <c r="E381" t="s">
        <v>13</v>
      </c>
      <c r="F381" t="s">
        <v>13</v>
      </c>
      <c r="G381" t="s">
        <v>13</v>
      </c>
      <c r="H381">
        <f t="shared" si="5"/>
        <v>1</v>
      </c>
    </row>
    <row r="382" spans="1:9" ht="14.45" x14ac:dyDescent="0.25">
      <c r="A382" t="s">
        <v>1506</v>
      </c>
      <c r="B382" t="s">
        <v>1507</v>
      </c>
      <c r="C382" t="s">
        <v>1508</v>
      </c>
      <c r="D382" t="s">
        <v>1509</v>
      </c>
      <c r="E382" t="s">
        <v>229</v>
      </c>
      <c r="F382" t="s">
        <v>377</v>
      </c>
      <c r="G382" t="s">
        <v>686</v>
      </c>
      <c r="H382">
        <f t="shared" si="5"/>
        <v>1</v>
      </c>
      <c r="I382">
        <v>1</v>
      </c>
    </row>
    <row r="383" spans="1:9" ht="14.45" x14ac:dyDescent="0.25">
      <c r="A383" t="s">
        <v>1510</v>
      </c>
      <c r="B383" t="s">
        <v>1511</v>
      </c>
      <c r="C383" t="s">
        <v>1512</v>
      </c>
      <c r="D383" t="s">
        <v>1509</v>
      </c>
      <c r="E383" t="s">
        <v>229</v>
      </c>
      <c r="F383" t="s">
        <v>377</v>
      </c>
      <c r="G383" t="s">
        <v>686</v>
      </c>
      <c r="H383">
        <f t="shared" si="5"/>
        <v>1</v>
      </c>
      <c r="I383">
        <v>1</v>
      </c>
    </row>
    <row r="384" spans="1:9" ht="14.45" x14ac:dyDescent="0.25">
      <c r="A384" t="s">
        <v>1513</v>
      </c>
      <c r="B384" t="s">
        <v>1514</v>
      </c>
      <c r="C384" t="s">
        <v>1515</v>
      </c>
      <c r="D384" t="s">
        <v>1516</v>
      </c>
      <c r="E384" t="s">
        <v>785</v>
      </c>
      <c r="F384" t="s">
        <v>837</v>
      </c>
      <c r="G384" t="s">
        <v>1517</v>
      </c>
      <c r="H384">
        <f t="shared" si="5"/>
        <v>1</v>
      </c>
      <c r="I384">
        <v>1</v>
      </c>
    </row>
    <row r="385" spans="1:9" ht="14.45" x14ac:dyDescent="0.25">
      <c r="A385" t="s">
        <v>1518</v>
      </c>
      <c r="B385" t="s">
        <v>1519</v>
      </c>
      <c r="C385" t="s">
        <v>1520</v>
      </c>
      <c r="D385" t="s">
        <v>1521</v>
      </c>
      <c r="E385" t="s">
        <v>785</v>
      </c>
      <c r="F385" t="s">
        <v>837</v>
      </c>
      <c r="G385" t="s">
        <v>1517</v>
      </c>
      <c r="H385">
        <f t="shared" si="5"/>
        <v>1</v>
      </c>
      <c r="I385">
        <v>1</v>
      </c>
    </row>
    <row r="386" spans="1:9" ht="14.45" x14ac:dyDescent="0.25">
      <c r="A386" t="s">
        <v>1522</v>
      </c>
      <c r="B386" t="s">
        <v>1523</v>
      </c>
      <c r="C386" t="s">
        <v>1524</v>
      </c>
      <c r="D386" t="s">
        <v>1525</v>
      </c>
      <c r="E386" t="s">
        <v>871</v>
      </c>
      <c r="F386" t="s">
        <v>837</v>
      </c>
      <c r="G386" t="s">
        <v>1526</v>
      </c>
      <c r="H386">
        <f t="shared" ref="H386:H449" si="6">COUNTIF(A:A,A386)</f>
        <v>1</v>
      </c>
      <c r="I386">
        <v>1</v>
      </c>
    </row>
    <row r="387" spans="1:9" ht="14.45" x14ac:dyDescent="0.25">
      <c r="A387" t="s">
        <v>1527</v>
      </c>
      <c r="B387" t="s">
        <v>1528</v>
      </c>
      <c r="C387" t="s">
        <v>1529</v>
      </c>
      <c r="D387" t="s">
        <v>1530</v>
      </c>
      <c r="E387" t="s">
        <v>871</v>
      </c>
      <c r="F387" t="s">
        <v>837</v>
      </c>
      <c r="G387" t="s">
        <v>1517</v>
      </c>
      <c r="H387">
        <f t="shared" si="6"/>
        <v>1</v>
      </c>
      <c r="I387">
        <v>1</v>
      </c>
    </row>
    <row r="388" spans="1:9" ht="14.45" x14ac:dyDescent="0.25">
      <c r="A388" t="s">
        <v>1531</v>
      </c>
      <c r="B388" t="s">
        <v>1532</v>
      </c>
      <c r="C388" t="s">
        <v>1533</v>
      </c>
      <c r="D388" t="s">
        <v>1534</v>
      </c>
      <c r="E388" t="s">
        <v>1179</v>
      </c>
      <c r="F388" t="s">
        <v>377</v>
      </c>
      <c r="G388" t="s">
        <v>403</v>
      </c>
      <c r="H388">
        <f t="shared" si="6"/>
        <v>1</v>
      </c>
      <c r="I388">
        <v>1</v>
      </c>
    </row>
    <row r="389" spans="1:9" ht="14.45" x14ac:dyDescent="0.25">
      <c r="A389" t="s">
        <v>1535</v>
      </c>
      <c r="B389" t="s">
        <v>1536</v>
      </c>
      <c r="C389" t="s">
        <v>1537</v>
      </c>
      <c r="D389" t="s">
        <v>1538</v>
      </c>
      <c r="E389" t="s">
        <v>332</v>
      </c>
      <c r="F389" t="s">
        <v>1539</v>
      </c>
      <c r="G389" t="s">
        <v>1539</v>
      </c>
      <c r="H389">
        <f t="shared" si="6"/>
        <v>1</v>
      </c>
      <c r="I389">
        <v>1</v>
      </c>
    </row>
    <row r="390" spans="1:9" ht="14.45" x14ac:dyDescent="0.25">
      <c r="A390" t="s">
        <v>1540</v>
      </c>
      <c r="B390" t="s">
        <v>1541</v>
      </c>
      <c r="C390" t="s">
        <v>1542</v>
      </c>
      <c r="D390" t="s">
        <v>1543</v>
      </c>
      <c r="E390" t="s">
        <v>785</v>
      </c>
      <c r="F390" t="s">
        <v>837</v>
      </c>
      <c r="G390" t="s">
        <v>1517</v>
      </c>
      <c r="H390">
        <f t="shared" si="6"/>
        <v>1</v>
      </c>
      <c r="I390">
        <v>1</v>
      </c>
    </row>
    <row r="391" spans="1:9" ht="14.45" x14ac:dyDescent="0.25">
      <c r="A391" t="s">
        <v>1544</v>
      </c>
      <c r="B391" t="s">
        <v>1545</v>
      </c>
      <c r="C391" t="s">
        <v>1546</v>
      </c>
      <c r="D391" t="s">
        <v>1547</v>
      </c>
      <c r="E391" t="s">
        <v>332</v>
      </c>
      <c r="F391" t="s">
        <v>332</v>
      </c>
      <c r="G391" t="s">
        <v>332</v>
      </c>
      <c r="H391">
        <f t="shared" si="6"/>
        <v>1</v>
      </c>
    </row>
    <row r="392" spans="1:9" ht="14.45" x14ac:dyDescent="0.25">
      <c r="A392" t="s">
        <v>1548</v>
      </c>
      <c r="B392" t="s">
        <v>1549</v>
      </c>
      <c r="C392" t="s">
        <v>1550</v>
      </c>
      <c r="D392" t="s">
        <v>1551</v>
      </c>
      <c r="E392" t="s">
        <v>18</v>
      </c>
      <c r="F392" t="s">
        <v>18</v>
      </c>
      <c r="G392" t="s">
        <v>18</v>
      </c>
      <c r="H392">
        <f t="shared" si="6"/>
        <v>1</v>
      </c>
    </row>
    <row r="393" spans="1:9" ht="14.45" x14ac:dyDescent="0.25">
      <c r="A393" t="s">
        <v>1552</v>
      </c>
      <c r="B393" t="s">
        <v>1553</v>
      </c>
      <c r="C393" t="s">
        <v>1554</v>
      </c>
      <c r="D393" t="s">
        <v>1555</v>
      </c>
      <c r="E393" t="s">
        <v>13</v>
      </c>
      <c r="F393" t="s">
        <v>13</v>
      </c>
      <c r="G393" t="s">
        <v>13</v>
      </c>
      <c r="H393">
        <f t="shared" si="6"/>
        <v>1</v>
      </c>
    </row>
    <row r="394" spans="1:9" ht="14.45" x14ac:dyDescent="0.25">
      <c r="A394" t="s">
        <v>1556</v>
      </c>
      <c r="B394" t="s">
        <v>1557</v>
      </c>
      <c r="C394" t="s">
        <v>1558</v>
      </c>
      <c r="D394" t="s">
        <v>1559</v>
      </c>
      <c r="E394" t="s">
        <v>13</v>
      </c>
      <c r="F394" t="s">
        <v>13</v>
      </c>
      <c r="G394" t="s">
        <v>13</v>
      </c>
      <c r="H394">
        <f t="shared" si="6"/>
        <v>1</v>
      </c>
    </row>
    <row r="395" spans="1:9" ht="14.45" x14ac:dyDescent="0.25">
      <c r="A395" t="s">
        <v>1560</v>
      </c>
      <c r="B395" t="s">
        <v>1561</v>
      </c>
      <c r="C395" t="s">
        <v>1562</v>
      </c>
      <c r="D395" t="s">
        <v>1563</v>
      </c>
      <c r="E395" t="s">
        <v>229</v>
      </c>
      <c r="F395" t="s">
        <v>377</v>
      </c>
      <c r="G395" t="s">
        <v>479</v>
      </c>
      <c r="H395">
        <f t="shared" si="6"/>
        <v>1</v>
      </c>
      <c r="I395">
        <v>1</v>
      </c>
    </row>
    <row r="396" spans="1:9" ht="14.45" x14ac:dyDescent="0.25">
      <c r="A396" t="s">
        <v>1564</v>
      </c>
      <c r="B396" t="s">
        <v>1565</v>
      </c>
      <c r="C396" t="s">
        <v>1566</v>
      </c>
      <c r="D396" t="s">
        <v>1567</v>
      </c>
      <c r="E396" t="s">
        <v>18</v>
      </c>
      <c r="F396" t="s">
        <v>18</v>
      </c>
      <c r="G396" t="s">
        <v>18</v>
      </c>
      <c r="H396">
        <f t="shared" si="6"/>
        <v>1</v>
      </c>
      <c r="I396">
        <v>1</v>
      </c>
    </row>
    <row r="397" spans="1:9" ht="14.45" x14ac:dyDescent="0.25">
      <c r="A397" t="s">
        <v>1568</v>
      </c>
      <c r="B397" t="s">
        <v>1569</v>
      </c>
      <c r="C397" t="s">
        <v>1570</v>
      </c>
      <c r="D397" t="s">
        <v>1571</v>
      </c>
      <c r="E397" t="str">
        <f>G397</f>
        <v>Equipamentos</v>
      </c>
      <c r="F397" t="s">
        <v>626</v>
      </c>
      <c r="G397" t="s">
        <v>1156</v>
      </c>
      <c r="H397">
        <f t="shared" si="6"/>
        <v>1</v>
      </c>
    </row>
    <row r="398" spans="1:9" ht="14.45" x14ac:dyDescent="0.25">
      <c r="A398" t="s">
        <v>1572</v>
      </c>
      <c r="B398" t="s">
        <v>1573</v>
      </c>
      <c r="C398" t="s">
        <v>1574</v>
      </c>
      <c r="D398" t="s">
        <v>1575</v>
      </c>
      <c r="E398" t="s">
        <v>13</v>
      </c>
      <c r="F398" t="s">
        <v>13</v>
      </c>
      <c r="G398" t="s">
        <v>13</v>
      </c>
      <c r="H398">
        <f t="shared" si="6"/>
        <v>1</v>
      </c>
    </row>
    <row r="399" spans="1:9" ht="14.45" x14ac:dyDescent="0.25">
      <c r="A399" t="s">
        <v>1576</v>
      </c>
      <c r="B399" t="s">
        <v>1577</v>
      </c>
      <c r="C399" t="s">
        <v>1578</v>
      </c>
      <c r="D399" t="s">
        <v>1579</v>
      </c>
      <c r="E399" t="s">
        <v>367</v>
      </c>
      <c r="F399" t="s">
        <v>377</v>
      </c>
      <c r="G399" t="s">
        <v>686</v>
      </c>
      <c r="H399">
        <f t="shared" si="6"/>
        <v>1</v>
      </c>
      <c r="I399">
        <v>1</v>
      </c>
    </row>
    <row r="400" spans="1:9" ht="14.45" x14ac:dyDescent="0.25">
      <c r="A400" t="s">
        <v>1580</v>
      </c>
      <c r="B400" t="s">
        <v>1581</v>
      </c>
      <c r="C400" t="s">
        <v>1582</v>
      </c>
      <c r="D400" t="s">
        <v>1583</v>
      </c>
      <c r="E400" t="s">
        <v>18</v>
      </c>
      <c r="F400" t="s">
        <v>18</v>
      </c>
      <c r="G400" t="s">
        <v>18</v>
      </c>
      <c r="H400">
        <f t="shared" si="6"/>
        <v>1</v>
      </c>
      <c r="I400">
        <v>1</v>
      </c>
    </row>
    <row r="401" spans="1:9" ht="14.45" x14ac:dyDescent="0.25">
      <c r="A401" t="s">
        <v>1584</v>
      </c>
      <c r="B401" t="s">
        <v>1585</v>
      </c>
      <c r="C401" t="s">
        <v>1586</v>
      </c>
      <c r="D401" t="s">
        <v>1587</v>
      </c>
      <c r="E401" t="s">
        <v>229</v>
      </c>
      <c r="F401" t="s">
        <v>377</v>
      </c>
      <c r="G401" t="s">
        <v>378</v>
      </c>
      <c r="H401">
        <f t="shared" si="6"/>
        <v>1</v>
      </c>
    </row>
    <row r="402" spans="1:9" ht="14.45" x14ac:dyDescent="0.25">
      <c r="A402" t="s">
        <v>1588</v>
      </c>
      <c r="B402" t="s">
        <v>1589</v>
      </c>
      <c r="C402" t="s">
        <v>1590</v>
      </c>
      <c r="D402" t="s">
        <v>1591</v>
      </c>
      <c r="E402" t="s">
        <v>229</v>
      </c>
      <c r="F402" t="s">
        <v>377</v>
      </c>
      <c r="G402" t="s">
        <v>378</v>
      </c>
      <c r="H402">
        <f t="shared" si="6"/>
        <v>1</v>
      </c>
      <c r="I402">
        <v>1</v>
      </c>
    </row>
    <row r="403" spans="1:9" ht="14.45" x14ac:dyDescent="0.25">
      <c r="A403" t="s">
        <v>1592</v>
      </c>
      <c r="B403" t="s">
        <v>1593</v>
      </c>
      <c r="C403" t="s">
        <v>1594</v>
      </c>
      <c r="D403" t="s">
        <v>1595</v>
      </c>
      <c r="E403" t="s">
        <v>229</v>
      </c>
      <c r="F403" t="s">
        <v>377</v>
      </c>
      <c r="G403" t="s">
        <v>378</v>
      </c>
      <c r="H403">
        <f t="shared" si="6"/>
        <v>1</v>
      </c>
      <c r="I403">
        <v>1</v>
      </c>
    </row>
    <row r="404" spans="1:9" ht="14.45" x14ac:dyDescent="0.25">
      <c r="A404" t="s">
        <v>1596</v>
      </c>
      <c r="B404" t="s">
        <v>1597</v>
      </c>
      <c r="C404" t="s">
        <v>1598</v>
      </c>
      <c r="D404" t="s">
        <v>1599</v>
      </c>
      <c r="E404" t="s">
        <v>229</v>
      </c>
      <c r="F404" t="s">
        <v>377</v>
      </c>
      <c r="G404" t="s">
        <v>378</v>
      </c>
      <c r="H404">
        <f t="shared" si="6"/>
        <v>1</v>
      </c>
      <c r="I404">
        <v>1</v>
      </c>
    </row>
    <row r="405" spans="1:9" ht="14.45" x14ac:dyDescent="0.25">
      <c r="A405" t="s">
        <v>1600</v>
      </c>
      <c r="B405" t="s">
        <v>1601</v>
      </c>
      <c r="C405" t="s">
        <v>1602</v>
      </c>
      <c r="D405" t="s">
        <v>1603</v>
      </c>
      <c r="E405" t="s">
        <v>383</v>
      </c>
      <c r="F405" t="s">
        <v>384</v>
      </c>
      <c r="G405" t="s">
        <v>385</v>
      </c>
      <c r="H405">
        <f t="shared" si="6"/>
        <v>1</v>
      </c>
      <c r="I405">
        <v>1</v>
      </c>
    </row>
    <row r="406" spans="1:9" ht="14.45" x14ac:dyDescent="0.25">
      <c r="A406" t="s">
        <v>1604</v>
      </c>
      <c r="B406" t="s">
        <v>1605</v>
      </c>
      <c r="C406" t="s">
        <v>1606</v>
      </c>
      <c r="D406" t="s">
        <v>1607</v>
      </c>
      <c r="E406" t="s">
        <v>13</v>
      </c>
      <c r="F406" t="s">
        <v>13</v>
      </c>
      <c r="G406" t="s">
        <v>13</v>
      </c>
      <c r="H406">
        <f t="shared" si="6"/>
        <v>1</v>
      </c>
    </row>
    <row r="407" spans="1:9" ht="14.45" x14ac:dyDescent="0.25">
      <c r="A407" t="s">
        <v>1608</v>
      </c>
      <c r="B407" t="s">
        <v>1609</v>
      </c>
      <c r="C407" t="s">
        <v>1610</v>
      </c>
      <c r="D407" t="s">
        <v>1611</v>
      </c>
      <c r="E407" t="s">
        <v>13</v>
      </c>
      <c r="F407" t="s">
        <v>13</v>
      </c>
      <c r="G407" t="s">
        <v>13</v>
      </c>
      <c r="H407">
        <f t="shared" si="6"/>
        <v>1</v>
      </c>
    </row>
    <row r="408" spans="1:9" ht="14.45" x14ac:dyDescent="0.25">
      <c r="A408" t="s">
        <v>1612</v>
      </c>
      <c r="B408" t="s">
        <v>1613</v>
      </c>
      <c r="C408" t="s">
        <v>1614</v>
      </c>
      <c r="D408" t="s">
        <v>1615</v>
      </c>
      <c r="E408" t="s">
        <v>367</v>
      </c>
      <c r="F408" t="s">
        <v>246</v>
      </c>
      <c r="G408" t="s">
        <v>368</v>
      </c>
      <c r="H408">
        <f t="shared" si="6"/>
        <v>1</v>
      </c>
      <c r="I408">
        <v>1</v>
      </c>
    </row>
    <row r="409" spans="1:9" ht="14.45" x14ac:dyDescent="0.25">
      <c r="A409" t="s">
        <v>1616</v>
      </c>
      <c r="B409" t="s">
        <v>1617</v>
      </c>
      <c r="C409" t="s">
        <v>1618</v>
      </c>
      <c r="D409" t="s">
        <v>1619</v>
      </c>
      <c r="E409" t="str">
        <f>G409</f>
        <v>Benfeitorias e outros</v>
      </c>
      <c r="F409" t="s">
        <v>626</v>
      </c>
      <c r="G409" t="s">
        <v>627</v>
      </c>
      <c r="H409">
        <f t="shared" si="6"/>
        <v>1</v>
      </c>
    </row>
    <row r="410" spans="1:9" ht="14.45" x14ac:dyDescent="0.25">
      <c r="A410" t="s">
        <v>1620</v>
      </c>
      <c r="B410" t="s">
        <v>1621</v>
      </c>
      <c r="C410" t="s">
        <v>1622</v>
      </c>
      <c r="D410" t="s">
        <v>1623</v>
      </c>
      <c r="E410" t="s">
        <v>229</v>
      </c>
      <c r="F410" t="s">
        <v>377</v>
      </c>
      <c r="G410" t="s">
        <v>479</v>
      </c>
      <c r="H410">
        <f t="shared" si="6"/>
        <v>1</v>
      </c>
      <c r="I410">
        <v>1</v>
      </c>
    </row>
    <row r="411" spans="1:9" ht="14.45" x14ac:dyDescent="0.25">
      <c r="A411" t="s">
        <v>1624</v>
      </c>
      <c r="B411" t="s">
        <v>1625</v>
      </c>
      <c r="C411" t="s">
        <v>1626</v>
      </c>
      <c r="D411" t="s">
        <v>1627</v>
      </c>
      <c r="E411" t="s">
        <v>229</v>
      </c>
      <c r="F411" t="s">
        <v>377</v>
      </c>
      <c r="G411" t="s">
        <v>479</v>
      </c>
      <c r="H411">
        <f t="shared" si="6"/>
        <v>1</v>
      </c>
      <c r="I411">
        <v>1</v>
      </c>
    </row>
    <row r="412" spans="1:9" ht="14.45" x14ac:dyDescent="0.25">
      <c r="A412" t="s">
        <v>1628</v>
      </c>
      <c r="B412" t="s">
        <v>1629</v>
      </c>
      <c r="C412" t="s">
        <v>1630</v>
      </c>
      <c r="D412" t="s">
        <v>1631</v>
      </c>
      <c r="E412" t="s">
        <v>224</v>
      </c>
      <c r="F412" t="s">
        <v>224</v>
      </c>
      <c r="G412" t="s">
        <v>224</v>
      </c>
      <c r="H412">
        <f t="shared" si="6"/>
        <v>1</v>
      </c>
      <c r="I412">
        <v>1</v>
      </c>
    </row>
    <row r="413" spans="1:9" ht="14.45" x14ac:dyDescent="0.25">
      <c r="A413" t="s">
        <v>1632</v>
      </c>
      <c r="B413" t="s">
        <v>1633</v>
      </c>
      <c r="C413" t="s">
        <v>1634</v>
      </c>
      <c r="D413" t="s">
        <v>1635</v>
      </c>
      <c r="E413" t="s">
        <v>229</v>
      </c>
      <c r="F413" t="s">
        <v>377</v>
      </c>
      <c r="G413" t="s">
        <v>479</v>
      </c>
      <c r="H413">
        <f t="shared" si="6"/>
        <v>1</v>
      </c>
      <c r="I413">
        <v>1</v>
      </c>
    </row>
    <row r="414" spans="1:9" ht="14.45" x14ac:dyDescent="0.25">
      <c r="A414" t="s">
        <v>1636</v>
      </c>
      <c r="B414" t="s">
        <v>1637</v>
      </c>
      <c r="C414" t="s">
        <v>1638</v>
      </c>
      <c r="D414" t="s">
        <v>1639</v>
      </c>
      <c r="E414" t="s">
        <v>13</v>
      </c>
      <c r="F414" t="s">
        <v>13</v>
      </c>
      <c r="G414" t="s">
        <v>13</v>
      </c>
      <c r="H414">
        <f t="shared" si="6"/>
        <v>1</v>
      </c>
    </row>
    <row r="415" spans="1:9" ht="14.45" x14ac:dyDescent="0.25">
      <c r="A415" t="s">
        <v>1640</v>
      </c>
      <c r="B415" t="s">
        <v>1641</v>
      </c>
      <c r="C415" t="s">
        <v>1642</v>
      </c>
      <c r="D415" t="s">
        <v>1639</v>
      </c>
      <c r="E415" t="s">
        <v>332</v>
      </c>
      <c r="F415" t="s">
        <v>332</v>
      </c>
      <c r="G415" t="s">
        <v>332</v>
      </c>
      <c r="H415">
        <f t="shared" si="6"/>
        <v>1</v>
      </c>
    </row>
    <row r="416" spans="1:9" ht="14.45" x14ac:dyDescent="0.25">
      <c r="A416" t="s">
        <v>1643</v>
      </c>
      <c r="B416" t="s">
        <v>1644</v>
      </c>
      <c r="C416" t="s">
        <v>1645</v>
      </c>
      <c r="D416" t="s">
        <v>1646</v>
      </c>
      <c r="E416" t="s">
        <v>13</v>
      </c>
      <c r="F416" t="s">
        <v>13</v>
      </c>
      <c r="G416" t="s">
        <v>13</v>
      </c>
      <c r="H416">
        <f t="shared" si="6"/>
        <v>1</v>
      </c>
    </row>
    <row r="417" spans="1:9" ht="14.45" x14ac:dyDescent="0.25">
      <c r="A417" t="s">
        <v>1647</v>
      </c>
      <c r="B417" t="s">
        <v>1648</v>
      </c>
      <c r="C417" t="s">
        <v>1649</v>
      </c>
      <c r="D417" t="s">
        <v>1650</v>
      </c>
      <c r="E417" t="s">
        <v>13</v>
      </c>
      <c r="F417" t="s">
        <v>13</v>
      </c>
      <c r="G417" t="s">
        <v>13</v>
      </c>
      <c r="H417">
        <f t="shared" si="6"/>
        <v>1</v>
      </c>
    </row>
    <row r="418" spans="1:9" ht="14.45" x14ac:dyDescent="0.25">
      <c r="A418" t="s">
        <v>1651</v>
      </c>
      <c r="B418" t="s">
        <v>1652</v>
      </c>
      <c r="C418" t="s">
        <v>1653</v>
      </c>
      <c r="D418" t="s">
        <v>1654</v>
      </c>
      <c r="E418" t="s">
        <v>332</v>
      </c>
      <c r="F418" t="s">
        <v>1655</v>
      </c>
      <c r="G418" t="s">
        <v>1655</v>
      </c>
      <c r="H418">
        <f t="shared" si="6"/>
        <v>1</v>
      </c>
      <c r="I418">
        <v>1</v>
      </c>
    </row>
    <row r="419" spans="1:9" ht="14.45" x14ac:dyDescent="0.25">
      <c r="A419" t="s">
        <v>1656</v>
      </c>
      <c r="B419" t="s">
        <v>1657</v>
      </c>
      <c r="C419" t="s">
        <v>1658</v>
      </c>
      <c r="D419" t="s">
        <v>1654</v>
      </c>
      <c r="E419" t="s">
        <v>13</v>
      </c>
      <c r="F419" t="s">
        <v>13</v>
      </c>
      <c r="G419" t="s">
        <v>13</v>
      </c>
      <c r="H419">
        <f t="shared" si="6"/>
        <v>1</v>
      </c>
    </row>
    <row r="420" spans="1:9" ht="14.45" x14ac:dyDescent="0.25">
      <c r="A420" t="s">
        <v>1659</v>
      </c>
      <c r="B420" t="s">
        <v>1660</v>
      </c>
      <c r="C420" t="s">
        <v>1661</v>
      </c>
      <c r="D420" t="s">
        <v>1662</v>
      </c>
      <c r="E420" t="s">
        <v>13</v>
      </c>
      <c r="F420" t="s">
        <v>13</v>
      </c>
      <c r="G420" t="s">
        <v>13</v>
      </c>
      <c r="H420">
        <f t="shared" si="6"/>
        <v>1</v>
      </c>
    </row>
    <row r="421" spans="1:9" ht="14.45" x14ac:dyDescent="0.25">
      <c r="A421" t="s">
        <v>1663</v>
      </c>
      <c r="B421" t="s">
        <v>1664</v>
      </c>
      <c r="C421" t="s">
        <v>1665</v>
      </c>
      <c r="D421" t="s">
        <v>1666</v>
      </c>
      <c r="E421" t="s">
        <v>13</v>
      </c>
      <c r="F421" t="s">
        <v>13</v>
      </c>
      <c r="G421" t="s">
        <v>13</v>
      </c>
      <c r="H421">
        <f t="shared" si="6"/>
        <v>1</v>
      </c>
    </row>
    <row r="422" spans="1:9" ht="14.45" x14ac:dyDescent="0.25">
      <c r="A422" t="s">
        <v>1667</v>
      </c>
      <c r="B422" t="s">
        <v>1668</v>
      </c>
      <c r="C422" t="s">
        <v>1669</v>
      </c>
      <c r="D422" t="s">
        <v>1670</v>
      </c>
      <c r="E422" t="s">
        <v>332</v>
      </c>
      <c r="F422" t="s">
        <v>332</v>
      </c>
      <c r="G422" t="s">
        <v>332</v>
      </c>
      <c r="H422">
        <f t="shared" si="6"/>
        <v>1</v>
      </c>
    </row>
    <row r="423" spans="1:9" ht="14.45" x14ac:dyDescent="0.25">
      <c r="A423" t="s">
        <v>1671</v>
      </c>
      <c r="B423" t="s">
        <v>1672</v>
      </c>
      <c r="C423" t="s">
        <v>1673</v>
      </c>
      <c r="D423" t="s">
        <v>1674</v>
      </c>
      <c r="E423" t="s">
        <v>332</v>
      </c>
      <c r="F423" t="s">
        <v>332</v>
      </c>
      <c r="G423" t="s">
        <v>332</v>
      </c>
      <c r="H423">
        <f t="shared" si="6"/>
        <v>1</v>
      </c>
    </row>
    <row r="424" spans="1:9" ht="14.45" x14ac:dyDescent="0.25">
      <c r="A424" t="s">
        <v>1675</v>
      </c>
      <c r="B424" t="s">
        <v>1676</v>
      </c>
      <c r="C424" t="s">
        <v>1677</v>
      </c>
      <c r="D424" t="s">
        <v>1678</v>
      </c>
      <c r="E424" t="s">
        <v>13</v>
      </c>
      <c r="F424" t="s">
        <v>1679</v>
      </c>
      <c r="G424" t="s">
        <v>1679</v>
      </c>
      <c r="H424">
        <f t="shared" si="6"/>
        <v>1</v>
      </c>
      <c r="I424">
        <v>1</v>
      </c>
    </row>
    <row r="425" spans="1:9" ht="14.45" x14ac:dyDescent="0.25">
      <c r="A425" t="s">
        <v>1680</v>
      </c>
      <c r="B425" t="s">
        <v>1681</v>
      </c>
      <c r="C425" t="s">
        <v>1682</v>
      </c>
      <c r="D425" t="s">
        <v>1683</v>
      </c>
      <c r="E425" t="s">
        <v>478</v>
      </c>
      <c r="F425" t="s">
        <v>377</v>
      </c>
      <c r="G425" t="s">
        <v>479</v>
      </c>
      <c r="H425">
        <f t="shared" si="6"/>
        <v>1</v>
      </c>
      <c r="I425">
        <v>1</v>
      </c>
    </row>
    <row r="426" spans="1:9" ht="14.45" x14ac:dyDescent="0.25">
      <c r="A426" t="s">
        <v>1684</v>
      </c>
      <c r="B426" t="s">
        <v>1685</v>
      </c>
      <c r="C426" t="s">
        <v>1686</v>
      </c>
      <c r="D426" t="s">
        <v>1687</v>
      </c>
      <c r="E426" t="s">
        <v>13</v>
      </c>
      <c r="F426" t="s">
        <v>13</v>
      </c>
      <c r="G426" t="s">
        <v>13</v>
      </c>
      <c r="H426">
        <f t="shared" si="6"/>
        <v>1</v>
      </c>
    </row>
    <row r="427" spans="1:9" ht="14.45" x14ac:dyDescent="0.25">
      <c r="A427" t="s">
        <v>1688</v>
      </c>
      <c r="B427" t="s">
        <v>1689</v>
      </c>
      <c r="C427" t="s">
        <v>1690</v>
      </c>
      <c r="D427" t="s">
        <v>1691</v>
      </c>
      <c r="E427" t="s">
        <v>383</v>
      </c>
      <c r="F427" t="s">
        <v>384</v>
      </c>
      <c r="G427" t="s">
        <v>385</v>
      </c>
      <c r="H427">
        <f t="shared" si="6"/>
        <v>1</v>
      </c>
      <c r="I427">
        <v>1</v>
      </c>
    </row>
    <row r="428" spans="1:9" ht="14.45" x14ac:dyDescent="0.25">
      <c r="A428" t="s">
        <v>1692</v>
      </c>
      <c r="B428" t="s">
        <v>1693</v>
      </c>
      <c r="C428" t="s">
        <v>1694</v>
      </c>
      <c r="D428" t="s">
        <v>1695</v>
      </c>
      <c r="E428" t="s">
        <v>1179</v>
      </c>
      <c r="F428" t="s">
        <v>377</v>
      </c>
      <c r="G428" t="s">
        <v>403</v>
      </c>
      <c r="H428">
        <f t="shared" si="6"/>
        <v>1</v>
      </c>
      <c r="I428">
        <v>1</v>
      </c>
    </row>
    <row r="429" spans="1:9" ht="14.45" x14ac:dyDescent="0.25">
      <c r="A429" t="s">
        <v>1696</v>
      </c>
      <c r="B429" t="s">
        <v>1697</v>
      </c>
      <c r="C429" t="s">
        <v>1698</v>
      </c>
      <c r="D429" t="s">
        <v>1699</v>
      </c>
      <c r="E429" t="s">
        <v>332</v>
      </c>
      <c r="F429" t="s">
        <v>332</v>
      </c>
      <c r="G429" t="s">
        <v>332</v>
      </c>
      <c r="H429">
        <f t="shared" si="6"/>
        <v>1</v>
      </c>
    </row>
    <row r="430" spans="1:9" ht="14.45" x14ac:dyDescent="0.25">
      <c r="A430" t="s">
        <v>1700</v>
      </c>
      <c r="B430" t="s">
        <v>1701</v>
      </c>
      <c r="C430" t="s">
        <v>1702</v>
      </c>
      <c r="D430" t="s">
        <v>1703</v>
      </c>
      <c r="E430" t="s">
        <v>13</v>
      </c>
      <c r="F430" t="s">
        <v>13</v>
      </c>
      <c r="G430" t="s">
        <v>13</v>
      </c>
      <c r="H430">
        <f t="shared" si="6"/>
        <v>1</v>
      </c>
    </row>
    <row r="431" spans="1:9" ht="14.45" x14ac:dyDescent="0.25">
      <c r="A431" t="s">
        <v>1704</v>
      </c>
      <c r="B431" t="s">
        <v>1705</v>
      </c>
      <c r="C431" t="s">
        <v>1706</v>
      </c>
      <c r="D431" t="s">
        <v>1707</v>
      </c>
      <c r="E431" t="s">
        <v>332</v>
      </c>
      <c r="F431" t="s">
        <v>332</v>
      </c>
      <c r="G431" t="s">
        <v>332</v>
      </c>
      <c r="H431">
        <f t="shared" si="6"/>
        <v>1</v>
      </c>
    </row>
    <row r="432" spans="1:9" ht="14.45" x14ac:dyDescent="0.25">
      <c r="A432" t="s">
        <v>1708</v>
      </c>
      <c r="B432" t="s">
        <v>1709</v>
      </c>
      <c r="C432" t="s">
        <v>1710</v>
      </c>
      <c r="D432" t="s">
        <v>1707</v>
      </c>
      <c r="E432" t="s">
        <v>332</v>
      </c>
      <c r="F432" t="s">
        <v>332</v>
      </c>
      <c r="G432" t="s">
        <v>332</v>
      </c>
      <c r="H432">
        <f t="shared" si="6"/>
        <v>1</v>
      </c>
    </row>
    <row r="433" spans="1:9" ht="14.45" x14ac:dyDescent="0.25">
      <c r="A433" t="s">
        <v>1711</v>
      </c>
      <c r="B433" t="s">
        <v>1712</v>
      </c>
      <c r="C433" t="s">
        <v>1713</v>
      </c>
      <c r="D433" t="s">
        <v>1714</v>
      </c>
      <c r="E433" t="s">
        <v>1179</v>
      </c>
      <c r="F433" t="s">
        <v>377</v>
      </c>
      <c r="G433" t="s">
        <v>403</v>
      </c>
      <c r="H433">
        <f t="shared" si="6"/>
        <v>1</v>
      </c>
      <c r="I433">
        <v>1</v>
      </c>
    </row>
    <row r="434" spans="1:9" ht="14.45" x14ac:dyDescent="0.25">
      <c r="A434" t="s">
        <v>1715</v>
      </c>
      <c r="B434" t="s">
        <v>1716</v>
      </c>
      <c r="C434" t="s">
        <v>1717</v>
      </c>
      <c r="D434" t="s">
        <v>1718</v>
      </c>
      <c r="E434" t="s">
        <v>229</v>
      </c>
      <c r="F434" t="s">
        <v>377</v>
      </c>
      <c r="G434" t="s">
        <v>479</v>
      </c>
      <c r="H434">
        <f t="shared" si="6"/>
        <v>1</v>
      </c>
      <c r="I434">
        <v>1</v>
      </c>
    </row>
    <row r="435" spans="1:9" ht="14.45" x14ac:dyDescent="0.25">
      <c r="A435" t="s">
        <v>1719</v>
      </c>
      <c r="B435" t="s">
        <v>1720</v>
      </c>
      <c r="C435" t="s">
        <v>1721</v>
      </c>
      <c r="D435" t="s">
        <v>1722</v>
      </c>
      <c r="E435" t="s">
        <v>1179</v>
      </c>
      <c r="F435" t="s">
        <v>377</v>
      </c>
      <c r="G435" t="s">
        <v>403</v>
      </c>
      <c r="H435">
        <f t="shared" si="6"/>
        <v>1</v>
      </c>
      <c r="I435">
        <v>1</v>
      </c>
    </row>
    <row r="436" spans="1:9" ht="14.45" x14ac:dyDescent="0.25">
      <c r="A436" t="s">
        <v>1723</v>
      </c>
      <c r="B436" t="s">
        <v>1724</v>
      </c>
      <c r="C436" t="s">
        <v>1725</v>
      </c>
      <c r="D436" t="s">
        <v>1726</v>
      </c>
      <c r="E436" t="s">
        <v>332</v>
      </c>
      <c r="F436" t="s">
        <v>332</v>
      </c>
      <c r="G436" t="s">
        <v>332</v>
      </c>
      <c r="H436">
        <f t="shared" si="6"/>
        <v>1</v>
      </c>
    </row>
    <row r="437" spans="1:9" ht="14.45" x14ac:dyDescent="0.25">
      <c r="A437" t="s">
        <v>1727</v>
      </c>
      <c r="B437" t="s">
        <v>1728</v>
      </c>
      <c r="C437" t="s">
        <v>1729</v>
      </c>
      <c r="D437" t="s">
        <v>1730</v>
      </c>
      <c r="E437" t="s">
        <v>1085</v>
      </c>
      <c r="F437" t="s">
        <v>246</v>
      </c>
      <c r="G437" t="s">
        <v>1086</v>
      </c>
      <c r="H437">
        <f t="shared" si="6"/>
        <v>1</v>
      </c>
      <c r="I437">
        <v>1</v>
      </c>
    </row>
    <row r="438" spans="1:9" ht="14.45" x14ac:dyDescent="0.25">
      <c r="A438" t="s">
        <v>1731</v>
      </c>
      <c r="B438" t="s">
        <v>1732</v>
      </c>
      <c r="C438" t="s">
        <v>1733</v>
      </c>
      <c r="D438" t="s">
        <v>1734</v>
      </c>
      <c r="E438" t="s">
        <v>13</v>
      </c>
      <c r="F438" t="s">
        <v>13</v>
      </c>
      <c r="G438" t="s">
        <v>13</v>
      </c>
      <c r="H438">
        <f t="shared" si="6"/>
        <v>1</v>
      </c>
    </row>
    <row r="439" spans="1:9" ht="14.45" x14ac:dyDescent="0.25">
      <c r="A439" t="s">
        <v>1735</v>
      </c>
      <c r="B439" t="s">
        <v>1736</v>
      </c>
      <c r="C439" t="s">
        <v>1737</v>
      </c>
      <c r="D439" t="s">
        <v>1738</v>
      </c>
      <c r="E439" t="s">
        <v>332</v>
      </c>
      <c r="F439" t="s">
        <v>756</v>
      </c>
      <c r="G439" t="s">
        <v>756</v>
      </c>
      <c r="H439">
        <f t="shared" si="6"/>
        <v>1</v>
      </c>
      <c r="I439">
        <v>1</v>
      </c>
    </row>
    <row r="440" spans="1:9" ht="14.45" x14ac:dyDescent="0.25">
      <c r="A440" t="s">
        <v>1739</v>
      </c>
      <c r="B440" t="s">
        <v>1740</v>
      </c>
      <c r="C440" t="s">
        <v>1741</v>
      </c>
      <c r="D440" t="s">
        <v>1742</v>
      </c>
      <c r="E440" t="s">
        <v>13</v>
      </c>
      <c r="F440" t="s">
        <v>13</v>
      </c>
      <c r="G440" t="s">
        <v>13</v>
      </c>
      <c r="H440">
        <f t="shared" si="6"/>
        <v>1</v>
      </c>
    </row>
    <row r="441" spans="1:9" x14ac:dyDescent="0.25">
      <c r="A441" t="s">
        <v>1743</v>
      </c>
      <c r="B441" t="s">
        <v>1744</v>
      </c>
      <c r="C441" t="s">
        <v>1745</v>
      </c>
      <c r="D441" t="s">
        <v>1746</v>
      </c>
      <c r="E441" t="s">
        <v>383</v>
      </c>
      <c r="F441" t="s">
        <v>384</v>
      </c>
      <c r="G441" t="s">
        <v>653</v>
      </c>
      <c r="H441">
        <f t="shared" si="6"/>
        <v>1</v>
      </c>
      <c r="I441">
        <v>1</v>
      </c>
    </row>
    <row r="442" spans="1:9" ht="14.45" x14ac:dyDescent="0.25">
      <c r="A442" t="s">
        <v>1747</v>
      </c>
      <c r="B442" t="s">
        <v>1748</v>
      </c>
      <c r="C442" t="s">
        <v>1749</v>
      </c>
      <c r="D442" t="s">
        <v>1750</v>
      </c>
      <c r="E442" t="s">
        <v>13</v>
      </c>
      <c r="F442" t="s">
        <v>1679</v>
      </c>
      <c r="G442" t="s">
        <v>1679</v>
      </c>
      <c r="H442">
        <f t="shared" si="6"/>
        <v>1</v>
      </c>
      <c r="I442">
        <v>1</v>
      </c>
    </row>
    <row r="443" spans="1:9" ht="14.45" x14ac:dyDescent="0.25">
      <c r="A443" t="s">
        <v>1751</v>
      </c>
      <c r="B443" t="s">
        <v>1752</v>
      </c>
      <c r="C443" t="s">
        <v>1753</v>
      </c>
      <c r="D443" t="s">
        <v>1754</v>
      </c>
      <c r="E443" t="s">
        <v>1090</v>
      </c>
      <c r="F443" t="s">
        <v>246</v>
      </c>
      <c r="G443" t="s">
        <v>1267</v>
      </c>
      <c r="H443">
        <f t="shared" si="6"/>
        <v>1</v>
      </c>
      <c r="I443">
        <v>1</v>
      </c>
    </row>
    <row r="444" spans="1:9" ht="14.45" x14ac:dyDescent="0.25">
      <c r="A444" t="s">
        <v>1755</v>
      </c>
      <c r="B444" t="s">
        <v>1756</v>
      </c>
      <c r="C444" t="s">
        <v>1757</v>
      </c>
      <c r="D444" t="s">
        <v>1758</v>
      </c>
      <c r="E444" t="s">
        <v>383</v>
      </c>
      <c r="F444" t="s">
        <v>384</v>
      </c>
      <c r="G444" t="s">
        <v>648</v>
      </c>
      <c r="H444">
        <f t="shared" si="6"/>
        <v>1</v>
      </c>
      <c r="I444">
        <v>1</v>
      </c>
    </row>
    <row r="445" spans="1:9" ht="14.45" x14ac:dyDescent="0.25">
      <c r="A445" t="s">
        <v>1759</v>
      </c>
      <c r="B445" t="s">
        <v>1760</v>
      </c>
      <c r="C445" t="s">
        <v>1761</v>
      </c>
      <c r="D445" t="s">
        <v>1762</v>
      </c>
      <c r="E445" t="s">
        <v>18</v>
      </c>
      <c r="F445" t="s">
        <v>18</v>
      </c>
      <c r="G445" t="s">
        <v>18</v>
      </c>
      <c r="H445">
        <f t="shared" si="6"/>
        <v>1</v>
      </c>
    </row>
    <row r="446" spans="1:9" ht="14.45" x14ac:dyDescent="0.25">
      <c r="A446" t="s">
        <v>1763</v>
      </c>
      <c r="B446" t="s">
        <v>1764</v>
      </c>
      <c r="C446" t="s">
        <v>1765</v>
      </c>
      <c r="D446" t="s">
        <v>1766</v>
      </c>
      <c r="E446" t="s">
        <v>383</v>
      </c>
      <c r="F446" t="s">
        <v>384</v>
      </c>
      <c r="G446" t="s">
        <v>648</v>
      </c>
      <c r="H446">
        <f t="shared" si="6"/>
        <v>1</v>
      </c>
      <c r="I446">
        <v>1</v>
      </c>
    </row>
    <row r="447" spans="1:9" ht="14.45" x14ac:dyDescent="0.25">
      <c r="A447" t="s">
        <v>1767</v>
      </c>
      <c r="B447" t="s">
        <v>1768</v>
      </c>
      <c r="C447" t="s">
        <v>1769</v>
      </c>
      <c r="D447" t="s">
        <v>1770</v>
      </c>
      <c r="E447" t="str">
        <f>G447</f>
        <v>Software</v>
      </c>
      <c r="F447" t="s">
        <v>626</v>
      </c>
      <c r="G447" t="s">
        <v>1771</v>
      </c>
      <c r="H447">
        <f t="shared" si="6"/>
        <v>1</v>
      </c>
    </row>
    <row r="448" spans="1:9" ht="14.45" x14ac:dyDescent="0.25">
      <c r="A448" t="s">
        <v>1772</v>
      </c>
      <c r="B448" t="s">
        <v>1773</v>
      </c>
      <c r="C448" t="s">
        <v>1774</v>
      </c>
      <c r="D448" t="s">
        <v>1775</v>
      </c>
      <c r="E448" t="s">
        <v>367</v>
      </c>
      <c r="F448" t="s">
        <v>246</v>
      </c>
      <c r="G448" t="s">
        <v>368</v>
      </c>
      <c r="H448">
        <f t="shared" si="6"/>
        <v>1</v>
      </c>
      <c r="I448">
        <v>1</v>
      </c>
    </row>
    <row r="449" spans="1:9" ht="14.45" x14ac:dyDescent="0.25">
      <c r="A449" t="s">
        <v>1776</v>
      </c>
      <c r="B449" t="s">
        <v>1777</v>
      </c>
      <c r="C449" t="s">
        <v>1778</v>
      </c>
      <c r="D449" t="s">
        <v>1779</v>
      </c>
      <c r="E449" t="s">
        <v>332</v>
      </c>
      <c r="F449" t="s">
        <v>705</v>
      </c>
      <c r="G449" t="s">
        <v>705</v>
      </c>
      <c r="H449">
        <f t="shared" si="6"/>
        <v>1</v>
      </c>
      <c r="I449">
        <v>1</v>
      </c>
    </row>
    <row r="450" spans="1:9" ht="14.45" x14ac:dyDescent="0.25">
      <c r="A450" t="s">
        <v>1780</v>
      </c>
      <c r="B450" t="s">
        <v>1781</v>
      </c>
      <c r="C450" t="s">
        <v>1782</v>
      </c>
      <c r="D450" t="s">
        <v>1783</v>
      </c>
      <c r="E450" t="s">
        <v>13</v>
      </c>
      <c r="F450" t="s">
        <v>522</v>
      </c>
      <c r="G450" t="s">
        <v>522</v>
      </c>
      <c r="H450">
        <f t="shared" ref="H450:H513" si="7">COUNTIF(A:A,A450)</f>
        <v>1</v>
      </c>
      <c r="I450">
        <v>1</v>
      </c>
    </row>
    <row r="451" spans="1:9" ht="14.45" x14ac:dyDescent="0.25">
      <c r="A451" t="s">
        <v>1784</v>
      </c>
      <c r="B451" t="s">
        <v>1785</v>
      </c>
      <c r="C451" t="s">
        <v>1786</v>
      </c>
      <c r="D451" t="s">
        <v>1783</v>
      </c>
      <c r="E451" t="s">
        <v>13</v>
      </c>
      <c r="F451" t="s">
        <v>13</v>
      </c>
      <c r="G451" t="s">
        <v>13</v>
      </c>
      <c r="H451">
        <f t="shared" si="7"/>
        <v>1</v>
      </c>
    </row>
    <row r="452" spans="1:9" ht="14.45" x14ac:dyDescent="0.25">
      <c r="A452" t="s">
        <v>1787</v>
      </c>
      <c r="B452" t="s">
        <v>1788</v>
      </c>
      <c r="C452" t="s">
        <v>1789</v>
      </c>
      <c r="D452" t="s">
        <v>1790</v>
      </c>
      <c r="E452" t="s">
        <v>229</v>
      </c>
      <c r="F452" t="s">
        <v>246</v>
      </c>
      <c r="G452" t="s">
        <v>247</v>
      </c>
      <c r="H452">
        <f t="shared" si="7"/>
        <v>1</v>
      </c>
    </row>
    <row r="453" spans="1:9" ht="14.45" x14ac:dyDescent="0.25">
      <c r="A453" t="s">
        <v>1791</v>
      </c>
      <c r="B453" t="s">
        <v>1792</v>
      </c>
      <c r="C453" t="s">
        <v>1793</v>
      </c>
      <c r="D453" t="s">
        <v>1794</v>
      </c>
      <c r="E453" t="s">
        <v>229</v>
      </c>
      <c r="F453" t="s">
        <v>246</v>
      </c>
      <c r="G453" t="s">
        <v>247</v>
      </c>
      <c r="H453">
        <f t="shared" si="7"/>
        <v>1</v>
      </c>
      <c r="I453">
        <v>1</v>
      </c>
    </row>
    <row r="454" spans="1:9" ht="14.45" x14ac:dyDescent="0.25">
      <c r="A454" t="s">
        <v>1795</v>
      </c>
      <c r="B454" t="s">
        <v>1796</v>
      </c>
      <c r="C454" t="s">
        <v>1797</v>
      </c>
      <c r="D454" t="s">
        <v>1798</v>
      </c>
      <c r="E454" t="s">
        <v>229</v>
      </c>
      <c r="F454" t="s">
        <v>246</v>
      </c>
      <c r="G454" t="s">
        <v>247</v>
      </c>
      <c r="H454">
        <f t="shared" si="7"/>
        <v>1</v>
      </c>
      <c r="I454">
        <v>1</v>
      </c>
    </row>
    <row r="455" spans="1:9" ht="14.45" x14ac:dyDescent="0.25">
      <c r="A455" t="s">
        <v>1799</v>
      </c>
      <c r="B455" t="s">
        <v>1800</v>
      </c>
      <c r="C455" t="s">
        <v>1801</v>
      </c>
      <c r="D455" t="s">
        <v>1802</v>
      </c>
      <c r="E455" t="s">
        <v>229</v>
      </c>
      <c r="F455" t="s">
        <v>246</v>
      </c>
      <c r="G455" t="s">
        <v>247</v>
      </c>
      <c r="H455">
        <f t="shared" si="7"/>
        <v>1</v>
      </c>
      <c r="I455">
        <v>1</v>
      </c>
    </row>
    <row r="456" spans="1:9" ht="14.45" x14ac:dyDescent="0.25">
      <c r="A456" t="s">
        <v>1803</v>
      </c>
      <c r="B456" t="s">
        <v>1804</v>
      </c>
      <c r="C456" t="s">
        <v>1805</v>
      </c>
      <c r="D456" t="s">
        <v>1806</v>
      </c>
      <c r="E456" t="s">
        <v>383</v>
      </c>
      <c r="F456" t="s">
        <v>384</v>
      </c>
      <c r="G456" t="s">
        <v>648</v>
      </c>
      <c r="H456">
        <f t="shared" si="7"/>
        <v>1</v>
      </c>
      <c r="I456">
        <v>1</v>
      </c>
    </row>
    <row r="457" spans="1:9" ht="14.45" x14ac:dyDescent="0.25">
      <c r="A457" t="s">
        <v>1807</v>
      </c>
      <c r="B457" t="s">
        <v>1808</v>
      </c>
      <c r="C457" t="s">
        <v>1809</v>
      </c>
      <c r="D457" t="s">
        <v>1810</v>
      </c>
      <c r="E457" t="s">
        <v>383</v>
      </c>
      <c r="F457" t="s">
        <v>384</v>
      </c>
      <c r="G457" t="s">
        <v>1204</v>
      </c>
      <c r="H457">
        <f t="shared" si="7"/>
        <v>1</v>
      </c>
      <c r="I457">
        <v>1</v>
      </c>
    </row>
    <row r="458" spans="1:9" ht="14.45" x14ac:dyDescent="0.25">
      <c r="A458" t="s">
        <v>1811</v>
      </c>
      <c r="B458" t="s">
        <v>1812</v>
      </c>
      <c r="C458" t="s">
        <v>1813</v>
      </c>
      <c r="D458" t="s">
        <v>1814</v>
      </c>
      <c r="E458" t="s">
        <v>383</v>
      </c>
      <c r="F458" t="s">
        <v>384</v>
      </c>
      <c r="G458" t="s">
        <v>648</v>
      </c>
      <c r="H458">
        <f t="shared" si="7"/>
        <v>1</v>
      </c>
      <c r="I458">
        <v>1</v>
      </c>
    </row>
    <row r="459" spans="1:9" ht="14.45" x14ac:dyDescent="0.25">
      <c r="A459" t="s">
        <v>1815</v>
      </c>
      <c r="B459" t="s">
        <v>1816</v>
      </c>
      <c r="C459" t="s">
        <v>1817</v>
      </c>
      <c r="D459" t="s">
        <v>1818</v>
      </c>
      <c r="E459" t="s">
        <v>383</v>
      </c>
      <c r="F459" t="s">
        <v>384</v>
      </c>
      <c r="G459" t="s">
        <v>1204</v>
      </c>
      <c r="H459">
        <f t="shared" si="7"/>
        <v>1</v>
      </c>
      <c r="I459">
        <v>1</v>
      </c>
    </row>
    <row r="460" spans="1:9" ht="14.45" x14ac:dyDescent="0.25">
      <c r="A460" t="s">
        <v>1819</v>
      </c>
      <c r="B460" t="s">
        <v>1820</v>
      </c>
      <c r="C460" t="s">
        <v>1821</v>
      </c>
      <c r="D460" t="s">
        <v>1822</v>
      </c>
      <c r="E460" t="s">
        <v>332</v>
      </c>
      <c r="F460" t="s">
        <v>332</v>
      </c>
      <c r="G460" t="s">
        <v>332</v>
      </c>
      <c r="H460">
        <f t="shared" si="7"/>
        <v>1</v>
      </c>
    </row>
    <row r="461" spans="1:9" ht="14.45" x14ac:dyDescent="0.25">
      <c r="A461" t="s">
        <v>1823</v>
      </c>
      <c r="B461" t="s">
        <v>1824</v>
      </c>
      <c r="C461" t="s">
        <v>1825</v>
      </c>
      <c r="D461" t="s">
        <v>1826</v>
      </c>
      <c r="E461" t="s">
        <v>383</v>
      </c>
      <c r="F461" t="s">
        <v>384</v>
      </c>
      <c r="G461" t="s">
        <v>648</v>
      </c>
      <c r="H461">
        <f t="shared" si="7"/>
        <v>1</v>
      </c>
      <c r="I461">
        <v>1</v>
      </c>
    </row>
    <row r="462" spans="1:9" ht="14.45" x14ac:dyDescent="0.25">
      <c r="A462" t="s">
        <v>1827</v>
      </c>
      <c r="B462" t="s">
        <v>1828</v>
      </c>
      <c r="C462" t="s">
        <v>1829</v>
      </c>
      <c r="D462" t="s">
        <v>1830</v>
      </c>
      <c r="E462" t="s">
        <v>383</v>
      </c>
      <c r="F462" t="s">
        <v>384</v>
      </c>
      <c r="G462" t="s">
        <v>648</v>
      </c>
      <c r="H462">
        <f t="shared" si="7"/>
        <v>1</v>
      </c>
      <c r="I462">
        <v>1</v>
      </c>
    </row>
    <row r="463" spans="1:9" ht="14.45" x14ac:dyDescent="0.25">
      <c r="A463" t="s">
        <v>1831</v>
      </c>
      <c r="B463" t="s">
        <v>1832</v>
      </c>
      <c r="C463" t="s">
        <v>1833</v>
      </c>
      <c r="D463" t="s">
        <v>1834</v>
      </c>
      <c r="E463" t="s">
        <v>18</v>
      </c>
      <c r="F463" t="s">
        <v>18</v>
      </c>
      <c r="G463" t="s">
        <v>18</v>
      </c>
      <c r="H463">
        <f t="shared" si="7"/>
        <v>1</v>
      </c>
      <c r="I463">
        <v>1</v>
      </c>
    </row>
    <row r="464" spans="1:9" ht="14.45" x14ac:dyDescent="0.25">
      <c r="A464" t="s">
        <v>1835</v>
      </c>
      <c r="B464" t="s">
        <v>1836</v>
      </c>
      <c r="C464" t="s">
        <v>1837</v>
      </c>
      <c r="D464" t="s">
        <v>1838</v>
      </c>
      <c r="E464" t="s">
        <v>18</v>
      </c>
      <c r="F464" t="s">
        <v>18</v>
      </c>
      <c r="G464" t="s">
        <v>18</v>
      </c>
      <c r="H464">
        <f t="shared" si="7"/>
        <v>1</v>
      </c>
      <c r="I464">
        <v>1</v>
      </c>
    </row>
    <row r="465" spans="1:9" ht="14.45" x14ac:dyDescent="0.25">
      <c r="A465" t="s">
        <v>1839</v>
      </c>
      <c r="B465" t="s">
        <v>1840</v>
      </c>
      <c r="C465" t="s">
        <v>1841</v>
      </c>
      <c r="D465" t="s">
        <v>1842</v>
      </c>
      <c r="E465" t="s">
        <v>18</v>
      </c>
      <c r="F465" t="s">
        <v>18</v>
      </c>
      <c r="G465" t="s">
        <v>18</v>
      </c>
      <c r="H465">
        <f t="shared" si="7"/>
        <v>1</v>
      </c>
      <c r="I465">
        <v>1</v>
      </c>
    </row>
    <row r="466" spans="1:9" ht="14.45" x14ac:dyDescent="0.25">
      <c r="A466" t="s">
        <v>1843</v>
      </c>
      <c r="B466" t="s">
        <v>1844</v>
      </c>
      <c r="C466" t="s">
        <v>1845</v>
      </c>
      <c r="D466" t="s">
        <v>1846</v>
      </c>
      <c r="E466" t="s">
        <v>18</v>
      </c>
      <c r="F466" t="s">
        <v>18</v>
      </c>
      <c r="G466" t="s">
        <v>18</v>
      </c>
      <c r="H466">
        <f t="shared" si="7"/>
        <v>1</v>
      </c>
    </row>
    <row r="467" spans="1:9" ht="14.45" x14ac:dyDescent="0.25">
      <c r="A467" t="s">
        <v>1847</v>
      </c>
      <c r="B467" t="s">
        <v>1848</v>
      </c>
      <c r="C467" t="s">
        <v>1849</v>
      </c>
      <c r="D467" t="s">
        <v>1850</v>
      </c>
      <c r="E467" t="s">
        <v>18</v>
      </c>
      <c r="F467" t="s">
        <v>18</v>
      </c>
      <c r="G467" t="s">
        <v>18</v>
      </c>
      <c r="H467">
        <f t="shared" si="7"/>
        <v>1</v>
      </c>
      <c r="I467">
        <v>1</v>
      </c>
    </row>
    <row r="468" spans="1:9" ht="14.45" x14ac:dyDescent="0.25">
      <c r="A468" t="s">
        <v>1851</v>
      </c>
      <c r="B468" t="s">
        <v>1852</v>
      </c>
      <c r="C468" t="s">
        <v>1853</v>
      </c>
      <c r="D468" t="s">
        <v>1854</v>
      </c>
      <c r="E468" t="s">
        <v>18</v>
      </c>
      <c r="F468" t="s">
        <v>18</v>
      </c>
      <c r="G468" t="s">
        <v>18</v>
      </c>
      <c r="H468">
        <f t="shared" si="7"/>
        <v>1</v>
      </c>
      <c r="I468">
        <v>1</v>
      </c>
    </row>
    <row r="469" spans="1:9" ht="14.45" x14ac:dyDescent="0.25">
      <c r="A469" t="s">
        <v>1855</v>
      </c>
      <c r="B469" t="s">
        <v>1856</v>
      </c>
      <c r="C469" t="s">
        <v>1857</v>
      </c>
      <c r="D469" t="s">
        <v>1858</v>
      </c>
      <c r="E469" t="s">
        <v>18</v>
      </c>
      <c r="F469" t="s">
        <v>18</v>
      </c>
      <c r="G469" t="s">
        <v>18</v>
      </c>
      <c r="H469">
        <f t="shared" si="7"/>
        <v>1</v>
      </c>
      <c r="I469">
        <v>1</v>
      </c>
    </row>
    <row r="470" spans="1:9" ht="14.45" x14ac:dyDescent="0.25">
      <c r="A470" t="s">
        <v>1859</v>
      </c>
      <c r="B470" t="s">
        <v>1860</v>
      </c>
      <c r="C470" t="s">
        <v>1861</v>
      </c>
      <c r="D470" t="s">
        <v>1862</v>
      </c>
      <c r="E470" t="s">
        <v>18</v>
      </c>
      <c r="F470" t="s">
        <v>18</v>
      </c>
      <c r="G470" t="s">
        <v>18</v>
      </c>
      <c r="H470">
        <f t="shared" si="7"/>
        <v>1</v>
      </c>
      <c r="I470">
        <v>1</v>
      </c>
    </row>
    <row r="471" spans="1:9" ht="14.45" x14ac:dyDescent="0.25">
      <c r="A471" t="s">
        <v>1863</v>
      </c>
      <c r="B471" t="s">
        <v>1864</v>
      </c>
      <c r="C471" t="s">
        <v>1865</v>
      </c>
      <c r="D471" t="s">
        <v>1862</v>
      </c>
      <c r="E471" t="s">
        <v>18</v>
      </c>
      <c r="F471" t="s">
        <v>18</v>
      </c>
      <c r="G471" t="s">
        <v>18</v>
      </c>
      <c r="H471">
        <f t="shared" si="7"/>
        <v>1</v>
      </c>
      <c r="I471">
        <v>1</v>
      </c>
    </row>
    <row r="472" spans="1:9" ht="14.45" x14ac:dyDescent="0.25">
      <c r="A472" t="s">
        <v>1866</v>
      </c>
      <c r="B472" t="s">
        <v>1867</v>
      </c>
      <c r="C472" t="s">
        <v>1868</v>
      </c>
      <c r="D472" t="s">
        <v>1869</v>
      </c>
      <c r="E472" t="s">
        <v>18</v>
      </c>
      <c r="F472" t="s">
        <v>18</v>
      </c>
      <c r="G472" t="s">
        <v>18</v>
      </c>
      <c r="H472">
        <f t="shared" si="7"/>
        <v>1</v>
      </c>
      <c r="I472">
        <v>1</v>
      </c>
    </row>
    <row r="473" spans="1:9" ht="14.45" x14ac:dyDescent="0.25">
      <c r="A473" t="s">
        <v>1870</v>
      </c>
      <c r="B473" t="s">
        <v>1871</v>
      </c>
      <c r="C473" t="s">
        <v>1872</v>
      </c>
      <c r="D473" t="s">
        <v>1869</v>
      </c>
      <c r="E473" t="s">
        <v>18</v>
      </c>
      <c r="F473" t="s">
        <v>18</v>
      </c>
      <c r="G473" t="s">
        <v>18</v>
      </c>
      <c r="H473">
        <f t="shared" si="7"/>
        <v>1</v>
      </c>
    </row>
    <row r="474" spans="1:9" ht="14.45" x14ac:dyDescent="0.25">
      <c r="A474" t="s">
        <v>1873</v>
      </c>
      <c r="B474" t="s">
        <v>1874</v>
      </c>
      <c r="C474" t="s">
        <v>1875</v>
      </c>
      <c r="D474" t="s">
        <v>1876</v>
      </c>
      <c r="E474" t="s">
        <v>18</v>
      </c>
      <c r="F474" t="s">
        <v>18</v>
      </c>
      <c r="G474" t="s">
        <v>18</v>
      </c>
      <c r="H474">
        <f t="shared" si="7"/>
        <v>1</v>
      </c>
    </row>
    <row r="475" spans="1:9" ht="14.45" x14ac:dyDescent="0.25">
      <c r="A475" t="s">
        <v>1877</v>
      </c>
      <c r="B475" t="s">
        <v>1878</v>
      </c>
      <c r="C475" t="s">
        <v>1879</v>
      </c>
      <c r="D475" t="s">
        <v>1880</v>
      </c>
      <c r="E475" t="s">
        <v>18</v>
      </c>
      <c r="F475" t="s">
        <v>18</v>
      </c>
      <c r="G475" t="s">
        <v>18</v>
      </c>
      <c r="H475">
        <f t="shared" si="7"/>
        <v>1</v>
      </c>
    </row>
    <row r="476" spans="1:9" ht="14.45" x14ac:dyDescent="0.25">
      <c r="A476" t="s">
        <v>1881</v>
      </c>
      <c r="B476" t="s">
        <v>1882</v>
      </c>
      <c r="C476" t="s">
        <v>1883</v>
      </c>
      <c r="D476" t="s">
        <v>1884</v>
      </c>
      <c r="E476" t="s">
        <v>18</v>
      </c>
      <c r="F476" t="s">
        <v>18</v>
      </c>
      <c r="G476" t="s">
        <v>18</v>
      </c>
      <c r="H476">
        <f t="shared" si="7"/>
        <v>1</v>
      </c>
    </row>
    <row r="477" spans="1:9" ht="14.45" x14ac:dyDescent="0.25">
      <c r="A477" t="s">
        <v>1885</v>
      </c>
      <c r="B477" t="s">
        <v>1886</v>
      </c>
      <c r="C477" t="s">
        <v>1887</v>
      </c>
      <c r="D477" t="s">
        <v>1888</v>
      </c>
      <c r="E477" t="s">
        <v>229</v>
      </c>
      <c r="F477" t="s">
        <v>384</v>
      </c>
      <c r="G477" t="s">
        <v>648</v>
      </c>
      <c r="H477">
        <f t="shared" si="7"/>
        <v>1</v>
      </c>
    </row>
    <row r="478" spans="1:9" ht="14.45" x14ac:dyDescent="0.25">
      <c r="A478" t="s">
        <v>1889</v>
      </c>
      <c r="B478" t="s">
        <v>1890</v>
      </c>
      <c r="C478" t="s">
        <v>1891</v>
      </c>
      <c r="D478" t="s">
        <v>1892</v>
      </c>
      <c r="E478" t="s">
        <v>332</v>
      </c>
      <c r="F478" t="s">
        <v>705</v>
      </c>
      <c r="G478" t="s">
        <v>705</v>
      </c>
      <c r="H478">
        <f t="shared" si="7"/>
        <v>1</v>
      </c>
      <c r="I478">
        <v>1</v>
      </c>
    </row>
    <row r="479" spans="1:9" ht="14.45" x14ac:dyDescent="0.25">
      <c r="A479" t="s">
        <v>1893</v>
      </c>
      <c r="B479" t="s">
        <v>1894</v>
      </c>
      <c r="C479" t="s">
        <v>1895</v>
      </c>
      <c r="D479" t="s">
        <v>1896</v>
      </c>
      <c r="E479" t="s">
        <v>332</v>
      </c>
      <c r="F479" t="s">
        <v>332</v>
      </c>
      <c r="G479" t="s">
        <v>332</v>
      </c>
      <c r="H479">
        <f t="shared" si="7"/>
        <v>1</v>
      </c>
      <c r="I479">
        <v>1</v>
      </c>
    </row>
    <row r="480" spans="1:9" ht="14.45" x14ac:dyDescent="0.25">
      <c r="A480" t="s">
        <v>1897</v>
      </c>
      <c r="B480" t="s">
        <v>1898</v>
      </c>
      <c r="C480" t="s">
        <v>1899</v>
      </c>
      <c r="D480" t="s">
        <v>1900</v>
      </c>
      <c r="E480" t="s">
        <v>332</v>
      </c>
      <c r="F480" t="s">
        <v>705</v>
      </c>
      <c r="G480" t="s">
        <v>705</v>
      </c>
      <c r="H480">
        <f t="shared" si="7"/>
        <v>1</v>
      </c>
      <c r="I480">
        <v>1</v>
      </c>
    </row>
    <row r="481" spans="1:9" ht="14.45" x14ac:dyDescent="0.25">
      <c r="A481" t="s">
        <v>1901</v>
      </c>
      <c r="B481" t="s">
        <v>1902</v>
      </c>
      <c r="C481" t="s">
        <v>1903</v>
      </c>
      <c r="D481" t="s">
        <v>1904</v>
      </c>
      <c r="E481" t="s">
        <v>332</v>
      </c>
      <c r="F481" t="s">
        <v>332</v>
      </c>
      <c r="G481" t="s">
        <v>332</v>
      </c>
      <c r="H481">
        <f t="shared" si="7"/>
        <v>1</v>
      </c>
      <c r="I481">
        <v>1</v>
      </c>
    </row>
    <row r="482" spans="1:9" ht="14.45" x14ac:dyDescent="0.25">
      <c r="A482" t="s">
        <v>1905</v>
      </c>
      <c r="B482" t="s">
        <v>1906</v>
      </c>
      <c r="C482" t="s">
        <v>1907</v>
      </c>
      <c r="D482" t="s">
        <v>1908</v>
      </c>
      <c r="E482" t="s">
        <v>1179</v>
      </c>
      <c r="F482" t="s">
        <v>377</v>
      </c>
      <c r="G482" t="s">
        <v>403</v>
      </c>
      <c r="H482">
        <f t="shared" si="7"/>
        <v>1</v>
      </c>
      <c r="I482">
        <v>1</v>
      </c>
    </row>
    <row r="483" spans="1:9" ht="14.45" x14ac:dyDescent="0.25">
      <c r="A483" t="s">
        <v>1909</v>
      </c>
      <c r="B483" t="s">
        <v>1910</v>
      </c>
      <c r="C483" t="s">
        <v>1911</v>
      </c>
      <c r="D483" t="s">
        <v>1912</v>
      </c>
      <c r="E483" t="s">
        <v>229</v>
      </c>
      <c r="F483" t="s">
        <v>246</v>
      </c>
      <c r="G483" t="s">
        <v>780</v>
      </c>
      <c r="H483">
        <f t="shared" si="7"/>
        <v>1</v>
      </c>
      <c r="I483">
        <v>1</v>
      </c>
    </row>
    <row r="484" spans="1:9" ht="14.45" x14ac:dyDescent="0.25">
      <c r="A484" t="s">
        <v>1911</v>
      </c>
      <c r="B484" t="s">
        <v>1910</v>
      </c>
      <c r="C484" t="s">
        <v>1911</v>
      </c>
      <c r="D484" t="s">
        <v>1912</v>
      </c>
      <c r="E484" t="s">
        <v>229</v>
      </c>
      <c r="F484" t="s">
        <v>246</v>
      </c>
      <c r="G484" t="s">
        <v>780</v>
      </c>
      <c r="H484">
        <f t="shared" si="7"/>
        <v>1</v>
      </c>
      <c r="I484">
        <v>1</v>
      </c>
    </row>
    <row r="485" spans="1:9" ht="14.45" x14ac:dyDescent="0.25">
      <c r="A485" t="s">
        <v>1913</v>
      </c>
      <c r="B485" t="s">
        <v>1914</v>
      </c>
      <c r="C485" t="s">
        <v>1915</v>
      </c>
      <c r="D485" t="s">
        <v>1916</v>
      </c>
      <c r="E485" t="s">
        <v>18</v>
      </c>
      <c r="F485" t="s">
        <v>18</v>
      </c>
      <c r="G485" t="s">
        <v>18</v>
      </c>
      <c r="H485">
        <f t="shared" si="7"/>
        <v>1</v>
      </c>
      <c r="I485">
        <v>1</v>
      </c>
    </row>
    <row r="486" spans="1:9" ht="14.45" x14ac:dyDescent="0.25">
      <c r="A486" t="s">
        <v>1917</v>
      </c>
      <c r="B486" t="s">
        <v>1918</v>
      </c>
      <c r="C486" t="s">
        <v>1919</v>
      </c>
      <c r="D486" t="s">
        <v>1920</v>
      </c>
      <c r="E486" t="s">
        <v>224</v>
      </c>
      <c r="F486" t="s">
        <v>224</v>
      </c>
      <c r="G486" t="s">
        <v>224</v>
      </c>
      <c r="H486">
        <f t="shared" si="7"/>
        <v>1</v>
      </c>
      <c r="I486">
        <v>1</v>
      </c>
    </row>
    <row r="487" spans="1:9" ht="14.45" x14ac:dyDescent="0.25">
      <c r="A487" t="s">
        <v>1921</v>
      </c>
      <c r="B487" t="s">
        <v>1922</v>
      </c>
      <c r="C487" t="s">
        <v>1923</v>
      </c>
      <c r="D487" t="s">
        <v>1924</v>
      </c>
      <c r="E487" t="s">
        <v>18</v>
      </c>
      <c r="F487" t="s">
        <v>18</v>
      </c>
      <c r="G487" t="s">
        <v>18</v>
      </c>
      <c r="H487">
        <f t="shared" si="7"/>
        <v>1</v>
      </c>
      <c r="I487">
        <v>1</v>
      </c>
    </row>
    <row r="488" spans="1:9" ht="14.45" x14ac:dyDescent="0.25">
      <c r="A488" t="s">
        <v>1925</v>
      </c>
      <c r="B488" t="s">
        <v>1926</v>
      </c>
      <c r="C488" t="s">
        <v>1927</v>
      </c>
      <c r="D488" t="s">
        <v>1928</v>
      </c>
      <c r="E488" t="s">
        <v>332</v>
      </c>
      <c r="F488" t="s">
        <v>332</v>
      </c>
      <c r="G488" t="s">
        <v>332</v>
      </c>
      <c r="H488">
        <f t="shared" si="7"/>
        <v>1</v>
      </c>
      <c r="I488">
        <v>1</v>
      </c>
    </row>
    <row r="489" spans="1:9" ht="14.45" x14ac:dyDescent="0.25">
      <c r="A489" t="s">
        <v>1929</v>
      </c>
      <c r="B489" t="s">
        <v>1930</v>
      </c>
      <c r="C489" t="s">
        <v>1931</v>
      </c>
      <c r="D489" t="s">
        <v>1932</v>
      </c>
      <c r="E489" t="s">
        <v>478</v>
      </c>
      <c r="F489" t="s">
        <v>377</v>
      </c>
      <c r="G489" t="s">
        <v>479</v>
      </c>
      <c r="H489">
        <f t="shared" si="7"/>
        <v>1</v>
      </c>
    </row>
    <row r="490" spans="1:9" ht="14.45" x14ac:dyDescent="0.25">
      <c r="A490" t="s">
        <v>1933</v>
      </c>
      <c r="B490" t="s">
        <v>1934</v>
      </c>
      <c r="C490" t="s">
        <v>1935</v>
      </c>
      <c r="D490" t="s">
        <v>1936</v>
      </c>
      <c r="E490" t="s">
        <v>224</v>
      </c>
      <c r="F490" t="s">
        <v>224</v>
      </c>
      <c r="G490" t="s">
        <v>224</v>
      </c>
      <c r="H490">
        <f t="shared" si="7"/>
        <v>1</v>
      </c>
      <c r="I490">
        <v>1</v>
      </c>
    </row>
    <row r="491" spans="1:9" ht="14.45" x14ac:dyDescent="0.25">
      <c r="A491" t="s">
        <v>1937</v>
      </c>
      <c r="B491" t="s">
        <v>1938</v>
      </c>
      <c r="C491" t="s">
        <v>1939</v>
      </c>
      <c r="D491" t="s">
        <v>1940</v>
      </c>
      <c r="E491" t="s">
        <v>1090</v>
      </c>
      <c r="F491" t="s">
        <v>377</v>
      </c>
      <c r="G491" t="s">
        <v>686</v>
      </c>
      <c r="H491">
        <f t="shared" si="7"/>
        <v>1</v>
      </c>
      <c r="I491">
        <v>1</v>
      </c>
    </row>
    <row r="492" spans="1:9" ht="14.45" x14ac:dyDescent="0.25">
      <c r="A492" t="s">
        <v>1941</v>
      </c>
      <c r="B492" t="s">
        <v>1942</v>
      </c>
      <c r="C492" t="s">
        <v>1943</v>
      </c>
      <c r="D492" t="s">
        <v>1944</v>
      </c>
      <c r="E492" t="s">
        <v>478</v>
      </c>
      <c r="F492" t="s">
        <v>377</v>
      </c>
      <c r="G492" t="s">
        <v>479</v>
      </c>
      <c r="H492">
        <f t="shared" si="7"/>
        <v>1</v>
      </c>
      <c r="I492">
        <v>1</v>
      </c>
    </row>
    <row r="493" spans="1:9" ht="14.45" x14ac:dyDescent="0.25">
      <c r="A493" t="s">
        <v>1945</v>
      </c>
      <c r="B493" t="s">
        <v>1946</v>
      </c>
      <c r="C493" t="s">
        <v>1947</v>
      </c>
      <c r="D493" t="s">
        <v>1944</v>
      </c>
      <c r="E493" t="s">
        <v>478</v>
      </c>
      <c r="F493" t="s">
        <v>377</v>
      </c>
      <c r="G493" t="s">
        <v>479</v>
      </c>
      <c r="H493">
        <f t="shared" si="7"/>
        <v>1</v>
      </c>
    </row>
    <row r="494" spans="1:9" ht="14.45" x14ac:dyDescent="0.25">
      <c r="A494" t="s">
        <v>1948</v>
      </c>
      <c r="B494" t="s">
        <v>1949</v>
      </c>
      <c r="C494" t="s">
        <v>1950</v>
      </c>
      <c r="D494" t="s">
        <v>1951</v>
      </c>
      <c r="E494" t="s">
        <v>229</v>
      </c>
      <c r="F494" t="s">
        <v>377</v>
      </c>
      <c r="G494" t="s">
        <v>403</v>
      </c>
      <c r="H494">
        <f t="shared" si="7"/>
        <v>1</v>
      </c>
      <c r="I494">
        <v>1</v>
      </c>
    </row>
    <row r="495" spans="1:9" ht="14.45" x14ac:dyDescent="0.25">
      <c r="A495" t="s">
        <v>1952</v>
      </c>
      <c r="B495" t="s">
        <v>1953</v>
      </c>
      <c r="C495" t="s">
        <v>1954</v>
      </c>
      <c r="D495" t="s">
        <v>1955</v>
      </c>
      <c r="E495" t="s">
        <v>332</v>
      </c>
      <c r="F495" t="s">
        <v>705</v>
      </c>
      <c r="G495" t="s">
        <v>705</v>
      </c>
      <c r="H495">
        <f t="shared" si="7"/>
        <v>1</v>
      </c>
      <c r="I495">
        <v>1</v>
      </c>
    </row>
    <row r="496" spans="1:9" ht="14.45" x14ac:dyDescent="0.25">
      <c r="A496" t="s">
        <v>1956</v>
      </c>
      <c r="B496" t="s">
        <v>1957</v>
      </c>
      <c r="C496" t="s">
        <v>1958</v>
      </c>
      <c r="D496" t="s">
        <v>1959</v>
      </c>
      <c r="E496" t="s">
        <v>219</v>
      </c>
      <c r="F496" t="s">
        <v>156</v>
      </c>
      <c r="G496" t="s">
        <v>229</v>
      </c>
      <c r="H496">
        <f t="shared" si="7"/>
        <v>1</v>
      </c>
      <c r="I496">
        <v>1</v>
      </c>
    </row>
    <row r="497" spans="1:9" ht="14.45" x14ac:dyDescent="0.25">
      <c r="A497" t="s">
        <v>1960</v>
      </c>
      <c r="B497" t="s">
        <v>1961</v>
      </c>
      <c r="C497" t="s">
        <v>1960</v>
      </c>
      <c r="D497" t="s">
        <v>1962</v>
      </c>
      <c r="E497" t="s">
        <v>229</v>
      </c>
      <c r="F497" t="s">
        <v>246</v>
      </c>
      <c r="G497" t="s">
        <v>368</v>
      </c>
      <c r="H497">
        <f t="shared" si="7"/>
        <v>1</v>
      </c>
      <c r="I497">
        <v>1</v>
      </c>
    </row>
    <row r="498" spans="1:9" ht="14.45" x14ac:dyDescent="0.25">
      <c r="A498" t="s">
        <v>1963</v>
      </c>
      <c r="B498" t="s">
        <v>1961</v>
      </c>
      <c r="C498" t="s">
        <v>1960</v>
      </c>
      <c r="D498" t="s">
        <v>1962</v>
      </c>
      <c r="E498" t="s">
        <v>229</v>
      </c>
      <c r="F498" t="s">
        <v>246</v>
      </c>
      <c r="G498" t="s">
        <v>368</v>
      </c>
      <c r="H498">
        <f t="shared" si="7"/>
        <v>1</v>
      </c>
      <c r="I498">
        <v>1</v>
      </c>
    </row>
    <row r="499" spans="1:9" ht="14.45" x14ac:dyDescent="0.25">
      <c r="A499" t="s">
        <v>1964</v>
      </c>
      <c r="B499" t="s">
        <v>1965</v>
      </c>
      <c r="C499" t="s">
        <v>1966</v>
      </c>
      <c r="D499" t="s">
        <v>1967</v>
      </c>
      <c r="E499" t="s">
        <v>18</v>
      </c>
      <c r="F499" t="s">
        <v>18</v>
      </c>
      <c r="G499" t="s">
        <v>18</v>
      </c>
      <c r="H499">
        <f t="shared" si="7"/>
        <v>1</v>
      </c>
      <c r="I499">
        <v>1</v>
      </c>
    </row>
    <row r="500" spans="1:9" ht="14.45" x14ac:dyDescent="0.25">
      <c r="A500" t="s">
        <v>1968</v>
      </c>
      <c r="B500" t="s">
        <v>1969</v>
      </c>
      <c r="C500" t="s">
        <v>1970</v>
      </c>
      <c r="D500" t="s">
        <v>1967</v>
      </c>
      <c r="E500" t="s">
        <v>18</v>
      </c>
      <c r="F500" t="s">
        <v>18</v>
      </c>
      <c r="G500" t="s">
        <v>18</v>
      </c>
      <c r="H500">
        <f t="shared" si="7"/>
        <v>1</v>
      </c>
      <c r="I500">
        <v>1</v>
      </c>
    </row>
    <row r="501" spans="1:9" ht="14.45" x14ac:dyDescent="0.25">
      <c r="A501" t="s">
        <v>1971</v>
      </c>
      <c r="B501" t="s">
        <v>1972</v>
      </c>
      <c r="C501" t="s">
        <v>1973</v>
      </c>
      <c r="D501" t="s">
        <v>1974</v>
      </c>
      <c r="E501" t="s">
        <v>332</v>
      </c>
      <c r="F501" t="s">
        <v>332</v>
      </c>
      <c r="G501" t="s">
        <v>332</v>
      </c>
      <c r="H501">
        <f t="shared" si="7"/>
        <v>1</v>
      </c>
    </row>
    <row r="502" spans="1:9" ht="14.45" x14ac:dyDescent="0.25">
      <c r="A502" t="s">
        <v>1975</v>
      </c>
      <c r="B502" t="s">
        <v>1976</v>
      </c>
      <c r="C502" t="s">
        <v>1977</v>
      </c>
      <c r="D502" t="s">
        <v>1978</v>
      </c>
      <c r="E502" t="s">
        <v>383</v>
      </c>
      <c r="F502" t="s">
        <v>384</v>
      </c>
      <c r="G502" t="s">
        <v>648</v>
      </c>
      <c r="H502">
        <f t="shared" si="7"/>
        <v>1</v>
      </c>
      <c r="I502">
        <v>1</v>
      </c>
    </row>
    <row r="503" spans="1:9" ht="14.45" x14ac:dyDescent="0.25">
      <c r="A503" t="s">
        <v>1979</v>
      </c>
      <c r="B503" t="s">
        <v>1980</v>
      </c>
      <c r="C503" t="s">
        <v>1981</v>
      </c>
      <c r="D503" t="s">
        <v>1982</v>
      </c>
      <c r="E503" t="s">
        <v>332</v>
      </c>
      <c r="F503" t="s">
        <v>705</v>
      </c>
      <c r="G503" t="s">
        <v>705</v>
      </c>
      <c r="H503">
        <f t="shared" si="7"/>
        <v>1</v>
      </c>
      <c r="I503">
        <v>1</v>
      </c>
    </row>
    <row r="504" spans="1:9" ht="14.45" x14ac:dyDescent="0.25">
      <c r="A504" t="s">
        <v>1983</v>
      </c>
      <c r="B504" t="s">
        <v>1984</v>
      </c>
      <c r="C504" t="s">
        <v>1985</v>
      </c>
      <c r="D504" t="s">
        <v>1986</v>
      </c>
      <c r="E504" t="s">
        <v>13</v>
      </c>
      <c r="F504" t="s">
        <v>13</v>
      </c>
      <c r="G504" t="s">
        <v>13</v>
      </c>
      <c r="H504">
        <f t="shared" si="7"/>
        <v>1</v>
      </c>
    </row>
    <row r="505" spans="1:9" ht="14.45" x14ac:dyDescent="0.25">
      <c r="A505" t="s">
        <v>1987</v>
      </c>
      <c r="B505" t="s">
        <v>1988</v>
      </c>
      <c r="C505" t="s">
        <v>1989</v>
      </c>
      <c r="D505" t="s">
        <v>1990</v>
      </c>
      <c r="E505" t="s">
        <v>13</v>
      </c>
      <c r="F505" t="s">
        <v>13</v>
      </c>
      <c r="G505" t="s">
        <v>13</v>
      </c>
      <c r="H505">
        <f t="shared" si="7"/>
        <v>1</v>
      </c>
    </row>
    <row r="506" spans="1:9" ht="14.45" x14ac:dyDescent="0.25">
      <c r="A506" t="s">
        <v>1991</v>
      </c>
      <c r="B506" t="s">
        <v>1992</v>
      </c>
      <c r="C506" t="s">
        <v>1993</v>
      </c>
      <c r="D506" t="s">
        <v>1994</v>
      </c>
      <c r="E506" t="s">
        <v>229</v>
      </c>
      <c r="F506" t="s">
        <v>377</v>
      </c>
      <c r="G506" t="s">
        <v>378</v>
      </c>
      <c r="H506">
        <f t="shared" si="7"/>
        <v>1</v>
      </c>
      <c r="I506">
        <v>1</v>
      </c>
    </row>
    <row r="507" spans="1:9" ht="14.45" x14ac:dyDescent="0.25">
      <c r="A507" t="s">
        <v>1995</v>
      </c>
      <c r="B507" t="s">
        <v>1996</v>
      </c>
      <c r="C507" t="s">
        <v>1997</v>
      </c>
      <c r="D507" t="s">
        <v>1998</v>
      </c>
      <c r="E507" t="s">
        <v>1090</v>
      </c>
      <c r="F507" t="s">
        <v>246</v>
      </c>
      <c r="G507" t="s">
        <v>1267</v>
      </c>
      <c r="H507">
        <f t="shared" si="7"/>
        <v>1</v>
      </c>
      <c r="I507">
        <v>1</v>
      </c>
    </row>
    <row r="508" spans="1:9" ht="14.45" x14ac:dyDescent="0.25">
      <c r="A508" t="s">
        <v>1999</v>
      </c>
      <c r="B508" t="s">
        <v>2000</v>
      </c>
      <c r="C508" t="s">
        <v>1999</v>
      </c>
      <c r="D508" t="s">
        <v>2001</v>
      </c>
      <c r="E508" t="s">
        <v>229</v>
      </c>
      <c r="F508" t="s">
        <v>377</v>
      </c>
      <c r="G508" t="s">
        <v>479</v>
      </c>
      <c r="H508">
        <f t="shared" si="7"/>
        <v>1</v>
      </c>
      <c r="I508">
        <v>1</v>
      </c>
    </row>
    <row r="509" spans="1:9" ht="14.45" x14ac:dyDescent="0.25">
      <c r="A509" t="s">
        <v>2002</v>
      </c>
      <c r="B509" t="s">
        <v>2000</v>
      </c>
      <c r="C509" t="s">
        <v>1999</v>
      </c>
      <c r="D509" t="s">
        <v>2001</v>
      </c>
      <c r="E509" t="s">
        <v>229</v>
      </c>
      <c r="F509" t="s">
        <v>377</v>
      </c>
      <c r="G509" t="s">
        <v>479</v>
      </c>
      <c r="H509">
        <f t="shared" si="7"/>
        <v>1</v>
      </c>
      <c r="I509">
        <v>1</v>
      </c>
    </row>
    <row r="510" spans="1:9" ht="14.45" x14ac:dyDescent="0.25">
      <c r="A510" t="s">
        <v>2003</v>
      </c>
      <c r="B510" t="s">
        <v>2004</v>
      </c>
      <c r="C510" t="s">
        <v>2005</v>
      </c>
      <c r="D510" t="s">
        <v>2006</v>
      </c>
      <c r="E510" t="s">
        <v>785</v>
      </c>
      <c r="F510" t="s">
        <v>837</v>
      </c>
      <c r="G510" t="s">
        <v>1517</v>
      </c>
      <c r="H510">
        <f t="shared" si="7"/>
        <v>1</v>
      </c>
      <c r="I510">
        <v>1</v>
      </c>
    </row>
    <row r="511" spans="1:9" ht="14.45" x14ac:dyDescent="0.25">
      <c r="A511" t="s">
        <v>2007</v>
      </c>
      <c r="B511" t="s">
        <v>2008</v>
      </c>
      <c r="C511" t="s">
        <v>2009</v>
      </c>
      <c r="D511" t="s">
        <v>2010</v>
      </c>
      <c r="E511" t="s">
        <v>229</v>
      </c>
      <c r="F511" t="s">
        <v>377</v>
      </c>
      <c r="G511" t="s">
        <v>378</v>
      </c>
      <c r="H511">
        <f t="shared" si="7"/>
        <v>1</v>
      </c>
      <c r="I511">
        <v>1</v>
      </c>
    </row>
    <row r="512" spans="1:9" ht="14.45" x14ac:dyDescent="0.25">
      <c r="A512" t="s">
        <v>2011</v>
      </c>
      <c r="B512" t="s">
        <v>2012</v>
      </c>
      <c r="C512" t="s">
        <v>2013</v>
      </c>
      <c r="D512" t="s">
        <v>2014</v>
      </c>
      <c r="E512" t="s">
        <v>229</v>
      </c>
      <c r="F512" t="s">
        <v>377</v>
      </c>
      <c r="G512" t="s">
        <v>479</v>
      </c>
      <c r="H512">
        <f t="shared" si="7"/>
        <v>1</v>
      </c>
      <c r="I512">
        <v>1</v>
      </c>
    </row>
    <row r="513" spans="1:9" ht="14.45" x14ac:dyDescent="0.25">
      <c r="A513" t="s">
        <v>2015</v>
      </c>
      <c r="B513" t="s">
        <v>2016</v>
      </c>
      <c r="C513" t="s">
        <v>2017</v>
      </c>
      <c r="D513" t="s">
        <v>2018</v>
      </c>
      <c r="E513" t="s">
        <v>383</v>
      </c>
      <c r="F513" t="s">
        <v>384</v>
      </c>
      <c r="G513" t="s">
        <v>385</v>
      </c>
      <c r="H513">
        <f t="shared" si="7"/>
        <v>1</v>
      </c>
      <c r="I513">
        <v>1</v>
      </c>
    </row>
    <row r="514" spans="1:9" ht="14.45" x14ac:dyDescent="0.25">
      <c r="A514" t="s">
        <v>2019</v>
      </c>
      <c r="B514" t="s">
        <v>2020</v>
      </c>
      <c r="C514" t="s">
        <v>2021</v>
      </c>
      <c r="D514" t="s">
        <v>2022</v>
      </c>
      <c r="E514" t="s">
        <v>871</v>
      </c>
      <c r="F514" t="s">
        <v>837</v>
      </c>
      <c r="G514" t="s">
        <v>1517</v>
      </c>
      <c r="H514">
        <f t="shared" ref="H514:H577" si="8">COUNTIF(A:A,A514)</f>
        <v>1</v>
      </c>
      <c r="I514">
        <v>1</v>
      </c>
    </row>
    <row r="515" spans="1:9" ht="14.45" x14ac:dyDescent="0.25">
      <c r="A515" t="s">
        <v>2023</v>
      </c>
      <c r="B515" t="s">
        <v>2024</v>
      </c>
      <c r="C515" t="s">
        <v>2023</v>
      </c>
      <c r="D515" t="s">
        <v>2025</v>
      </c>
      <c r="E515" t="s">
        <v>871</v>
      </c>
      <c r="F515" t="s">
        <v>837</v>
      </c>
      <c r="G515" t="s">
        <v>1517</v>
      </c>
      <c r="H515">
        <f t="shared" si="8"/>
        <v>1</v>
      </c>
      <c r="I515">
        <v>1</v>
      </c>
    </row>
    <row r="516" spans="1:9" ht="14.45" x14ac:dyDescent="0.25">
      <c r="A516" t="s">
        <v>2026</v>
      </c>
      <c r="B516" t="s">
        <v>2027</v>
      </c>
      <c r="C516" t="s">
        <v>2028</v>
      </c>
      <c r="D516" t="s">
        <v>2029</v>
      </c>
      <c r="E516" t="s">
        <v>1090</v>
      </c>
      <c r="F516" t="s">
        <v>246</v>
      </c>
      <c r="G516" t="s">
        <v>1267</v>
      </c>
      <c r="H516">
        <f t="shared" si="8"/>
        <v>1</v>
      </c>
      <c r="I516">
        <v>1</v>
      </c>
    </row>
    <row r="517" spans="1:9" ht="14.45" x14ac:dyDescent="0.25">
      <c r="A517" t="s">
        <v>2030</v>
      </c>
      <c r="B517" t="s">
        <v>2031</v>
      </c>
      <c r="C517" t="s">
        <v>2030</v>
      </c>
      <c r="D517" t="s">
        <v>2032</v>
      </c>
      <c r="E517" t="s">
        <v>1090</v>
      </c>
      <c r="F517" t="s">
        <v>246</v>
      </c>
      <c r="G517" t="s">
        <v>1267</v>
      </c>
      <c r="H517">
        <f t="shared" si="8"/>
        <v>1</v>
      </c>
      <c r="I517">
        <v>1</v>
      </c>
    </row>
    <row r="518" spans="1:9" ht="14.45" x14ac:dyDescent="0.25">
      <c r="A518" t="s">
        <v>2033</v>
      </c>
      <c r="B518" t="s">
        <v>2031</v>
      </c>
      <c r="C518" t="s">
        <v>2030</v>
      </c>
      <c r="D518" t="s">
        <v>2032</v>
      </c>
      <c r="E518" t="s">
        <v>1090</v>
      </c>
      <c r="F518" t="s">
        <v>246</v>
      </c>
      <c r="G518" t="s">
        <v>1267</v>
      </c>
      <c r="H518">
        <f t="shared" si="8"/>
        <v>1</v>
      </c>
      <c r="I518">
        <v>1</v>
      </c>
    </row>
    <row r="519" spans="1:9" ht="14.45" x14ac:dyDescent="0.25">
      <c r="A519" t="s">
        <v>2034</v>
      </c>
      <c r="B519" t="s">
        <v>2035</v>
      </c>
      <c r="C519" t="s">
        <v>2036</v>
      </c>
      <c r="D519" t="s">
        <v>2037</v>
      </c>
      <c r="E519" t="s">
        <v>229</v>
      </c>
      <c r="F519" t="s">
        <v>377</v>
      </c>
      <c r="G519" t="s">
        <v>378</v>
      </c>
      <c r="H519">
        <f t="shared" si="8"/>
        <v>1</v>
      </c>
      <c r="I519">
        <v>1</v>
      </c>
    </row>
    <row r="520" spans="1:9" ht="14.45" x14ac:dyDescent="0.25">
      <c r="A520" t="s">
        <v>2038</v>
      </c>
      <c r="B520" t="s">
        <v>2039</v>
      </c>
      <c r="C520" t="s">
        <v>2040</v>
      </c>
      <c r="D520" t="s">
        <v>2041</v>
      </c>
      <c r="E520" t="s">
        <v>1090</v>
      </c>
      <c r="F520" t="s">
        <v>246</v>
      </c>
      <c r="G520" t="s">
        <v>1267</v>
      </c>
      <c r="H520">
        <f t="shared" si="8"/>
        <v>1</v>
      </c>
      <c r="I520">
        <v>1</v>
      </c>
    </row>
    <row r="521" spans="1:9" ht="14.45" x14ac:dyDescent="0.25">
      <c r="A521" t="s">
        <v>2042</v>
      </c>
      <c r="B521" t="s">
        <v>2043</v>
      </c>
      <c r="C521" t="s">
        <v>2044</v>
      </c>
      <c r="D521" t="s">
        <v>2045</v>
      </c>
      <c r="E521" t="s">
        <v>229</v>
      </c>
      <c r="F521" t="s">
        <v>377</v>
      </c>
      <c r="G521" t="s">
        <v>378</v>
      </c>
      <c r="H521">
        <f t="shared" si="8"/>
        <v>1</v>
      </c>
      <c r="I521">
        <v>1</v>
      </c>
    </row>
    <row r="522" spans="1:9" ht="14.45" x14ac:dyDescent="0.25">
      <c r="A522" t="s">
        <v>2046</v>
      </c>
      <c r="B522" t="s">
        <v>2047</v>
      </c>
      <c r="C522" t="s">
        <v>2048</v>
      </c>
      <c r="D522" t="s">
        <v>2049</v>
      </c>
      <c r="E522" t="s">
        <v>1090</v>
      </c>
      <c r="F522" t="s">
        <v>246</v>
      </c>
      <c r="G522" t="s">
        <v>780</v>
      </c>
      <c r="H522">
        <f t="shared" si="8"/>
        <v>1</v>
      </c>
      <c r="I522">
        <v>1</v>
      </c>
    </row>
    <row r="523" spans="1:9" ht="14.45" x14ac:dyDescent="0.25">
      <c r="A523" t="s">
        <v>2048</v>
      </c>
      <c r="B523" t="s">
        <v>2047</v>
      </c>
      <c r="C523" t="s">
        <v>2048</v>
      </c>
      <c r="D523" t="s">
        <v>2049</v>
      </c>
      <c r="E523" t="s">
        <v>1090</v>
      </c>
      <c r="F523" t="s">
        <v>246</v>
      </c>
      <c r="G523" t="s">
        <v>780</v>
      </c>
      <c r="H523">
        <f t="shared" si="8"/>
        <v>1</v>
      </c>
      <c r="I523">
        <v>1</v>
      </c>
    </row>
    <row r="524" spans="1:9" ht="14.45" x14ac:dyDescent="0.25">
      <c r="A524" t="s">
        <v>2050</v>
      </c>
      <c r="B524" t="s">
        <v>2051</v>
      </c>
      <c r="C524" t="s">
        <v>2052</v>
      </c>
      <c r="D524" t="s">
        <v>2053</v>
      </c>
      <c r="E524" t="s">
        <v>229</v>
      </c>
      <c r="F524" t="s">
        <v>377</v>
      </c>
      <c r="G524" t="s">
        <v>403</v>
      </c>
      <c r="H524">
        <f t="shared" si="8"/>
        <v>1</v>
      </c>
      <c r="I524">
        <v>1</v>
      </c>
    </row>
    <row r="525" spans="1:9" ht="14.45" x14ac:dyDescent="0.25">
      <c r="A525" t="s">
        <v>2054</v>
      </c>
      <c r="B525" t="s">
        <v>2055</v>
      </c>
      <c r="C525" t="s">
        <v>2056</v>
      </c>
      <c r="D525" t="s">
        <v>2057</v>
      </c>
      <c r="E525" t="s">
        <v>1090</v>
      </c>
      <c r="F525" t="s">
        <v>246</v>
      </c>
      <c r="G525" t="s">
        <v>1267</v>
      </c>
      <c r="H525">
        <f t="shared" si="8"/>
        <v>1</v>
      </c>
      <c r="I525">
        <v>1</v>
      </c>
    </row>
    <row r="526" spans="1:9" ht="14.45" x14ac:dyDescent="0.25">
      <c r="A526" t="s">
        <v>2058</v>
      </c>
      <c r="B526" t="s">
        <v>2059</v>
      </c>
      <c r="C526" t="s">
        <v>2060</v>
      </c>
      <c r="D526" t="s">
        <v>2061</v>
      </c>
      <c r="E526" t="s">
        <v>1090</v>
      </c>
      <c r="F526" t="s">
        <v>246</v>
      </c>
      <c r="G526" t="s">
        <v>247</v>
      </c>
      <c r="H526">
        <f t="shared" si="8"/>
        <v>1</v>
      </c>
      <c r="I526">
        <v>1</v>
      </c>
    </row>
    <row r="527" spans="1:9" ht="14.45" x14ac:dyDescent="0.25">
      <c r="A527" t="s">
        <v>2062</v>
      </c>
      <c r="B527" t="s">
        <v>2063</v>
      </c>
      <c r="C527" t="s">
        <v>2064</v>
      </c>
      <c r="D527" t="s">
        <v>2065</v>
      </c>
      <c r="E527" t="s">
        <v>785</v>
      </c>
      <c r="F527" t="s">
        <v>837</v>
      </c>
      <c r="G527" t="s">
        <v>1517</v>
      </c>
      <c r="H527">
        <f t="shared" si="8"/>
        <v>1</v>
      </c>
      <c r="I527">
        <v>1</v>
      </c>
    </row>
    <row r="528" spans="1:9" ht="14.45" x14ac:dyDescent="0.25">
      <c r="A528" t="s">
        <v>2066</v>
      </c>
      <c r="B528" t="s">
        <v>2067</v>
      </c>
      <c r="C528" t="s">
        <v>2066</v>
      </c>
      <c r="D528" t="s">
        <v>2066</v>
      </c>
      <c r="E528" t="s">
        <v>2066</v>
      </c>
      <c r="F528" t="s">
        <v>2066</v>
      </c>
      <c r="G528" t="s">
        <v>2066</v>
      </c>
      <c r="H528">
        <f t="shared" si="8"/>
        <v>1</v>
      </c>
      <c r="I528">
        <v>1</v>
      </c>
    </row>
    <row r="529" spans="1:9" ht="14.45" x14ac:dyDescent="0.25">
      <c r="A529" t="s">
        <v>2068</v>
      </c>
      <c r="B529" t="s">
        <v>2069</v>
      </c>
      <c r="C529" t="s">
        <v>2070</v>
      </c>
      <c r="D529" t="s">
        <v>2071</v>
      </c>
      <c r="E529" t="s">
        <v>13</v>
      </c>
      <c r="F529" t="s">
        <v>13</v>
      </c>
      <c r="G529" t="s">
        <v>13</v>
      </c>
      <c r="H529">
        <f t="shared" si="8"/>
        <v>1</v>
      </c>
    </row>
    <row r="530" spans="1:9" ht="14.45" x14ac:dyDescent="0.25">
      <c r="A530" t="s">
        <v>2072</v>
      </c>
      <c r="B530" t="s">
        <v>2073</v>
      </c>
      <c r="C530" t="s">
        <v>2074</v>
      </c>
      <c r="D530" t="s">
        <v>2075</v>
      </c>
      <c r="E530" t="s">
        <v>332</v>
      </c>
      <c r="F530" t="s">
        <v>332</v>
      </c>
      <c r="G530" t="s">
        <v>332</v>
      </c>
      <c r="H530">
        <f t="shared" si="8"/>
        <v>1</v>
      </c>
    </row>
    <row r="531" spans="1:9" ht="14.45" x14ac:dyDescent="0.25">
      <c r="A531" t="s">
        <v>2076</v>
      </c>
      <c r="B531" t="s">
        <v>2077</v>
      </c>
      <c r="C531" t="s">
        <v>2078</v>
      </c>
      <c r="D531" t="s">
        <v>2079</v>
      </c>
      <c r="E531" t="s">
        <v>332</v>
      </c>
      <c r="F531" t="s">
        <v>332</v>
      </c>
      <c r="G531" t="s">
        <v>332</v>
      </c>
      <c r="H531">
        <f t="shared" si="8"/>
        <v>1</v>
      </c>
    </row>
    <row r="532" spans="1:9" ht="14.45" x14ac:dyDescent="0.25">
      <c r="A532" t="s">
        <v>2080</v>
      </c>
      <c r="B532" t="s">
        <v>2081</v>
      </c>
      <c r="C532" t="s">
        <v>2082</v>
      </c>
      <c r="D532" t="s">
        <v>2083</v>
      </c>
      <c r="E532" t="s">
        <v>332</v>
      </c>
      <c r="F532" t="s">
        <v>332</v>
      </c>
      <c r="G532" t="s">
        <v>332</v>
      </c>
      <c r="H532">
        <f t="shared" si="8"/>
        <v>1</v>
      </c>
    </row>
    <row r="533" spans="1:9" ht="14.45" x14ac:dyDescent="0.25">
      <c r="A533" t="s">
        <v>2084</v>
      </c>
      <c r="B533" t="s">
        <v>2085</v>
      </c>
      <c r="C533" t="s">
        <v>2086</v>
      </c>
      <c r="D533" t="s">
        <v>2087</v>
      </c>
      <c r="E533" t="s">
        <v>18</v>
      </c>
      <c r="F533" t="s">
        <v>18</v>
      </c>
      <c r="G533" t="s">
        <v>18</v>
      </c>
      <c r="H533">
        <f t="shared" si="8"/>
        <v>1</v>
      </c>
      <c r="I533">
        <v>1</v>
      </c>
    </row>
    <row r="534" spans="1:9" ht="14.45" x14ac:dyDescent="0.25">
      <c r="A534" t="s">
        <v>2088</v>
      </c>
      <c r="B534" t="s">
        <v>2089</v>
      </c>
      <c r="C534" t="s">
        <v>2090</v>
      </c>
      <c r="D534" t="s">
        <v>2087</v>
      </c>
      <c r="E534" t="s">
        <v>18</v>
      </c>
      <c r="F534" t="s">
        <v>18</v>
      </c>
      <c r="G534" t="s">
        <v>18</v>
      </c>
      <c r="H534">
        <f t="shared" si="8"/>
        <v>1</v>
      </c>
      <c r="I534">
        <v>1</v>
      </c>
    </row>
    <row r="535" spans="1:9" ht="14.45" x14ac:dyDescent="0.25">
      <c r="A535" t="s">
        <v>2091</v>
      </c>
      <c r="B535" t="s">
        <v>2092</v>
      </c>
      <c r="C535" t="s">
        <v>2093</v>
      </c>
      <c r="D535" t="s">
        <v>2094</v>
      </c>
      <c r="E535" t="str">
        <f>G535</f>
        <v>Software</v>
      </c>
      <c r="F535" t="s">
        <v>626</v>
      </c>
      <c r="G535" t="s">
        <v>1771</v>
      </c>
      <c r="H535">
        <f t="shared" si="8"/>
        <v>1</v>
      </c>
    </row>
    <row r="536" spans="1:9" ht="14.45" x14ac:dyDescent="0.25">
      <c r="A536" t="s">
        <v>2095</v>
      </c>
      <c r="B536" t="s">
        <v>2096</v>
      </c>
      <c r="C536" t="s">
        <v>2097</v>
      </c>
      <c r="D536" t="s">
        <v>2098</v>
      </c>
      <c r="E536" t="s">
        <v>18</v>
      </c>
      <c r="F536" t="s">
        <v>18</v>
      </c>
      <c r="G536" t="s">
        <v>18</v>
      </c>
      <c r="H536">
        <f t="shared" si="8"/>
        <v>1</v>
      </c>
      <c r="I536">
        <v>1</v>
      </c>
    </row>
    <row r="537" spans="1:9" ht="14.45" x14ac:dyDescent="0.25">
      <c r="A537" t="s">
        <v>2099</v>
      </c>
      <c r="B537" t="s">
        <v>2100</v>
      </c>
      <c r="C537" t="s">
        <v>2101</v>
      </c>
      <c r="D537" t="s">
        <v>2098</v>
      </c>
      <c r="E537" t="s">
        <v>18</v>
      </c>
      <c r="F537" t="s">
        <v>18</v>
      </c>
      <c r="G537" t="s">
        <v>18</v>
      </c>
      <c r="H537">
        <f t="shared" si="8"/>
        <v>1</v>
      </c>
    </row>
    <row r="538" spans="1:9" ht="14.45" x14ac:dyDescent="0.25">
      <c r="A538" t="s">
        <v>2102</v>
      </c>
      <c r="B538" t="s">
        <v>2103</v>
      </c>
      <c r="C538" t="s">
        <v>2104</v>
      </c>
      <c r="D538" t="s">
        <v>2105</v>
      </c>
      <c r="E538" t="s">
        <v>18</v>
      </c>
      <c r="F538" t="s">
        <v>18</v>
      </c>
      <c r="G538" t="s">
        <v>18</v>
      </c>
      <c r="H538">
        <f t="shared" si="8"/>
        <v>1</v>
      </c>
      <c r="I538">
        <v>1</v>
      </c>
    </row>
    <row r="539" spans="1:9" ht="14.45" x14ac:dyDescent="0.25">
      <c r="A539" t="s">
        <v>2106</v>
      </c>
      <c r="B539" t="s">
        <v>2107</v>
      </c>
      <c r="C539" t="s">
        <v>2108</v>
      </c>
      <c r="D539" t="s">
        <v>2105</v>
      </c>
      <c r="E539" t="s">
        <v>18</v>
      </c>
      <c r="F539" t="s">
        <v>18</v>
      </c>
      <c r="G539" t="s">
        <v>18</v>
      </c>
      <c r="H539">
        <f t="shared" si="8"/>
        <v>1</v>
      </c>
    </row>
    <row r="540" spans="1:9" ht="14.45" x14ac:dyDescent="0.25">
      <c r="A540" t="s">
        <v>2109</v>
      </c>
      <c r="B540" t="s">
        <v>2110</v>
      </c>
      <c r="C540" t="s">
        <v>2111</v>
      </c>
      <c r="D540" t="s">
        <v>2112</v>
      </c>
      <c r="E540" t="s">
        <v>13</v>
      </c>
      <c r="F540" t="s">
        <v>13</v>
      </c>
      <c r="G540" t="s">
        <v>13</v>
      </c>
      <c r="H540">
        <f t="shared" si="8"/>
        <v>1</v>
      </c>
    </row>
    <row r="541" spans="1:9" ht="14.45" x14ac:dyDescent="0.25">
      <c r="A541" t="s">
        <v>2113</v>
      </c>
      <c r="B541" t="s">
        <v>2114</v>
      </c>
      <c r="C541" t="s">
        <v>2115</v>
      </c>
      <c r="D541" t="s">
        <v>2116</v>
      </c>
      <c r="E541" t="s">
        <v>13</v>
      </c>
      <c r="F541" t="s">
        <v>13</v>
      </c>
      <c r="G541" t="s">
        <v>13</v>
      </c>
      <c r="H541">
        <f t="shared" si="8"/>
        <v>1</v>
      </c>
    </row>
    <row r="542" spans="1:9" ht="14.45" x14ac:dyDescent="0.25">
      <c r="A542" t="s">
        <v>2117</v>
      </c>
      <c r="B542" t="s">
        <v>2118</v>
      </c>
      <c r="C542" t="s">
        <v>2119</v>
      </c>
      <c r="D542" t="s">
        <v>2120</v>
      </c>
      <c r="E542" t="str">
        <f t="shared" ref="E542:E544" si="9">G542</f>
        <v>Software</v>
      </c>
      <c r="F542" t="s">
        <v>626</v>
      </c>
      <c r="G542" t="s">
        <v>1771</v>
      </c>
      <c r="H542">
        <f t="shared" si="8"/>
        <v>1</v>
      </c>
      <c r="I542">
        <v>1</v>
      </c>
    </row>
    <row r="543" spans="1:9" ht="14.45" x14ac:dyDescent="0.25">
      <c r="A543" t="s">
        <v>2121</v>
      </c>
      <c r="B543" t="s">
        <v>2122</v>
      </c>
      <c r="C543" t="s">
        <v>2123</v>
      </c>
      <c r="D543" t="s">
        <v>2120</v>
      </c>
      <c r="E543" t="str">
        <f t="shared" si="9"/>
        <v>Software</v>
      </c>
      <c r="F543" t="s">
        <v>626</v>
      </c>
      <c r="G543" t="s">
        <v>1771</v>
      </c>
      <c r="H543">
        <f t="shared" si="8"/>
        <v>1</v>
      </c>
    </row>
    <row r="544" spans="1:9" ht="14.45" x14ac:dyDescent="0.25">
      <c r="A544" t="s">
        <v>2124</v>
      </c>
      <c r="B544" t="s">
        <v>2125</v>
      </c>
      <c r="C544" t="s">
        <v>2126</v>
      </c>
      <c r="D544" t="s">
        <v>2127</v>
      </c>
      <c r="E544" t="str">
        <f t="shared" si="9"/>
        <v>Software</v>
      </c>
      <c r="F544" t="s">
        <v>626</v>
      </c>
      <c r="G544" t="s">
        <v>1771</v>
      </c>
      <c r="H544">
        <f t="shared" si="8"/>
        <v>1</v>
      </c>
    </row>
    <row r="545" spans="1:9" ht="14.45" x14ac:dyDescent="0.25">
      <c r="A545" t="s">
        <v>2128</v>
      </c>
      <c r="B545" t="s">
        <v>2129</v>
      </c>
      <c r="C545" t="s">
        <v>2130</v>
      </c>
      <c r="D545" t="s">
        <v>2131</v>
      </c>
      <c r="E545" t="s">
        <v>18</v>
      </c>
      <c r="F545" t="s">
        <v>18</v>
      </c>
      <c r="G545" t="s">
        <v>18</v>
      </c>
      <c r="H545">
        <f t="shared" si="8"/>
        <v>1</v>
      </c>
      <c r="I545">
        <v>1</v>
      </c>
    </row>
    <row r="546" spans="1:9" ht="14.45" x14ac:dyDescent="0.25">
      <c r="A546" t="s">
        <v>2132</v>
      </c>
      <c r="B546" t="s">
        <v>2133</v>
      </c>
      <c r="C546" t="s">
        <v>2134</v>
      </c>
      <c r="D546" t="s">
        <v>2135</v>
      </c>
      <c r="E546" t="s">
        <v>13</v>
      </c>
      <c r="F546" t="s">
        <v>13</v>
      </c>
      <c r="G546" t="s">
        <v>13</v>
      </c>
      <c r="H546">
        <f t="shared" si="8"/>
        <v>1</v>
      </c>
    </row>
    <row r="547" spans="1:9" ht="14.45" x14ac:dyDescent="0.25">
      <c r="A547" t="s">
        <v>2136</v>
      </c>
      <c r="B547" t="s">
        <v>2137</v>
      </c>
      <c r="C547" t="s">
        <v>2136</v>
      </c>
      <c r="D547" t="s">
        <v>2138</v>
      </c>
      <c r="E547" t="s">
        <v>224</v>
      </c>
      <c r="F547" t="s">
        <v>224</v>
      </c>
      <c r="G547" t="s">
        <v>224</v>
      </c>
      <c r="H547">
        <f t="shared" si="8"/>
        <v>1</v>
      </c>
      <c r="I547">
        <v>1</v>
      </c>
    </row>
    <row r="548" spans="1:9" ht="14.45" x14ac:dyDescent="0.25">
      <c r="A548" t="s">
        <v>2139</v>
      </c>
      <c r="B548" t="s">
        <v>2140</v>
      </c>
      <c r="C548" t="s">
        <v>2141</v>
      </c>
      <c r="D548" t="s">
        <v>2142</v>
      </c>
      <c r="E548" t="s">
        <v>13</v>
      </c>
      <c r="F548" t="s">
        <v>13</v>
      </c>
      <c r="G548" t="s">
        <v>13</v>
      </c>
      <c r="H548">
        <f t="shared" si="8"/>
        <v>1</v>
      </c>
    </row>
    <row r="549" spans="1:9" ht="14.45" x14ac:dyDescent="0.25">
      <c r="A549" t="s">
        <v>2143</v>
      </c>
      <c r="B549" t="s">
        <v>2144</v>
      </c>
      <c r="C549" t="s">
        <v>2145</v>
      </c>
      <c r="D549" t="s">
        <v>2146</v>
      </c>
      <c r="E549" t="s">
        <v>871</v>
      </c>
      <c r="F549" t="s">
        <v>837</v>
      </c>
      <c r="G549" t="s">
        <v>1526</v>
      </c>
      <c r="H549">
        <f t="shared" si="8"/>
        <v>1</v>
      </c>
      <c r="I549">
        <v>1</v>
      </c>
    </row>
    <row r="550" spans="1:9" ht="14.45" x14ac:dyDescent="0.25">
      <c r="A550" t="s">
        <v>2147</v>
      </c>
      <c r="B550" t="s">
        <v>2148</v>
      </c>
      <c r="C550" t="s">
        <v>2149</v>
      </c>
      <c r="D550" t="s">
        <v>2150</v>
      </c>
      <c r="E550" t="s">
        <v>18</v>
      </c>
      <c r="F550" t="s">
        <v>18</v>
      </c>
      <c r="G550" t="s">
        <v>18</v>
      </c>
      <c r="H550">
        <f t="shared" si="8"/>
        <v>1</v>
      </c>
    </row>
    <row r="551" spans="1:9" ht="14.45" x14ac:dyDescent="0.25">
      <c r="A551" t="s">
        <v>2151</v>
      </c>
      <c r="B551" t="s">
        <v>2152</v>
      </c>
      <c r="C551" t="s">
        <v>2153</v>
      </c>
      <c r="D551" t="s">
        <v>2154</v>
      </c>
      <c r="E551" t="s">
        <v>229</v>
      </c>
      <c r="F551" t="s">
        <v>377</v>
      </c>
      <c r="G551" t="s">
        <v>479</v>
      </c>
      <c r="H551">
        <f t="shared" si="8"/>
        <v>1</v>
      </c>
      <c r="I551">
        <v>1</v>
      </c>
    </row>
    <row r="552" spans="1:9" ht="14.45" x14ac:dyDescent="0.25">
      <c r="A552" t="s">
        <v>2155</v>
      </c>
      <c r="B552" t="s">
        <v>2156</v>
      </c>
      <c r="C552" t="s">
        <v>2157</v>
      </c>
      <c r="D552" t="s">
        <v>2158</v>
      </c>
      <c r="E552" t="s">
        <v>13</v>
      </c>
      <c r="F552" t="s">
        <v>13</v>
      </c>
      <c r="G552" t="s">
        <v>13</v>
      </c>
      <c r="H552">
        <f t="shared" si="8"/>
        <v>1</v>
      </c>
    </row>
    <row r="553" spans="1:9" ht="14.45" x14ac:dyDescent="0.25">
      <c r="A553" t="s">
        <v>2159</v>
      </c>
      <c r="B553" t="s">
        <v>2160</v>
      </c>
      <c r="C553" t="s">
        <v>2161</v>
      </c>
      <c r="D553" t="s">
        <v>2162</v>
      </c>
      <c r="E553" t="s">
        <v>18</v>
      </c>
      <c r="F553" t="s">
        <v>18</v>
      </c>
      <c r="G553" t="s">
        <v>18</v>
      </c>
      <c r="H553">
        <f t="shared" si="8"/>
        <v>1</v>
      </c>
      <c r="I553">
        <v>1</v>
      </c>
    </row>
    <row r="554" spans="1:9" ht="14.45" x14ac:dyDescent="0.25">
      <c r="A554" t="s">
        <v>2163</v>
      </c>
      <c r="B554" t="s">
        <v>2164</v>
      </c>
      <c r="C554" t="s">
        <v>2165</v>
      </c>
      <c r="D554" t="s">
        <v>2162</v>
      </c>
      <c r="E554" t="s">
        <v>18</v>
      </c>
      <c r="F554" t="s">
        <v>18</v>
      </c>
      <c r="G554" t="s">
        <v>18</v>
      </c>
      <c r="H554">
        <f t="shared" si="8"/>
        <v>1</v>
      </c>
      <c r="I554">
        <v>1</v>
      </c>
    </row>
    <row r="555" spans="1:9" ht="14.45" x14ac:dyDescent="0.25">
      <c r="A555" t="s">
        <v>2166</v>
      </c>
      <c r="B555" t="s">
        <v>2167</v>
      </c>
      <c r="C555" t="s">
        <v>2168</v>
      </c>
      <c r="D555" t="s">
        <v>2169</v>
      </c>
      <c r="E555" t="s">
        <v>13</v>
      </c>
      <c r="F555" t="s">
        <v>13</v>
      </c>
      <c r="G555" t="s">
        <v>13</v>
      </c>
      <c r="H555">
        <f t="shared" si="8"/>
        <v>1</v>
      </c>
    </row>
    <row r="556" spans="1:9" ht="14.45" x14ac:dyDescent="0.25">
      <c r="A556" t="s">
        <v>2170</v>
      </c>
      <c r="B556" t="s">
        <v>2171</v>
      </c>
      <c r="C556" t="s">
        <v>2172</v>
      </c>
      <c r="D556" t="s">
        <v>2173</v>
      </c>
      <c r="E556" t="s">
        <v>13</v>
      </c>
      <c r="F556" t="s">
        <v>13</v>
      </c>
      <c r="G556" t="s">
        <v>13</v>
      </c>
      <c r="H556">
        <f t="shared" si="8"/>
        <v>1</v>
      </c>
    </row>
    <row r="557" spans="1:9" ht="14.45" x14ac:dyDescent="0.25">
      <c r="A557" t="s">
        <v>2174</v>
      </c>
      <c r="B557" t="s">
        <v>2175</v>
      </c>
      <c r="C557" t="s">
        <v>2176</v>
      </c>
      <c r="D557" t="s">
        <v>2177</v>
      </c>
      <c r="E557" t="s">
        <v>13</v>
      </c>
      <c r="F557" t="s">
        <v>13</v>
      </c>
      <c r="G557" t="s">
        <v>13</v>
      </c>
      <c r="H557">
        <f t="shared" si="8"/>
        <v>1</v>
      </c>
    </row>
    <row r="558" spans="1:9" ht="14.45" x14ac:dyDescent="0.25">
      <c r="A558" t="s">
        <v>2178</v>
      </c>
      <c r="B558" t="s">
        <v>2179</v>
      </c>
      <c r="C558" t="s">
        <v>2180</v>
      </c>
      <c r="D558" t="s">
        <v>2181</v>
      </c>
      <c r="E558" t="s">
        <v>383</v>
      </c>
      <c r="F558" t="s">
        <v>384</v>
      </c>
      <c r="G558" t="s">
        <v>385</v>
      </c>
      <c r="H558">
        <f t="shared" si="8"/>
        <v>1</v>
      </c>
      <c r="I558">
        <v>1</v>
      </c>
    </row>
    <row r="559" spans="1:9" ht="14.45" x14ac:dyDescent="0.25">
      <c r="A559" t="s">
        <v>2182</v>
      </c>
      <c r="B559" t="s">
        <v>2183</v>
      </c>
      <c r="C559" t="s">
        <v>2184</v>
      </c>
      <c r="D559" t="s">
        <v>2185</v>
      </c>
      <c r="E559" t="s">
        <v>229</v>
      </c>
      <c r="F559" t="s">
        <v>377</v>
      </c>
      <c r="G559" t="s">
        <v>686</v>
      </c>
      <c r="H559">
        <f t="shared" si="8"/>
        <v>1</v>
      </c>
      <c r="I559">
        <v>1</v>
      </c>
    </row>
    <row r="560" spans="1:9" ht="14.45" x14ac:dyDescent="0.25">
      <c r="A560" t="s">
        <v>2186</v>
      </c>
      <c r="B560" t="s">
        <v>2187</v>
      </c>
      <c r="C560" t="s">
        <v>2188</v>
      </c>
      <c r="D560" t="s">
        <v>2185</v>
      </c>
      <c r="E560" t="s">
        <v>18</v>
      </c>
      <c r="F560" t="s">
        <v>18</v>
      </c>
      <c r="G560" t="s">
        <v>18</v>
      </c>
      <c r="H560">
        <f t="shared" si="8"/>
        <v>1</v>
      </c>
      <c r="I560">
        <v>1</v>
      </c>
    </row>
    <row r="561" spans="1:9" ht="14.45" x14ac:dyDescent="0.25">
      <c r="A561" t="s">
        <v>2189</v>
      </c>
      <c r="B561" t="s">
        <v>2190</v>
      </c>
      <c r="C561" t="s">
        <v>2191</v>
      </c>
      <c r="D561" t="s">
        <v>2192</v>
      </c>
      <c r="E561" t="s">
        <v>13</v>
      </c>
      <c r="F561" t="s">
        <v>13</v>
      </c>
      <c r="G561" t="s">
        <v>13</v>
      </c>
      <c r="H561">
        <f t="shared" si="8"/>
        <v>1</v>
      </c>
    </row>
    <row r="562" spans="1:9" ht="14.45" x14ac:dyDescent="0.25">
      <c r="A562" t="s">
        <v>2193</v>
      </c>
      <c r="B562" t="s">
        <v>2194</v>
      </c>
      <c r="C562" t="s">
        <v>2195</v>
      </c>
      <c r="D562" t="s">
        <v>2196</v>
      </c>
      <c r="E562" t="s">
        <v>13</v>
      </c>
      <c r="F562" t="s">
        <v>13</v>
      </c>
      <c r="G562" t="s">
        <v>13</v>
      </c>
      <c r="H562">
        <f t="shared" si="8"/>
        <v>1</v>
      </c>
    </row>
    <row r="563" spans="1:9" ht="14.45" x14ac:dyDescent="0.25">
      <c r="A563" t="s">
        <v>2197</v>
      </c>
      <c r="B563" t="s">
        <v>2198</v>
      </c>
      <c r="C563" t="s">
        <v>2199</v>
      </c>
      <c r="D563" t="s">
        <v>2200</v>
      </c>
      <c r="E563" t="s">
        <v>229</v>
      </c>
      <c r="F563" t="s">
        <v>377</v>
      </c>
      <c r="G563" t="s">
        <v>479</v>
      </c>
      <c r="H563">
        <f t="shared" si="8"/>
        <v>1</v>
      </c>
      <c r="I563">
        <v>1</v>
      </c>
    </row>
    <row r="564" spans="1:9" ht="14.45" x14ac:dyDescent="0.25">
      <c r="A564" t="s">
        <v>2201</v>
      </c>
      <c r="B564" t="s">
        <v>2202</v>
      </c>
      <c r="C564" t="s">
        <v>2203</v>
      </c>
      <c r="D564" t="s">
        <v>2204</v>
      </c>
      <c r="E564" t="s">
        <v>224</v>
      </c>
      <c r="F564" t="s">
        <v>224</v>
      </c>
      <c r="G564" t="s">
        <v>224</v>
      </c>
      <c r="H564">
        <f t="shared" si="8"/>
        <v>1</v>
      </c>
      <c r="I564">
        <v>1</v>
      </c>
    </row>
    <row r="565" spans="1:9" ht="14.45" x14ac:dyDescent="0.25">
      <c r="A565" t="s">
        <v>2205</v>
      </c>
      <c r="B565" t="s">
        <v>2206</v>
      </c>
      <c r="C565" t="s">
        <v>2207</v>
      </c>
      <c r="D565" t="s">
        <v>2208</v>
      </c>
      <c r="E565" t="s">
        <v>224</v>
      </c>
      <c r="F565" t="s">
        <v>224</v>
      </c>
      <c r="G565" t="s">
        <v>224</v>
      </c>
      <c r="H565">
        <f t="shared" si="8"/>
        <v>1</v>
      </c>
      <c r="I565">
        <v>1</v>
      </c>
    </row>
    <row r="566" spans="1:9" ht="14.45" x14ac:dyDescent="0.25">
      <c r="A566" t="s">
        <v>2209</v>
      </c>
      <c r="B566" t="s">
        <v>2210</v>
      </c>
      <c r="C566" t="s">
        <v>2209</v>
      </c>
      <c r="D566" t="s">
        <v>2211</v>
      </c>
      <c r="E566" t="s">
        <v>224</v>
      </c>
      <c r="F566" t="s">
        <v>224</v>
      </c>
      <c r="G566" t="s">
        <v>224</v>
      </c>
      <c r="H566">
        <f t="shared" si="8"/>
        <v>1</v>
      </c>
      <c r="I566">
        <v>1</v>
      </c>
    </row>
    <row r="567" spans="1:9" ht="14.45" x14ac:dyDescent="0.25">
      <c r="A567" t="s">
        <v>2212</v>
      </c>
      <c r="B567" t="s">
        <v>2210</v>
      </c>
      <c r="C567" t="s">
        <v>2209</v>
      </c>
      <c r="D567" t="s">
        <v>2211</v>
      </c>
      <c r="E567" t="s">
        <v>224</v>
      </c>
      <c r="F567" t="s">
        <v>224</v>
      </c>
      <c r="G567" t="s">
        <v>224</v>
      </c>
      <c r="H567">
        <f t="shared" si="8"/>
        <v>1</v>
      </c>
      <c r="I567">
        <v>1</v>
      </c>
    </row>
    <row r="568" spans="1:9" ht="14.45" x14ac:dyDescent="0.25">
      <c r="A568" t="s">
        <v>2213</v>
      </c>
      <c r="B568" t="s">
        <v>2214</v>
      </c>
      <c r="C568" t="s">
        <v>2215</v>
      </c>
      <c r="D568" t="s">
        <v>2216</v>
      </c>
      <c r="E568" t="str">
        <f>G568</f>
        <v>Benfeitorias e outros</v>
      </c>
      <c r="F568" t="s">
        <v>626</v>
      </c>
      <c r="G568" t="s">
        <v>627</v>
      </c>
      <c r="H568">
        <f t="shared" si="8"/>
        <v>1</v>
      </c>
    </row>
    <row r="569" spans="1:9" ht="14.45" x14ac:dyDescent="0.25">
      <c r="A569" t="s">
        <v>2217</v>
      </c>
      <c r="B569" t="s">
        <v>2218</v>
      </c>
      <c r="C569" t="s">
        <v>2219</v>
      </c>
      <c r="D569" t="s">
        <v>2220</v>
      </c>
      <c r="E569" t="s">
        <v>478</v>
      </c>
      <c r="F569" t="s">
        <v>377</v>
      </c>
      <c r="G569" t="s">
        <v>479</v>
      </c>
      <c r="H569">
        <f t="shared" si="8"/>
        <v>1</v>
      </c>
      <c r="I569">
        <v>1</v>
      </c>
    </row>
    <row r="570" spans="1:9" ht="14.45" x14ac:dyDescent="0.25">
      <c r="A570" t="s">
        <v>2221</v>
      </c>
      <c r="B570" t="s">
        <v>2222</v>
      </c>
      <c r="C570" t="s">
        <v>2223</v>
      </c>
      <c r="D570" t="s">
        <v>2224</v>
      </c>
      <c r="E570" t="s">
        <v>18</v>
      </c>
      <c r="F570" t="s">
        <v>18</v>
      </c>
      <c r="G570" t="s">
        <v>18</v>
      </c>
      <c r="H570">
        <f t="shared" si="8"/>
        <v>1</v>
      </c>
      <c r="I570">
        <v>1</v>
      </c>
    </row>
    <row r="571" spans="1:9" ht="14.45" x14ac:dyDescent="0.25">
      <c r="A571" t="s">
        <v>2225</v>
      </c>
      <c r="B571" t="s">
        <v>2226</v>
      </c>
      <c r="C571" t="s">
        <v>2227</v>
      </c>
      <c r="D571" t="s">
        <v>2228</v>
      </c>
      <c r="E571" t="s">
        <v>892</v>
      </c>
      <c r="F571" t="s">
        <v>893</v>
      </c>
      <c r="G571" t="s">
        <v>892</v>
      </c>
      <c r="H571">
        <f t="shared" si="8"/>
        <v>1</v>
      </c>
      <c r="I571">
        <v>1</v>
      </c>
    </row>
    <row r="572" spans="1:9" ht="14.45" x14ac:dyDescent="0.25">
      <c r="A572" t="s">
        <v>2229</v>
      </c>
      <c r="B572" t="s">
        <v>2230</v>
      </c>
      <c r="C572" t="s">
        <v>2231</v>
      </c>
      <c r="D572" t="s">
        <v>2232</v>
      </c>
      <c r="E572" t="s">
        <v>892</v>
      </c>
      <c r="F572" t="s">
        <v>893</v>
      </c>
      <c r="G572" t="s">
        <v>892</v>
      </c>
      <c r="H572">
        <f t="shared" si="8"/>
        <v>1</v>
      </c>
      <c r="I572">
        <v>1</v>
      </c>
    </row>
    <row r="573" spans="1:9" ht="14.45" x14ac:dyDescent="0.25">
      <c r="A573" t="s">
        <v>2233</v>
      </c>
      <c r="B573" t="s">
        <v>2234</v>
      </c>
      <c r="C573" t="s">
        <v>2235</v>
      </c>
      <c r="D573" t="s">
        <v>2236</v>
      </c>
      <c r="E573" t="s">
        <v>682</v>
      </c>
      <c r="F573" t="s">
        <v>377</v>
      </c>
      <c r="G573" t="s">
        <v>479</v>
      </c>
      <c r="H573">
        <f t="shared" si="8"/>
        <v>1</v>
      </c>
      <c r="I573">
        <v>1</v>
      </c>
    </row>
    <row r="574" spans="1:9" ht="14.45" x14ac:dyDescent="0.25">
      <c r="A574" t="s">
        <v>2237</v>
      </c>
      <c r="B574" t="s">
        <v>2238</v>
      </c>
      <c r="C574" t="s">
        <v>2239</v>
      </c>
      <c r="D574" t="s">
        <v>2240</v>
      </c>
      <c r="E574" t="s">
        <v>18</v>
      </c>
      <c r="F574" t="s">
        <v>18</v>
      </c>
      <c r="G574" t="s">
        <v>18</v>
      </c>
      <c r="H574">
        <f t="shared" si="8"/>
        <v>1</v>
      </c>
    </row>
    <row r="575" spans="1:9" ht="14.45" x14ac:dyDescent="0.25">
      <c r="A575" t="s">
        <v>2241</v>
      </c>
      <c r="B575" t="s">
        <v>2242</v>
      </c>
      <c r="C575" t="s">
        <v>2243</v>
      </c>
      <c r="D575" t="s">
        <v>2240</v>
      </c>
      <c r="E575" t="s">
        <v>18</v>
      </c>
      <c r="F575" t="s">
        <v>18</v>
      </c>
      <c r="G575" t="s">
        <v>18</v>
      </c>
      <c r="H575">
        <f t="shared" si="8"/>
        <v>1</v>
      </c>
    </row>
    <row r="576" spans="1:9" ht="14.45" x14ac:dyDescent="0.25">
      <c r="A576" t="s">
        <v>2244</v>
      </c>
      <c r="B576" t="s">
        <v>2245</v>
      </c>
      <c r="C576" t="s">
        <v>2246</v>
      </c>
      <c r="D576" t="s">
        <v>1854</v>
      </c>
      <c r="E576" t="s">
        <v>18</v>
      </c>
      <c r="F576" t="s">
        <v>18</v>
      </c>
      <c r="G576" t="s">
        <v>18</v>
      </c>
      <c r="H576">
        <f t="shared" si="8"/>
        <v>1</v>
      </c>
    </row>
    <row r="577" spans="1:9" ht="14.45" x14ac:dyDescent="0.25">
      <c r="A577" t="s">
        <v>2247</v>
      </c>
      <c r="B577" t="s">
        <v>2248</v>
      </c>
      <c r="C577" t="s">
        <v>2249</v>
      </c>
      <c r="D577" t="s">
        <v>2250</v>
      </c>
      <c r="E577" t="s">
        <v>18</v>
      </c>
      <c r="F577" t="s">
        <v>18</v>
      </c>
      <c r="G577" t="s">
        <v>18</v>
      </c>
      <c r="H577">
        <f t="shared" si="8"/>
        <v>1</v>
      </c>
    </row>
    <row r="578" spans="1:9" ht="14.45" x14ac:dyDescent="0.25">
      <c r="A578" t="s">
        <v>2251</v>
      </c>
      <c r="B578" t="s">
        <v>2252</v>
      </c>
      <c r="C578" t="s">
        <v>2253</v>
      </c>
      <c r="D578" t="s">
        <v>2254</v>
      </c>
      <c r="E578" t="s">
        <v>18</v>
      </c>
      <c r="F578" t="s">
        <v>18</v>
      </c>
      <c r="G578" t="s">
        <v>18</v>
      </c>
      <c r="H578">
        <f t="shared" ref="H578:H621" si="10">COUNTIF(A:A,A578)</f>
        <v>1</v>
      </c>
    </row>
    <row r="579" spans="1:9" ht="14.45" x14ac:dyDescent="0.25">
      <c r="A579" t="s">
        <v>2255</v>
      </c>
      <c r="B579" t="s">
        <v>2256</v>
      </c>
      <c r="C579" t="s">
        <v>2257</v>
      </c>
      <c r="D579" t="s">
        <v>2258</v>
      </c>
      <c r="E579" t="s">
        <v>18</v>
      </c>
      <c r="F579" t="s">
        <v>18</v>
      </c>
      <c r="G579" t="s">
        <v>18</v>
      </c>
      <c r="H579">
        <f t="shared" si="10"/>
        <v>1</v>
      </c>
    </row>
    <row r="580" spans="1:9" ht="14.45" x14ac:dyDescent="0.25">
      <c r="A580" t="s">
        <v>2259</v>
      </c>
      <c r="B580" t="s">
        <v>2260</v>
      </c>
      <c r="C580" t="s">
        <v>2261</v>
      </c>
      <c r="D580" t="s">
        <v>2258</v>
      </c>
      <c r="E580" t="s">
        <v>18</v>
      </c>
      <c r="F580" t="s">
        <v>18</v>
      </c>
      <c r="G580" t="s">
        <v>18</v>
      </c>
      <c r="H580">
        <f t="shared" si="10"/>
        <v>1</v>
      </c>
    </row>
    <row r="581" spans="1:9" ht="14.45" x14ac:dyDescent="0.25">
      <c r="A581" t="s">
        <v>2262</v>
      </c>
      <c r="B581" t="s">
        <v>2263</v>
      </c>
      <c r="C581" t="s">
        <v>2264</v>
      </c>
      <c r="D581" t="s">
        <v>2265</v>
      </c>
      <c r="E581" t="s">
        <v>18</v>
      </c>
      <c r="F581" t="s">
        <v>18</v>
      </c>
      <c r="G581" t="s">
        <v>18</v>
      </c>
      <c r="H581">
        <f t="shared" si="10"/>
        <v>1</v>
      </c>
    </row>
    <row r="582" spans="1:9" ht="14.45" x14ac:dyDescent="0.25">
      <c r="A582" t="s">
        <v>2266</v>
      </c>
      <c r="B582" t="s">
        <v>2267</v>
      </c>
      <c r="C582" t="s">
        <v>2268</v>
      </c>
      <c r="D582" t="s">
        <v>2269</v>
      </c>
      <c r="E582" t="s">
        <v>219</v>
      </c>
      <c r="F582" t="s">
        <v>156</v>
      </c>
      <c r="G582" t="s">
        <v>229</v>
      </c>
      <c r="H582">
        <f t="shared" si="10"/>
        <v>1</v>
      </c>
    </row>
    <row r="583" spans="1:9" ht="14.45" x14ac:dyDescent="0.25">
      <c r="A583" t="s">
        <v>2270</v>
      </c>
      <c r="B583" t="s">
        <v>2271</v>
      </c>
      <c r="C583" t="s">
        <v>2272</v>
      </c>
      <c r="D583" t="s">
        <v>241</v>
      </c>
      <c r="E583" t="s">
        <v>18</v>
      </c>
      <c r="F583" t="s">
        <v>18</v>
      </c>
      <c r="G583" t="s">
        <v>18</v>
      </c>
      <c r="H583">
        <f t="shared" si="10"/>
        <v>1</v>
      </c>
    </row>
    <row r="584" spans="1:9" ht="14.45" x14ac:dyDescent="0.25">
      <c r="A584" t="s">
        <v>2273</v>
      </c>
      <c r="B584" t="s">
        <v>2274</v>
      </c>
      <c r="C584" t="s">
        <v>2275</v>
      </c>
      <c r="D584" t="s">
        <v>2276</v>
      </c>
      <c r="E584" t="s">
        <v>224</v>
      </c>
      <c r="F584" t="s">
        <v>224</v>
      </c>
      <c r="G584" t="s">
        <v>224</v>
      </c>
      <c r="H584">
        <f t="shared" si="10"/>
        <v>1</v>
      </c>
      <c r="I584">
        <v>1</v>
      </c>
    </row>
    <row r="585" spans="1:9" ht="14.45" x14ac:dyDescent="0.25">
      <c r="A585" t="s">
        <v>2277</v>
      </c>
      <c r="B585" t="s">
        <v>2278</v>
      </c>
      <c r="C585" t="s">
        <v>2279</v>
      </c>
      <c r="D585" t="s">
        <v>2280</v>
      </c>
      <c r="E585" t="s">
        <v>18</v>
      </c>
      <c r="F585" t="s">
        <v>18</v>
      </c>
      <c r="G585" t="s">
        <v>18</v>
      </c>
      <c r="H585">
        <f t="shared" si="10"/>
        <v>1</v>
      </c>
    </row>
    <row r="586" spans="1:9" ht="14.45" x14ac:dyDescent="0.25">
      <c r="A586" t="s">
        <v>2281</v>
      </c>
      <c r="B586" t="s">
        <v>2282</v>
      </c>
      <c r="C586" t="s">
        <v>2283</v>
      </c>
      <c r="D586" t="s">
        <v>2284</v>
      </c>
      <c r="E586" t="s">
        <v>18</v>
      </c>
      <c r="F586" t="s">
        <v>18</v>
      </c>
      <c r="G586" t="s">
        <v>18</v>
      </c>
      <c r="H586">
        <f t="shared" si="10"/>
        <v>1</v>
      </c>
    </row>
    <row r="587" spans="1:9" ht="14.45" x14ac:dyDescent="0.25">
      <c r="A587" t="s">
        <v>2285</v>
      </c>
      <c r="B587" t="s">
        <v>2286</v>
      </c>
      <c r="C587" t="s">
        <v>2287</v>
      </c>
      <c r="D587" t="s">
        <v>2288</v>
      </c>
      <c r="E587" t="s">
        <v>18</v>
      </c>
      <c r="F587" t="s">
        <v>18</v>
      </c>
      <c r="G587" t="s">
        <v>18</v>
      </c>
      <c r="H587">
        <f t="shared" si="10"/>
        <v>1</v>
      </c>
    </row>
    <row r="588" spans="1:9" ht="14.45" x14ac:dyDescent="0.25">
      <c r="A588" t="s">
        <v>2289</v>
      </c>
      <c r="B588" t="str">
        <f>"'"&amp;C588</f>
        <v>'4703013006</v>
      </c>
      <c r="C588" t="str">
        <f t="shared" ref="C588:C636" si="11">SUBSTITUTE($A588,".","")</f>
        <v>4703013006</v>
      </c>
      <c r="D588" t="s">
        <v>1433</v>
      </c>
      <c r="E588" t="s">
        <v>229</v>
      </c>
      <c r="F588" t="s">
        <v>377</v>
      </c>
      <c r="G588" t="s">
        <v>479</v>
      </c>
      <c r="H588">
        <f t="shared" si="10"/>
        <v>1</v>
      </c>
    </row>
    <row r="589" spans="1:9" ht="14.45" x14ac:dyDescent="0.25">
      <c r="A589" t="s">
        <v>2290</v>
      </c>
      <c r="B589" t="str">
        <f t="shared" ref="B589:B593" si="12">"'"&amp;C589</f>
        <v>'31010050160002</v>
      </c>
      <c r="C589" t="str">
        <f t="shared" si="11"/>
        <v>31010050160002</v>
      </c>
      <c r="D589" t="s">
        <v>2291</v>
      </c>
      <c r="E589" t="s">
        <v>18</v>
      </c>
      <c r="F589" t="s">
        <v>18</v>
      </c>
      <c r="G589" t="s">
        <v>18</v>
      </c>
      <c r="H589">
        <f t="shared" si="10"/>
        <v>1</v>
      </c>
    </row>
    <row r="590" spans="1:9" ht="14.45" x14ac:dyDescent="0.25">
      <c r="A590" t="s">
        <v>2292</v>
      </c>
      <c r="B590" t="str">
        <f t="shared" si="12"/>
        <v>'31010050080003</v>
      </c>
      <c r="C590" t="str">
        <f t="shared" si="11"/>
        <v>31010050080003</v>
      </c>
      <c r="D590" t="s">
        <v>729</v>
      </c>
      <c r="E590" t="s">
        <v>18</v>
      </c>
      <c r="F590" t="s">
        <v>18</v>
      </c>
      <c r="G590" t="s">
        <v>18</v>
      </c>
      <c r="H590">
        <f t="shared" si="10"/>
        <v>1</v>
      </c>
    </row>
    <row r="591" spans="1:9" ht="14.45" x14ac:dyDescent="0.25">
      <c r="A591" t="s">
        <v>2293</v>
      </c>
      <c r="B591" t="str">
        <f t="shared" si="12"/>
        <v>'31010050140001</v>
      </c>
      <c r="C591" t="str">
        <f t="shared" si="11"/>
        <v>31010050140001</v>
      </c>
      <c r="D591" t="s">
        <v>2294</v>
      </c>
      <c r="E591" t="s">
        <v>18</v>
      </c>
      <c r="F591" t="s">
        <v>18</v>
      </c>
      <c r="G591" t="s">
        <v>18</v>
      </c>
      <c r="H591">
        <f t="shared" si="10"/>
        <v>1</v>
      </c>
    </row>
    <row r="592" spans="1:9" ht="14.45" x14ac:dyDescent="0.25">
      <c r="A592" t="s">
        <v>2295</v>
      </c>
      <c r="B592" t="str">
        <f t="shared" si="12"/>
        <v>'31010050120002</v>
      </c>
      <c r="C592" t="str">
        <f t="shared" si="11"/>
        <v>31010050120002</v>
      </c>
      <c r="D592" t="s">
        <v>305</v>
      </c>
      <c r="E592" t="s">
        <v>18</v>
      </c>
      <c r="F592" t="s">
        <v>18</v>
      </c>
      <c r="G592" t="s">
        <v>18</v>
      </c>
      <c r="H592">
        <f t="shared" si="10"/>
        <v>1</v>
      </c>
    </row>
    <row r="593" spans="1:8" ht="14.45" x14ac:dyDescent="0.25">
      <c r="A593" t="s">
        <v>2296</v>
      </c>
      <c r="B593" s="2" t="str">
        <f t="shared" si="12"/>
        <v>'3101005016</v>
      </c>
      <c r="C593" s="2" t="str">
        <f t="shared" si="11"/>
        <v>3101005016</v>
      </c>
      <c r="D593" t="s">
        <v>275</v>
      </c>
      <c r="E593" t="s">
        <v>18</v>
      </c>
      <c r="F593" t="s">
        <v>18</v>
      </c>
      <c r="G593" t="s">
        <v>18</v>
      </c>
      <c r="H593">
        <f t="shared" si="10"/>
        <v>1</v>
      </c>
    </row>
    <row r="594" spans="1:8" ht="14.45" x14ac:dyDescent="0.25">
      <c r="A594" t="s">
        <v>2297</v>
      </c>
      <c r="B594" s="2" t="str">
        <f t="shared" ref="B594" si="13">"'"&amp;C594</f>
        <v>'31010050140002</v>
      </c>
      <c r="C594" s="2" t="str">
        <f t="shared" si="11"/>
        <v>31010050140002</v>
      </c>
      <c r="D594" t="s">
        <v>2298</v>
      </c>
      <c r="E594" t="s">
        <v>18</v>
      </c>
      <c r="F594" t="s">
        <v>18</v>
      </c>
      <c r="G594" t="s">
        <v>18</v>
      </c>
      <c r="H594">
        <f t="shared" si="10"/>
        <v>1</v>
      </c>
    </row>
    <row r="595" spans="1:8" ht="14.45" x14ac:dyDescent="0.25">
      <c r="A595" t="s">
        <v>2299</v>
      </c>
      <c r="B595" s="2" t="str">
        <f t="shared" ref="B595:B596" si="14">"'"&amp;C595</f>
        <v>'4703002017</v>
      </c>
      <c r="C595" s="2" t="str">
        <f t="shared" si="11"/>
        <v>4703002017</v>
      </c>
      <c r="D595" t="s">
        <v>2301</v>
      </c>
      <c r="E595" t="s">
        <v>785</v>
      </c>
      <c r="F595" t="s">
        <v>837</v>
      </c>
      <c r="G595" t="s">
        <v>1517</v>
      </c>
      <c r="H595">
        <f t="shared" si="10"/>
        <v>1</v>
      </c>
    </row>
    <row r="596" spans="1:8" ht="14.45" x14ac:dyDescent="0.25">
      <c r="A596" t="s">
        <v>2300</v>
      </c>
      <c r="B596" s="2" t="str">
        <f t="shared" si="14"/>
        <v>'31010070060002</v>
      </c>
      <c r="C596" s="2" t="str">
        <f t="shared" si="11"/>
        <v>31010070060002</v>
      </c>
      <c r="D596" t="s">
        <v>2302</v>
      </c>
      <c r="E596" t="s">
        <v>18</v>
      </c>
      <c r="F596" t="s">
        <v>18</v>
      </c>
      <c r="G596" t="s">
        <v>18</v>
      </c>
      <c r="H596">
        <f t="shared" si="10"/>
        <v>1</v>
      </c>
    </row>
    <row r="597" spans="1:8" ht="14.45" x14ac:dyDescent="0.25">
      <c r="A597" t="s">
        <v>2303</v>
      </c>
      <c r="B597" s="2" t="str">
        <f t="shared" ref="B597:B601" si="15">"'"&amp;C597</f>
        <v>'4710002015</v>
      </c>
      <c r="C597" s="2" t="str">
        <f t="shared" si="11"/>
        <v>4710002015</v>
      </c>
      <c r="D597" t="s">
        <v>2304</v>
      </c>
      <c r="E597" t="s">
        <v>224</v>
      </c>
      <c r="F597" t="s">
        <v>224</v>
      </c>
      <c r="G597" t="s">
        <v>224</v>
      </c>
      <c r="H597">
        <f t="shared" si="10"/>
        <v>1</v>
      </c>
    </row>
    <row r="598" spans="1:8" ht="14.45" x14ac:dyDescent="0.25">
      <c r="A598" t="s">
        <v>2305</v>
      </c>
      <c r="B598" s="2" t="str">
        <f t="shared" si="15"/>
        <v>'4703015017</v>
      </c>
      <c r="C598" s="2" t="str">
        <f t="shared" si="11"/>
        <v>4703015017</v>
      </c>
      <c r="D598" t="s">
        <v>2306</v>
      </c>
      <c r="E598" t="s">
        <v>229</v>
      </c>
      <c r="F598" t="s">
        <v>246</v>
      </c>
      <c r="G598" t="s">
        <v>247</v>
      </c>
      <c r="H598">
        <f t="shared" si="10"/>
        <v>1</v>
      </c>
    </row>
    <row r="599" spans="1:8" ht="14.45" x14ac:dyDescent="0.25">
      <c r="A599" t="s">
        <v>2307</v>
      </c>
      <c r="B599" s="2" t="str">
        <f t="shared" si="15"/>
        <v>'4710001007</v>
      </c>
      <c r="C599" s="2" t="str">
        <f t="shared" si="11"/>
        <v>4710001007</v>
      </c>
      <c r="D599" t="s">
        <v>2308</v>
      </c>
      <c r="E599" t="s">
        <v>224</v>
      </c>
      <c r="F599" t="s">
        <v>224</v>
      </c>
      <c r="G599" t="s">
        <v>224</v>
      </c>
      <c r="H599">
        <f t="shared" si="10"/>
        <v>1</v>
      </c>
    </row>
    <row r="600" spans="1:8" ht="14.45" x14ac:dyDescent="0.25">
      <c r="A600" t="s">
        <v>2309</v>
      </c>
      <c r="B600" s="2" t="str">
        <f t="shared" si="15"/>
        <v>'4703015019</v>
      </c>
      <c r="C600" s="2" t="str">
        <f t="shared" si="11"/>
        <v>4703015019</v>
      </c>
      <c r="D600" t="s">
        <v>2310</v>
      </c>
      <c r="E600" t="s">
        <v>229</v>
      </c>
      <c r="F600" t="s">
        <v>246</v>
      </c>
      <c r="G600" t="s">
        <v>247</v>
      </c>
      <c r="H600">
        <f t="shared" si="10"/>
        <v>1</v>
      </c>
    </row>
    <row r="601" spans="1:8" ht="14.45" x14ac:dyDescent="0.25">
      <c r="A601" s="3" t="s">
        <v>2311</v>
      </c>
      <c r="B601" s="3" t="str">
        <f t="shared" si="15"/>
        <v>'31010050040004</v>
      </c>
      <c r="C601" s="3" t="str">
        <f t="shared" si="11"/>
        <v>31010050040004</v>
      </c>
      <c r="D601" s="3" t="s">
        <v>2312</v>
      </c>
      <c r="E601" s="3" t="s">
        <v>18</v>
      </c>
      <c r="F601" s="3" t="s">
        <v>18</v>
      </c>
      <c r="G601" s="3" t="s">
        <v>18</v>
      </c>
      <c r="H601" s="3">
        <f t="shared" si="10"/>
        <v>1</v>
      </c>
    </row>
    <row r="602" spans="1:8" ht="14.45" x14ac:dyDescent="0.25">
      <c r="A602" s="3" t="s">
        <v>2313</v>
      </c>
      <c r="B602" s="3" t="str">
        <f t="shared" ref="B602:B606" si="16">"'"&amp;C602</f>
        <v>'5101001112</v>
      </c>
      <c r="C602" s="3" t="str">
        <f t="shared" si="11"/>
        <v>5101001112</v>
      </c>
      <c r="D602" s="3" t="s">
        <v>2314</v>
      </c>
      <c r="E602" s="3" t="s">
        <v>892</v>
      </c>
      <c r="F602" s="3" t="s">
        <v>893</v>
      </c>
      <c r="G602" s="3" t="s">
        <v>892</v>
      </c>
      <c r="H602" s="3">
        <f t="shared" si="10"/>
        <v>1</v>
      </c>
    </row>
    <row r="603" spans="1:8" ht="14.45" x14ac:dyDescent="0.25">
      <c r="A603" s="3" t="s">
        <v>2315</v>
      </c>
      <c r="B603" s="3" t="str">
        <f t="shared" si="16"/>
        <v>'5101001114</v>
      </c>
      <c r="C603" s="3" t="str">
        <f t="shared" si="11"/>
        <v>5101001114</v>
      </c>
      <c r="D603" s="3" t="s">
        <v>2314</v>
      </c>
      <c r="E603" s="3" t="s">
        <v>892</v>
      </c>
      <c r="F603" s="3" t="s">
        <v>893</v>
      </c>
      <c r="G603" s="3" t="s">
        <v>892</v>
      </c>
      <c r="H603" s="3">
        <f t="shared" si="10"/>
        <v>1</v>
      </c>
    </row>
    <row r="604" spans="1:8" ht="14.45" x14ac:dyDescent="0.25">
      <c r="A604" s="3" t="s">
        <v>2316</v>
      </c>
      <c r="B604" s="3" t="str">
        <f t="shared" si="16"/>
        <v>'5101001116</v>
      </c>
      <c r="C604" s="3" t="str">
        <f t="shared" si="11"/>
        <v>5101001116</v>
      </c>
      <c r="D604" s="3" t="s">
        <v>2317</v>
      </c>
      <c r="E604" s="3" t="s">
        <v>892</v>
      </c>
      <c r="F604" s="3" t="s">
        <v>893</v>
      </c>
      <c r="G604" s="3" t="s">
        <v>892</v>
      </c>
      <c r="H604" s="3">
        <f t="shared" si="10"/>
        <v>1</v>
      </c>
    </row>
    <row r="605" spans="1:8" ht="14.45" x14ac:dyDescent="0.25">
      <c r="A605" s="3" t="s">
        <v>2318</v>
      </c>
      <c r="B605" s="3" t="str">
        <f t="shared" si="16"/>
        <v>'5101001117</v>
      </c>
      <c r="C605" s="3" t="str">
        <f t="shared" si="11"/>
        <v>5101001117</v>
      </c>
      <c r="D605" s="3" t="s">
        <v>2319</v>
      </c>
      <c r="E605" s="3" t="s">
        <v>892</v>
      </c>
      <c r="F605" s="3" t="s">
        <v>893</v>
      </c>
      <c r="G605" s="3" t="s">
        <v>892</v>
      </c>
      <c r="H605" s="3">
        <f t="shared" si="10"/>
        <v>1</v>
      </c>
    </row>
    <row r="606" spans="1:8" ht="14.45" x14ac:dyDescent="0.25">
      <c r="A606" s="3" t="s">
        <v>2320</v>
      </c>
      <c r="B606" s="3" t="str">
        <f t="shared" si="16"/>
        <v>'5101001119</v>
      </c>
      <c r="C606" s="3" t="str">
        <f t="shared" si="11"/>
        <v>5101001119</v>
      </c>
      <c r="D606" s="3" t="s">
        <v>2319</v>
      </c>
      <c r="E606" s="3" t="s">
        <v>892</v>
      </c>
      <c r="F606" s="3" t="s">
        <v>893</v>
      </c>
      <c r="G606" s="3" t="s">
        <v>892</v>
      </c>
      <c r="H606" s="3">
        <f t="shared" si="10"/>
        <v>1</v>
      </c>
    </row>
    <row r="607" spans="1:8" ht="14.45" x14ac:dyDescent="0.25">
      <c r="A607" s="3" t="s">
        <v>2321</v>
      </c>
      <c r="B607" s="3" t="str">
        <f t="shared" ref="B607:B608" si="17">"'"&amp;C607</f>
        <v>'5101001120</v>
      </c>
      <c r="C607" s="3" t="str">
        <f t="shared" si="11"/>
        <v>5101001120</v>
      </c>
      <c r="D607" s="3" t="s">
        <v>2322</v>
      </c>
      <c r="E607" s="3" t="s">
        <v>892</v>
      </c>
      <c r="F607" s="3" t="s">
        <v>893</v>
      </c>
      <c r="G607" s="3" t="s">
        <v>892</v>
      </c>
      <c r="H607" s="3">
        <f t="shared" si="10"/>
        <v>1</v>
      </c>
    </row>
    <row r="608" spans="1:8" ht="14.45" x14ac:dyDescent="0.25">
      <c r="A608" s="3" t="s">
        <v>2323</v>
      </c>
      <c r="B608" s="3" t="str">
        <f t="shared" si="17"/>
        <v>'5101001121</v>
      </c>
      <c r="C608" s="3" t="str">
        <f t="shared" si="11"/>
        <v>5101001121</v>
      </c>
      <c r="D608" s="3" t="s">
        <v>2324</v>
      </c>
      <c r="E608" s="3" t="s">
        <v>892</v>
      </c>
      <c r="F608" s="3" t="s">
        <v>893</v>
      </c>
      <c r="G608" s="3" t="s">
        <v>892</v>
      </c>
      <c r="H608" s="3">
        <f t="shared" si="10"/>
        <v>1</v>
      </c>
    </row>
    <row r="609" spans="1:8" ht="14.45" x14ac:dyDescent="0.25">
      <c r="A609" s="3" t="s">
        <v>2325</v>
      </c>
      <c r="B609" s="3" t="str">
        <f t="shared" ref="B609:B618" si="18">"'"&amp;C609</f>
        <v>'51010010040010</v>
      </c>
      <c r="C609" s="3" t="str">
        <f t="shared" si="11"/>
        <v>51010010040010</v>
      </c>
      <c r="D609" s="3" t="s">
        <v>2317</v>
      </c>
      <c r="E609" s="3" t="s">
        <v>892</v>
      </c>
      <c r="F609" s="3" t="s">
        <v>893</v>
      </c>
      <c r="G609" s="3" t="s">
        <v>892</v>
      </c>
      <c r="H609" s="3">
        <f t="shared" si="10"/>
        <v>1</v>
      </c>
    </row>
    <row r="610" spans="1:8" ht="14.45" x14ac:dyDescent="0.25">
      <c r="A610" s="3" t="s">
        <v>2327</v>
      </c>
      <c r="B610" s="3" t="str">
        <f t="shared" si="18"/>
        <v>'4710001008</v>
      </c>
      <c r="C610" s="3" t="str">
        <f t="shared" si="11"/>
        <v>4710001008</v>
      </c>
      <c r="D610" s="3" t="s">
        <v>2328</v>
      </c>
      <c r="E610" s="3" t="s">
        <v>224</v>
      </c>
      <c r="F610" s="3" t="s">
        <v>224</v>
      </c>
      <c r="G610" s="3" t="s">
        <v>224</v>
      </c>
      <c r="H610" s="3">
        <f t="shared" si="10"/>
        <v>1</v>
      </c>
    </row>
    <row r="611" spans="1:8" ht="14.45" x14ac:dyDescent="0.25">
      <c r="A611" s="3" t="s">
        <v>2329</v>
      </c>
      <c r="B611" s="3" t="str">
        <f t="shared" si="18"/>
        <v>'51010010030010</v>
      </c>
      <c r="C611" s="3" t="str">
        <f t="shared" si="11"/>
        <v>51010010030010</v>
      </c>
      <c r="D611" s="3" t="s">
        <v>2330</v>
      </c>
      <c r="E611" s="3" t="s">
        <v>892</v>
      </c>
      <c r="F611" s="3" t="s">
        <v>893</v>
      </c>
      <c r="G611" s="3" t="s">
        <v>892</v>
      </c>
      <c r="H611" s="3">
        <f t="shared" si="10"/>
        <v>1</v>
      </c>
    </row>
    <row r="612" spans="1:8" ht="14.45" x14ac:dyDescent="0.25">
      <c r="A612" s="3" t="s">
        <v>2331</v>
      </c>
      <c r="B612" s="3" t="str">
        <f t="shared" si="18"/>
        <v>'5101001113</v>
      </c>
      <c r="C612" s="3" t="str">
        <f t="shared" si="11"/>
        <v>5101001113</v>
      </c>
      <c r="D612" s="3" t="s">
        <v>2330</v>
      </c>
      <c r="E612" s="3" t="s">
        <v>892</v>
      </c>
      <c r="F612" s="3" t="s">
        <v>893</v>
      </c>
      <c r="G612" s="3" t="s">
        <v>892</v>
      </c>
      <c r="H612" s="3">
        <f t="shared" si="10"/>
        <v>1</v>
      </c>
    </row>
    <row r="613" spans="1:8" ht="14.45" x14ac:dyDescent="0.25">
      <c r="A613" s="3" t="s">
        <v>2332</v>
      </c>
      <c r="B613" s="3" t="str">
        <f t="shared" si="18"/>
        <v>'51010010030011</v>
      </c>
      <c r="C613" s="3" t="str">
        <f t="shared" si="11"/>
        <v>51010010030011</v>
      </c>
      <c r="D613" s="3" t="s">
        <v>2314</v>
      </c>
      <c r="E613" s="3" t="s">
        <v>892</v>
      </c>
      <c r="F613" s="3" t="s">
        <v>893</v>
      </c>
      <c r="G613" s="3" t="s">
        <v>892</v>
      </c>
      <c r="H613" s="3">
        <f t="shared" si="10"/>
        <v>1</v>
      </c>
    </row>
    <row r="614" spans="1:8" ht="14.45" x14ac:dyDescent="0.25">
      <c r="A614" s="3" t="s">
        <v>2333</v>
      </c>
      <c r="B614" s="3" t="str">
        <f t="shared" si="18"/>
        <v>'5101001122</v>
      </c>
      <c r="C614" s="3" t="str">
        <f t="shared" si="11"/>
        <v>5101001122</v>
      </c>
      <c r="D614" s="3" t="s">
        <v>2322</v>
      </c>
      <c r="E614" s="3" t="s">
        <v>892</v>
      </c>
      <c r="F614" s="3" t="s">
        <v>893</v>
      </c>
      <c r="G614" s="3" t="s">
        <v>892</v>
      </c>
      <c r="H614" s="3">
        <f t="shared" si="10"/>
        <v>1</v>
      </c>
    </row>
    <row r="615" spans="1:8" ht="14.45" x14ac:dyDescent="0.25">
      <c r="A615" s="3" t="s">
        <v>2334</v>
      </c>
      <c r="B615" s="3" t="str">
        <f t="shared" si="18"/>
        <v>'5101001125</v>
      </c>
      <c r="C615" s="3" t="str">
        <f t="shared" si="11"/>
        <v>5101001125</v>
      </c>
      <c r="D615" s="3" t="s">
        <v>2338</v>
      </c>
      <c r="E615" s="3" t="s">
        <v>892</v>
      </c>
      <c r="F615" s="3" t="s">
        <v>893</v>
      </c>
      <c r="G615" s="3" t="s">
        <v>892</v>
      </c>
      <c r="H615" s="3">
        <f t="shared" si="10"/>
        <v>1</v>
      </c>
    </row>
    <row r="616" spans="1:8" ht="14.45" x14ac:dyDescent="0.25">
      <c r="A616" s="3" t="s">
        <v>2335</v>
      </c>
      <c r="B616" s="3" t="str">
        <f t="shared" si="18"/>
        <v>'5101001123</v>
      </c>
      <c r="C616" s="3" t="str">
        <f t="shared" si="11"/>
        <v>5101001123</v>
      </c>
      <c r="D616" s="3" t="s">
        <v>2324</v>
      </c>
      <c r="E616" s="3" t="s">
        <v>892</v>
      </c>
      <c r="F616" s="3" t="s">
        <v>893</v>
      </c>
      <c r="G616" s="3" t="s">
        <v>892</v>
      </c>
      <c r="H616" s="3">
        <f t="shared" si="10"/>
        <v>1</v>
      </c>
    </row>
    <row r="617" spans="1:8" ht="14.45" x14ac:dyDescent="0.25">
      <c r="A617" s="3" t="s">
        <v>2336</v>
      </c>
      <c r="B617" s="3" t="str">
        <f t="shared" si="18"/>
        <v>'51010010030015</v>
      </c>
      <c r="C617" s="3" t="str">
        <f t="shared" si="11"/>
        <v>51010010030015</v>
      </c>
      <c r="D617" s="3" t="s">
        <v>2326</v>
      </c>
      <c r="E617" s="3" t="s">
        <v>892</v>
      </c>
      <c r="F617" s="3" t="s">
        <v>893</v>
      </c>
      <c r="G617" s="3" t="s">
        <v>892</v>
      </c>
      <c r="H617" s="3">
        <f t="shared" si="10"/>
        <v>1</v>
      </c>
    </row>
    <row r="618" spans="1:8" ht="14.45" x14ac:dyDescent="0.25">
      <c r="A618" s="3" t="s">
        <v>2337</v>
      </c>
      <c r="B618" s="3" t="str">
        <f t="shared" si="18"/>
        <v>'51010010040016</v>
      </c>
      <c r="C618" s="3" t="str">
        <f t="shared" si="11"/>
        <v>51010010040016</v>
      </c>
      <c r="D618" s="3" t="s">
        <v>2338</v>
      </c>
      <c r="E618" s="3" t="s">
        <v>892</v>
      </c>
      <c r="F618" s="3" t="s">
        <v>893</v>
      </c>
      <c r="G618" s="3" t="s">
        <v>892</v>
      </c>
      <c r="H618" s="3">
        <f t="shared" si="10"/>
        <v>1</v>
      </c>
    </row>
    <row r="619" spans="1:8" ht="14.45" x14ac:dyDescent="0.25">
      <c r="A619" s="3" t="s">
        <v>2339</v>
      </c>
      <c r="B619" s="3" t="str">
        <f t="shared" ref="B619:B621" si="19">"'"&amp;C619</f>
        <v>'51010010040011</v>
      </c>
      <c r="C619" s="3" t="str">
        <f t="shared" si="11"/>
        <v>51010010040011</v>
      </c>
      <c r="D619" s="3" t="s">
        <v>2319</v>
      </c>
      <c r="E619" s="3" t="s">
        <v>892</v>
      </c>
      <c r="F619" s="3" t="s">
        <v>893</v>
      </c>
      <c r="G619" s="3" t="s">
        <v>892</v>
      </c>
      <c r="H619" s="3">
        <f t="shared" si="10"/>
        <v>1</v>
      </c>
    </row>
    <row r="620" spans="1:8" ht="14.45" x14ac:dyDescent="0.25">
      <c r="A620" s="3" t="s">
        <v>2340</v>
      </c>
      <c r="B620" s="3" t="str">
        <f t="shared" si="19"/>
        <v>'5101001118</v>
      </c>
      <c r="C620" s="3" t="str">
        <f t="shared" si="11"/>
        <v>5101001118</v>
      </c>
      <c r="D620" s="3" t="s">
        <v>2317</v>
      </c>
      <c r="E620" s="3" t="s">
        <v>892</v>
      </c>
      <c r="F620" s="3" t="s">
        <v>893</v>
      </c>
      <c r="G620" s="3" t="s">
        <v>892</v>
      </c>
      <c r="H620" s="3">
        <f t="shared" si="10"/>
        <v>1</v>
      </c>
    </row>
    <row r="621" spans="1:8" ht="14.45" x14ac:dyDescent="0.25">
      <c r="A621" s="3" t="s">
        <v>2341</v>
      </c>
      <c r="B621" s="3" t="str">
        <f t="shared" si="19"/>
        <v>'5101001124</v>
      </c>
      <c r="C621" s="3" t="str">
        <f t="shared" si="11"/>
        <v>5101001124</v>
      </c>
      <c r="D621" s="3" t="s">
        <v>2338</v>
      </c>
      <c r="E621" s="3" t="s">
        <v>892</v>
      </c>
      <c r="F621" s="3" t="s">
        <v>893</v>
      </c>
      <c r="G621" s="3" t="s">
        <v>892</v>
      </c>
      <c r="H621" s="3">
        <f t="shared" si="10"/>
        <v>1</v>
      </c>
    </row>
    <row r="622" spans="1:8" ht="14.45" x14ac:dyDescent="0.25">
      <c r="A622" s="3" t="s">
        <v>2342</v>
      </c>
      <c r="B622" s="3" t="str">
        <f t="shared" ref="B622:B628" si="20">"'"&amp;C622</f>
        <v>'51010010040013</v>
      </c>
      <c r="C622" s="3" t="str">
        <f t="shared" si="11"/>
        <v>51010010040013</v>
      </c>
      <c r="D622" s="3" t="s">
        <v>2319</v>
      </c>
      <c r="E622" s="3" t="s">
        <v>892</v>
      </c>
      <c r="F622" s="3" t="s">
        <v>893</v>
      </c>
      <c r="G622" s="3" t="s">
        <v>892</v>
      </c>
      <c r="H622" s="3">
        <v>1</v>
      </c>
    </row>
    <row r="623" spans="1:8" ht="14.45" x14ac:dyDescent="0.25">
      <c r="A623" s="3" t="s">
        <v>2343</v>
      </c>
      <c r="B623" s="3" t="str">
        <f t="shared" si="20"/>
        <v>'51010010030013</v>
      </c>
      <c r="C623" s="3" t="str">
        <f t="shared" si="11"/>
        <v>51010010030013</v>
      </c>
      <c r="D623" s="3" t="s">
        <v>2314</v>
      </c>
      <c r="E623" s="3" t="s">
        <v>892</v>
      </c>
      <c r="F623" s="3" t="s">
        <v>893</v>
      </c>
      <c r="G623" s="3" t="s">
        <v>892</v>
      </c>
      <c r="H623" s="3">
        <v>1</v>
      </c>
    </row>
    <row r="624" spans="1:8" ht="14.45" x14ac:dyDescent="0.25">
      <c r="A624" s="3" t="s">
        <v>2344</v>
      </c>
      <c r="B624" s="3" t="str">
        <f t="shared" si="20"/>
        <v>'51010010040012</v>
      </c>
      <c r="C624" s="3" t="str">
        <f t="shared" si="11"/>
        <v>51010010040012</v>
      </c>
      <c r="D624" s="3" t="s">
        <v>2345</v>
      </c>
      <c r="E624" s="3" t="s">
        <v>892</v>
      </c>
      <c r="F624" s="3" t="s">
        <v>893</v>
      </c>
      <c r="G624" s="3" t="s">
        <v>892</v>
      </c>
      <c r="H624" s="3">
        <v>1</v>
      </c>
    </row>
    <row r="625" spans="1:8" ht="14.45" x14ac:dyDescent="0.25">
      <c r="A625" s="3" t="s">
        <v>2346</v>
      </c>
      <c r="B625" s="3" t="str">
        <f t="shared" si="20"/>
        <v>'51010010030012</v>
      </c>
      <c r="C625" s="3" t="str">
        <f t="shared" si="11"/>
        <v>51010010030012</v>
      </c>
      <c r="D625" s="3" t="s">
        <v>2347</v>
      </c>
      <c r="E625" s="3" t="s">
        <v>892</v>
      </c>
      <c r="F625" s="3" t="s">
        <v>893</v>
      </c>
      <c r="G625" s="3" t="s">
        <v>892</v>
      </c>
      <c r="H625" s="3">
        <v>1</v>
      </c>
    </row>
    <row r="626" spans="1:8" ht="14.45" x14ac:dyDescent="0.25">
      <c r="A626" s="3" t="s">
        <v>2348</v>
      </c>
      <c r="B626" s="3" t="str">
        <f t="shared" si="20"/>
        <v>'5101001102</v>
      </c>
      <c r="C626" s="3" t="str">
        <f t="shared" si="11"/>
        <v>5101001102</v>
      </c>
      <c r="D626" s="3" t="s">
        <v>2314</v>
      </c>
      <c r="E626" s="3" t="s">
        <v>892</v>
      </c>
      <c r="F626" s="3" t="s">
        <v>893</v>
      </c>
      <c r="G626" s="3" t="s">
        <v>892</v>
      </c>
      <c r="H626" s="3">
        <v>1</v>
      </c>
    </row>
    <row r="627" spans="1:8" ht="14.45" x14ac:dyDescent="0.25">
      <c r="A627" s="3" t="s">
        <v>2349</v>
      </c>
      <c r="B627" s="3" t="str">
        <f t="shared" si="20"/>
        <v>'51010010030009</v>
      </c>
      <c r="C627" s="3" t="str">
        <f t="shared" si="11"/>
        <v>51010010030009</v>
      </c>
      <c r="D627" s="3" t="s">
        <v>2350</v>
      </c>
      <c r="E627" s="3" t="s">
        <v>892</v>
      </c>
      <c r="F627" s="3" t="s">
        <v>893</v>
      </c>
      <c r="G627" s="3" t="s">
        <v>892</v>
      </c>
      <c r="H627" s="3">
        <v>1</v>
      </c>
    </row>
    <row r="628" spans="1:8" ht="14.45" x14ac:dyDescent="0.25">
      <c r="A628" s="3" t="s">
        <v>2351</v>
      </c>
      <c r="B628" s="3" t="str">
        <f t="shared" si="20"/>
        <v>'51010010040009</v>
      </c>
      <c r="C628" s="3" t="str">
        <f t="shared" si="11"/>
        <v>51010010040009</v>
      </c>
      <c r="D628" s="3" t="s">
        <v>2352</v>
      </c>
      <c r="E628" s="3" t="s">
        <v>892</v>
      </c>
      <c r="F628" s="3" t="s">
        <v>893</v>
      </c>
      <c r="G628" s="3" t="s">
        <v>892</v>
      </c>
      <c r="H628" s="3">
        <v>1</v>
      </c>
    </row>
    <row r="629" spans="1:8" x14ac:dyDescent="0.25">
      <c r="A629" t="s">
        <v>2353</v>
      </c>
      <c r="B629" s="3" t="str">
        <f t="shared" ref="B629:B630" si="21">"'"&amp;C629</f>
        <v>'4703001096</v>
      </c>
      <c r="C629" s="3" t="str">
        <f t="shared" si="11"/>
        <v>4703001096</v>
      </c>
      <c r="D629" t="s">
        <v>2355</v>
      </c>
      <c r="E629" t="s">
        <v>383</v>
      </c>
      <c r="F629" t="s">
        <v>384</v>
      </c>
      <c r="G629" t="s">
        <v>653</v>
      </c>
      <c r="H629">
        <f t="shared" ref="H629:H636" si="22">COUNTIF(A:A,A629)</f>
        <v>1</v>
      </c>
    </row>
    <row r="630" spans="1:8" x14ac:dyDescent="0.25">
      <c r="A630" t="s">
        <v>2354</v>
      </c>
      <c r="B630" s="3" t="str">
        <f t="shared" si="21"/>
        <v>'4703001097</v>
      </c>
      <c r="C630" s="3" t="str">
        <f t="shared" si="11"/>
        <v>4703001097</v>
      </c>
      <c r="D630" t="s">
        <v>2356</v>
      </c>
      <c r="E630" t="s">
        <v>383</v>
      </c>
      <c r="F630" t="s">
        <v>384</v>
      </c>
      <c r="G630" t="s">
        <v>653</v>
      </c>
      <c r="H630">
        <f t="shared" si="22"/>
        <v>1</v>
      </c>
    </row>
    <row r="631" spans="1:8" ht="14.45" x14ac:dyDescent="0.25">
      <c r="A631" t="s">
        <v>2357</v>
      </c>
      <c r="B631" s="3" t="str">
        <f t="shared" ref="B631" si="23">"'"&amp;C631</f>
        <v>'3103005010</v>
      </c>
      <c r="C631" s="3" t="str">
        <f t="shared" si="11"/>
        <v>3103005010</v>
      </c>
      <c r="D631" t="s">
        <v>2358</v>
      </c>
      <c r="E631" s="3" t="s">
        <v>2359</v>
      </c>
      <c r="F631" t="s">
        <v>156</v>
      </c>
      <c r="G631" s="3" t="s">
        <v>2359</v>
      </c>
      <c r="H631">
        <f t="shared" si="22"/>
        <v>1</v>
      </c>
    </row>
    <row r="632" spans="1:8" ht="14.45" x14ac:dyDescent="0.25">
      <c r="A632">
        <v>4703015014</v>
      </c>
      <c r="B632" s="3" t="str">
        <f t="shared" ref="B632:B635" si="24">"'"&amp;C632</f>
        <v>'4703015014</v>
      </c>
      <c r="C632" s="3" t="str">
        <f t="shared" si="11"/>
        <v>4703015014</v>
      </c>
      <c r="D632" t="s">
        <v>2360</v>
      </c>
      <c r="E632" t="s">
        <v>229</v>
      </c>
      <c r="F632" t="s">
        <v>246</v>
      </c>
      <c r="G632" t="s">
        <v>247</v>
      </c>
      <c r="H632">
        <f t="shared" si="22"/>
        <v>1</v>
      </c>
    </row>
    <row r="633" spans="1:8" ht="14.45" x14ac:dyDescent="0.25">
      <c r="A633">
        <v>4710001011</v>
      </c>
      <c r="B633" s="3" t="str">
        <f t="shared" si="24"/>
        <v>'4710001011</v>
      </c>
      <c r="C633" s="3" t="str">
        <f t="shared" si="11"/>
        <v>4710001011</v>
      </c>
      <c r="D633" t="s">
        <v>2361</v>
      </c>
      <c r="E633" t="s">
        <v>224</v>
      </c>
      <c r="F633" t="s">
        <v>224</v>
      </c>
      <c r="G633" t="s">
        <v>224</v>
      </c>
      <c r="H633">
        <f t="shared" si="22"/>
        <v>1</v>
      </c>
    </row>
    <row r="634" spans="1:8" ht="14.45" x14ac:dyDescent="0.25">
      <c r="A634" t="s">
        <v>2362</v>
      </c>
      <c r="B634" s="3" t="str">
        <f t="shared" si="24"/>
        <v>'4703004009</v>
      </c>
      <c r="C634" s="3" t="str">
        <f t="shared" si="11"/>
        <v>4703004009</v>
      </c>
      <c r="D634" t="s">
        <v>2363</v>
      </c>
      <c r="E634" t="s">
        <v>785</v>
      </c>
      <c r="F634" t="s">
        <v>837</v>
      </c>
      <c r="G634" t="s">
        <v>1517</v>
      </c>
      <c r="H634">
        <f t="shared" si="22"/>
        <v>1</v>
      </c>
    </row>
    <row r="635" spans="1:8" ht="14.45" x14ac:dyDescent="0.25">
      <c r="A635">
        <v>3101005014</v>
      </c>
      <c r="B635" s="3" t="str">
        <f t="shared" si="24"/>
        <v>'3101005014</v>
      </c>
      <c r="C635" s="3" t="str">
        <f t="shared" si="11"/>
        <v>3101005014</v>
      </c>
      <c r="D635" t="s">
        <v>2364</v>
      </c>
      <c r="E635" t="s">
        <v>219</v>
      </c>
      <c r="F635" t="s">
        <v>156</v>
      </c>
      <c r="G635" t="s">
        <v>218</v>
      </c>
      <c r="H635">
        <f t="shared" si="22"/>
        <v>1</v>
      </c>
    </row>
    <row r="636" spans="1:8" x14ac:dyDescent="0.25">
      <c r="A636" t="s">
        <v>2365</v>
      </c>
      <c r="B636" s="3" t="str">
        <f t="shared" ref="B636" si="25">"'"&amp;C636</f>
        <v>'4703001036</v>
      </c>
      <c r="C636" s="3" t="str">
        <f t="shared" si="11"/>
        <v>4703001036</v>
      </c>
      <c r="D636" s="4" t="s">
        <v>2366</v>
      </c>
      <c r="E636" t="s">
        <v>383</v>
      </c>
      <c r="F636" t="s">
        <v>384</v>
      </c>
      <c r="G636" t="s">
        <v>653</v>
      </c>
      <c r="H636">
        <f t="shared" si="22"/>
        <v>1</v>
      </c>
    </row>
  </sheetData>
  <autoFilter ref="A1:I636" xr:uid="{2CDEB827-A2B7-42BE-B86F-19DD993B7A8F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2BD8B54936FB4792FFBF0946642474" ma:contentTypeVersion="15" ma:contentTypeDescription="Crie um novo documento." ma:contentTypeScope="" ma:versionID="5c52752aadbd2d2c358c3b9a4823e503">
  <xsd:schema xmlns:xsd="http://www.w3.org/2001/XMLSchema" xmlns:xs="http://www.w3.org/2001/XMLSchema" xmlns:p="http://schemas.microsoft.com/office/2006/metadata/properties" xmlns:ns2="5aa39241-bd05-473c-b724-95e3c4460550" xmlns:ns3="59b07191-4ed6-434d-b6b8-e3b8eb6ea78b" targetNamespace="http://schemas.microsoft.com/office/2006/metadata/properties" ma:root="true" ma:fieldsID="9d96b0501d49a0157a25822456f5dde6" ns2:_="" ns3:_="">
    <xsd:import namespace="5aa39241-bd05-473c-b724-95e3c4460550"/>
    <xsd:import namespace="59b07191-4ed6-434d-b6b8-e3b8eb6ea7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39241-bd05-473c-b724-95e3c4460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d12b8c-8a39-468e-b87e-584ade2400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07191-4ed6-434d-b6b8-e3b8eb6ea78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58ebb68-8b7f-4854-a9c4-9339ba8be6eb}" ma:internalName="TaxCatchAll" ma:showField="CatchAllData" ma:web="59b07191-4ed6-434d-b6b8-e3b8eb6ea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b07191-4ed6-434d-b6b8-e3b8eb6ea78b" xsi:nil="true"/>
    <_Flow_SignoffStatus xmlns="5aa39241-bd05-473c-b724-95e3c4460550" xsi:nil="true"/>
    <lcf76f155ced4ddcb4097134ff3c332f xmlns="5aa39241-bd05-473c-b724-95e3c446055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07F2B1-4873-4955-AEDC-75F61EB71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a39241-bd05-473c-b724-95e3c4460550"/>
    <ds:schemaRef ds:uri="59b07191-4ed6-434d-b6b8-e3b8eb6ea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72D28-219C-4C8D-81A2-CE9297684FD4}">
  <ds:schemaRefs>
    <ds:schemaRef ds:uri="http://schemas.microsoft.com/office/2006/metadata/properties"/>
    <ds:schemaRef ds:uri="http://schemas.microsoft.com/office/infopath/2007/PartnerControls"/>
    <ds:schemaRef ds:uri="59b07191-4ed6-434d-b6b8-e3b8eb6ea78b"/>
    <ds:schemaRef ds:uri="5aa39241-bd05-473c-b724-95e3c4460550"/>
  </ds:schemaRefs>
</ds:datastoreItem>
</file>

<file path=customXml/itemProps3.xml><?xml version="1.0" encoding="utf-8"?>
<ds:datastoreItem xmlns:ds="http://schemas.openxmlformats.org/officeDocument/2006/customXml" ds:itemID="{C3A0E5BD-6856-4BD8-86B7-A043200B4E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dContas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Tadashi Nakamura</dc:creator>
  <cp:lastModifiedBy>Emerson Tadashi Nakamura</cp:lastModifiedBy>
  <dcterms:created xsi:type="dcterms:W3CDTF">2026-03-04T17:12:34Z</dcterms:created>
  <dcterms:modified xsi:type="dcterms:W3CDTF">2026-08-11T16:53:43Z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0x010100F42BD8B54936FB4792FFBF0946642474</vt:lpwstr>
  </property>
  <property fmtid="{D5CDD505-2E9C-101B-9397-08002B2CF9AE}" pid="3" name="MediaServiceImageTags">
    <vt:lpwstr/>
  </property>
</Properties>
</file>